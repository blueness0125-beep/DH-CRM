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ongm\OneDrive\바탕 화면\"/>
    </mc:Choice>
  </mc:AlternateContent>
  <xr:revisionPtr revIDLastSave="0" documentId="8_{95957053-2D4F-4322-95AB-7432AB3C71EC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고객관리 (2)" sheetId="3" r:id="rId1"/>
    <sheet name="고객관리" sheetId="1" r:id="rId2"/>
    <sheet name="미관리고객" sheetId="2" r:id="rId3"/>
  </sheets>
  <definedNames>
    <definedName name="_xlnm._FilterDatabase" localSheetId="1" hidden="1">고객관리!$F$1:$F$1390</definedName>
    <definedName name="_xlnm._FilterDatabase" localSheetId="0" hidden="1">'고객관리 (2)'!$A$1:$P$672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59" i="1" l="1"/>
  <c r="F1267" i="1"/>
  <c r="F1458" i="1"/>
  <c r="F7" i="1"/>
  <c r="F1482" i="1"/>
  <c r="F195" i="1"/>
  <c r="F194" i="1"/>
  <c r="F19" i="1"/>
  <c r="F1457" i="1"/>
  <c r="F60" i="1"/>
  <c r="F59" i="1"/>
  <c r="F1070" i="1"/>
  <c r="F1478" i="1"/>
  <c r="F1497" i="1"/>
  <c r="F367" i="1"/>
  <c r="F1498" i="1"/>
  <c r="F1490" i="1"/>
  <c r="F1495" i="1"/>
  <c r="F196" i="1"/>
  <c r="F1496" i="1"/>
  <c r="F1494" i="1"/>
  <c r="F1493" i="1"/>
  <c r="F1492" i="1"/>
  <c r="F1491" i="1"/>
  <c r="F1489" i="1"/>
  <c r="F1488" i="1"/>
  <c r="F1487" i="1"/>
  <c r="F1486" i="1"/>
  <c r="F1399" i="1"/>
  <c r="F1485" i="1"/>
  <c r="F1476" i="1"/>
  <c r="F1470" i="1"/>
  <c r="F1484" i="1"/>
  <c r="F1483" i="1"/>
  <c r="F1449" i="1"/>
  <c r="F1481" i="1"/>
  <c r="F1480" i="1"/>
  <c r="F612" i="1"/>
  <c r="F613" i="1"/>
  <c r="F614" i="1"/>
  <c r="F615" i="1"/>
  <c r="F1384" i="1" l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50" i="1"/>
  <c r="F1451" i="1"/>
  <c r="F1452" i="1"/>
  <c r="F1453" i="1"/>
  <c r="F1454" i="1"/>
  <c r="F1455" i="1"/>
  <c r="F1456" i="1"/>
  <c r="F1459" i="1"/>
  <c r="F1460" i="1"/>
  <c r="F1461" i="1"/>
  <c r="F1462" i="1"/>
  <c r="F1463" i="1"/>
  <c r="F1464" i="1"/>
  <c r="F1465" i="1"/>
  <c r="F1466" i="1"/>
  <c r="F1467" i="1"/>
  <c r="F1468" i="1"/>
  <c r="F1469" i="1"/>
  <c r="F1471" i="1"/>
  <c r="F1472" i="1"/>
  <c r="F1473" i="1"/>
  <c r="F1474" i="1"/>
  <c r="F1475" i="1"/>
  <c r="F1477" i="1"/>
  <c r="F1479" i="1"/>
  <c r="F313" i="1"/>
  <c r="F312" i="1"/>
  <c r="F1266" i="1"/>
  <c r="F993" i="1" l="1"/>
  <c r="F327" i="1"/>
  <c r="F992" i="1"/>
  <c r="F226" i="1"/>
  <c r="F225" i="1"/>
  <c r="F974" i="1"/>
  <c r="F109" i="1"/>
  <c r="F871" i="1"/>
  <c r="F1191" i="1"/>
  <c r="F1194" i="1"/>
  <c r="F1203" i="1"/>
  <c r="F1202" i="1"/>
  <c r="F1204" i="1"/>
  <c r="F1215" i="1"/>
  <c r="F1216" i="1"/>
  <c r="F1217" i="1"/>
  <c r="F1219" i="1"/>
  <c r="F651" i="1"/>
  <c r="F1222" i="1"/>
  <c r="F1223" i="1"/>
  <c r="F1224" i="1"/>
  <c r="F1225" i="1"/>
  <c r="F1226" i="1"/>
  <c r="F1227" i="1"/>
  <c r="F818" i="1"/>
  <c r="F819" i="1"/>
  <c r="F755" i="1"/>
  <c r="F756" i="1"/>
  <c r="F757" i="1"/>
  <c r="F868" i="1"/>
  <c r="F869" i="1"/>
  <c r="F326" i="1"/>
  <c r="F323" i="1"/>
  <c r="F719" i="1"/>
  <c r="F1050" i="1"/>
  <c r="F1049" i="1"/>
  <c r="F1048" i="1"/>
  <c r="F1047" i="1"/>
  <c r="F1046" i="1"/>
  <c r="F1045" i="1"/>
  <c r="F1044" i="1"/>
  <c r="F1043" i="1"/>
  <c r="F1042" i="1"/>
  <c r="F278" i="1"/>
  <c r="F277" i="1"/>
  <c r="F276" i="1"/>
  <c r="F233" i="1"/>
  <c r="F232" i="1"/>
  <c r="F411" i="1"/>
  <c r="F410" i="1"/>
  <c r="F1372" i="1" l="1"/>
  <c r="F409" i="1"/>
  <c r="F1156" i="1" l="1"/>
  <c r="F1032" i="1"/>
  <c r="F1031" i="1"/>
  <c r="F1030" i="1"/>
  <c r="F1029" i="1"/>
  <c r="F1028" i="1"/>
  <c r="F1027" i="1"/>
  <c r="F1026" i="1"/>
  <c r="F1025" i="1"/>
  <c r="F1024" i="1"/>
  <c r="F872" i="1" l="1"/>
  <c r="F586" i="1"/>
  <c r="F797" i="1"/>
  <c r="F1054" i="1"/>
  <c r="F697" i="1"/>
  <c r="F1197" i="1"/>
  <c r="F1196" i="1"/>
  <c r="F1218" i="1"/>
  <c r="F68" i="1"/>
  <c r="F250" i="1" l="1"/>
  <c r="F1180" i="1"/>
  <c r="F1214" i="1"/>
  <c r="F1154" i="1"/>
  <c r="F1153" i="1"/>
  <c r="F1152" i="1"/>
  <c r="F1151" i="1"/>
  <c r="F1150" i="1"/>
  <c r="F1149" i="1"/>
  <c r="F1148" i="1"/>
  <c r="F1147" i="1"/>
  <c r="F1146" i="1"/>
  <c r="F1186" i="1" l="1"/>
  <c r="F1127" i="1"/>
  <c r="F1221" i="1"/>
  <c r="F1220" i="1"/>
  <c r="F1213" i="1"/>
  <c r="F1212" i="1"/>
  <c r="F241" i="1"/>
  <c r="F104" i="1"/>
  <c r="F472" i="1" l="1"/>
  <c r="F471" i="1"/>
  <c r="F470" i="1"/>
  <c r="F469" i="1"/>
  <c r="F468" i="1"/>
  <c r="F695" i="1"/>
  <c r="F694" i="1"/>
  <c r="F1187" i="1"/>
  <c r="F1185" i="1"/>
  <c r="F523" i="1"/>
  <c r="F522" i="1" l="1"/>
  <c r="F521" i="1"/>
  <c r="F84" i="1"/>
  <c r="F1116" i="1"/>
  <c r="F357" i="1"/>
  <c r="F807" i="1"/>
  <c r="F806" i="1"/>
  <c r="F879" i="1"/>
  <c r="F878" i="1"/>
  <c r="F1130" i="1"/>
  <c r="F1140" i="1"/>
  <c r="F1139" i="1"/>
  <c r="F1138" i="1"/>
  <c r="F1137" i="1"/>
  <c r="F883" i="1"/>
  <c r="F882" i="1"/>
  <c r="F881" i="1"/>
  <c r="F880" i="1"/>
  <c r="F813" i="1"/>
  <c r="F812" i="1"/>
  <c r="F811" i="1"/>
  <c r="F810" i="1"/>
  <c r="F1382" i="1"/>
  <c r="F1383" i="1"/>
  <c r="F1198" i="1"/>
  <c r="F1190" i="1"/>
  <c r="F1189" i="1"/>
  <c r="F459" i="1"/>
  <c r="F1066" i="1"/>
  <c r="F538" i="1"/>
  <c r="F56" i="1"/>
  <c r="F57" i="1"/>
  <c r="F58" i="1"/>
  <c r="O876" i="1"/>
  <c r="F448" i="1"/>
  <c r="F567" i="1" l="1"/>
  <c r="F566" i="1"/>
  <c r="F257" i="1"/>
  <c r="F256" i="1"/>
  <c r="F1145" i="1"/>
  <c r="F1144" i="1"/>
  <c r="F1143" i="1"/>
  <c r="F1142" i="1"/>
  <c r="F1141" i="1"/>
  <c r="F268" i="1"/>
  <c r="F267" i="1"/>
  <c r="F266" i="1"/>
  <c r="F265" i="1"/>
  <c r="F264" i="1"/>
  <c r="F666" i="1"/>
  <c r="F665" i="1"/>
  <c r="F664" i="1"/>
  <c r="F663" i="1"/>
  <c r="F655" i="1"/>
  <c r="F654" i="1"/>
  <c r="F653" i="1"/>
  <c r="F652" i="1"/>
  <c r="F462" i="1"/>
  <c r="F461" i="1"/>
  <c r="F460" i="1"/>
  <c r="F458" i="1"/>
  <c r="F985" i="1"/>
  <c r="F984" i="1"/>
  <c r="F750" i="1"/>
  <c r="F749" i="1"/>
  <c r="F114" i="1"/>
  <c r="F113" i="1"/>
  <c r="F112" i="1"/>
  <c r="F14" i="1"/>
  <c r="F13" i="1"/>
  <c r="F124" i="1"/>
  <c r="F391" i="1"/>
  <c r="F126" i="1"/>
  <c r="F696" i="1"/>
  <c r="F154" i="1"/>
  <c r="F153" i="1"/>
  <c r="F152" i="1"/>
  <c r="F151" i="1"/>
  <c r="F150" i="1"/>
  <c r="F93" i="1"/>
  <c r="F429" i="1"/>
  <c r="F428" i="1"/>
  <c r="F407" i="1"/>
  <c r="F406" i="1"/>
  <c r="F405" i="1"/>
  <c r="F404" i="1"/>
  <c r="F403" i="1"/>
  <c r="F726" i="1"/>
  <c r="F725" i="1"/>
  <c r="F724" i="1"/>
  <c r="F723" i="1"/>
  <c r="F722" i="1"/>
  <c r="F1381" i="1" l="1"/>
  <c r="F886" i="1" l="1"/>
  <c r="F1008" i="1"/>
  <c r="F1007" i="1"/>
  <c r="F1006" i="1"/>
  <c r="F945" i="1"/>
  <c r="F944" i="1"/>
  <c r="F943" i="1"/>
  <c r="F942" i="1"/>
  <c r="F953" i="1"/>
  <c r="F952" i="1"/>
  <c r="F951" i="1"/>
  <c r="F950" i="1"/>
  <c r="F737" i="1"/>
  <c r="F739" i="1"/>
  <c r="F738" i="1"/>
  <c r="F902" i="1"/>
  <c r="F901" i="1"/>
  <c r="F900" i="1"/>
  <c r="F899" i="1"/>
  <c r="F304" i="1"/>
  <c r="F303" i="1"/>
  <c r="F302" i="1"/>
  <c r="F301" i="1"/>
  <c r="F273" i="1"/>
  <c r="F272" i="1"/>
  <c r="F271" i="1"/>
  <c r="F270" i="1"/>
  <c r="F21" i="1"/>
  <c r="F20" i="1"/>
  <c r="F427" i="1"/>
  <c r="F426" i="1"/>
  <c r="F425" i="1"/>
  <c r="F424" i="1"/>
  <c r="F1064" i="1"/>
  <c r="F1063" i="1"/>
  <c r="F1062" i="1"/>
  <c r="F1061" i="1"/>
  <c r="F142" i="1"/>
  <c r="F141" i="1"/>
  <c r="F140" i="1"/>
  <c r="F139" i="1"/>
  <c r="F638" i="1"/>
  <c r="F698" i="1"/>
  <c r="F700" i="1"/>
  <c r="F699" i="1"/>
  <c r="F600" i="1"/>
  <c r="F762" i="1"/>
  <c r="F244" i="1"/>
  <c r="F243" i="1"/>
  <c r="F242" i="1"/>
  <c r="F890" i="1"/>
  <c r="F889" i="1"/>
  <c r="F133" i="1"/>
  <c r="F366" i="1"/>
  <c r="F174" i="1"/>
  <c r="F552" i="1"/>
  <c r="F224" i="1"/>
  <c r="F227" i="1"/>
  <c r="F15" i="1"/>
  <c r="F467" i="1" l="1"/>
  <c r="F466" i="1"/>
  <c r="F465" i="1"/>
  <c r="F464" i="1"/>
  <c r="F463" i="1"/>
  <c r="F828" i="1"/>
  <c r="F827" i="1"/>
  <c r="F198" i="1"/>
  <c r="F197" i="1"/>
  <c r="F709" i="1"/>
  <c r="F708" i="1"/>
  <c r="F255" i="1"/>
  <c r="F679" i="1"/>
  <c r="F678" i="1"/>
  <c r="F677" i="1"/>
  <c r="F676" i="1"/>
  <c r="F675" i="1"/>
  <c r="F1136" i="1"/>
  <c r="F1160" i="1"/>
  <c r="F999" i="1"/>
  <c r="F767" i="1"/>
  <c r="F747" i="1"/>
  <c r="F491" i="1"/>
  <c r="F490" i="1"/>
  <c r="F489" i="1"/>
  <c r="F488" i="1"/>
  <c r="F761" i="1"/>
  <c r="F760" i="1"/>
  <c r="F759" i="1"/>
  <c r="F758" i="1"/>
  <c r="F816" i="1"/>
  <c r="F815" i="1"/>
  <c r="F814" i="1"/>
  <c r="F230" i="1"/>
  <c r="F417" i="1"/>
  <c r="F795" i="1"/>
  <c r="F1135" i="1"/>
  <c r="F1090" i="1"/>
  <c r="F842" i="1"/>
  <c r="F888" i="1"/>
  <c r="F998" i="1"/>
  <c r="F61" i="1"/>
  <c r="F841" i="1"/>
  <c r="F331" i="1"/>
  <c r="F683" i="1"/>
  <c r="F772" i="1"/>
  <c r="F706" i="1"/>
  <c r="F877" i="1"/>
  <c r="F876" i="1"/>
  <c r="F875" i="1"/>
  <c r="F874" i="1"/>
  <c r="F873" i="1"/>
  <c r="F823" i="1"/>
  <c r="F822" i="1"/>
  <c r="F821" i="1"/>
  <c r="F820" i="1"/>
  <c r="F330" i="1"/>
  <c r="F329" i="1"/>
  <c r="F328" i="1"/>
  <c r="F51" i="1"/>
  <c r="F850" i="1"/>
  <c r="F976" i="1"/>
  <c r="F44" i="1"/>
  <c r="F169" i="1"/>
  <c r="F122" i="1"/>
  <c r="F83" i="1"/>
  <c r="F105" i="1"/>
  <c r="F1069" i="1"/>
  <c r="F356" i="1"/>
  <c r="F499" i="1"/>
  <c r="F123" i="1"/>
  <c r="F884" i="1"/>
  <c r="F650" i="1"/>
  <c r="F649" i="1"/>
  <c r="F648" i="1"/>
  <c r="F672" i="1"/>
  <c r="F702" i="1"/>
  <c r="F576" i="1"/>
  <c r="F508" i="1"/>
  <c r="F473" i="1"/>
  <c r="F395" i="1"/>
  <c r="F396" i="1"/>
  <c r="F220" i="1"/>
  <c r="F170" i="1"/>
  <c r="F1129" i="1"/>
  <c r="F94" i="1"/>
  <c r="F90" i="1"/>
  <c r="F48" i="1"/>
  <c r="F27" i="1"/>
  <c r="F16" i="1"/>
  <c r="F598" i="1"/>
  <c r="F597" i="1"/>
  <c r="F596" i="1"/>
  <c r="F1108" i="1"/>
  <c r="F1107" i="1"/>
  <c r="F721" i="1"/>
  <c r="F720" i="1"/>
  <c r="F595" i="1"/>
  <c r="F594" i="1"/>
  <c r="F839" i="1"/>
  <c r="F120" i="1"/>
  <c r="F275" i="1"/>
  <c r="F274" i="1"/>
  <c r="F717" i="1"/>
  <c r="F1179" i="1"/>
  <c r="F1158" i="1"/>
  <c r="F1157" i="1"/>
  <c r="F634" i="1"/>
  <c r="F633" i="1"/>
  <c r="F382" i="1"/>
  <c r="F418" i="1"/>
  <c r="F299" i="1"/>
  <c r="F298" i="1"/>
  <c r="F860" i="1"/>
  <c r="F859" i="1"/>
  <c r="F1133" i="1"/>
  <c r="F156" i="1"/>
  <c r="F560" i="1"/>
  <c r="F487" i="1"/>
  <c r="F486" i="1"/>
  <c r="F1058" i="1"/>
  <c r="F548" i="1"/>
  <c r="F547" i="1"/>
  <c r="F546" i="1"/>
  <c r="F545" i="1"/>
  <c r="F210" i="1"/>
  <c r="F155" i="1"/>
  <c r="F43" i="1"/>
  <c r="F41" i="1"/>
  <c r="F40" i="1"/>
  <c r="F24" i="1"/>
  <c r="F111" i="1"/>
  <c r="F478" i="1"/>
  <c r="F477" i="1"/>
  <c r="F52" i="1"/>
  <c r="F386" i="1"/>
  <c r="F1057" i="1"/>
  <c r="F1132" i="1"/>
  <c r="F1170" i="1"/>
  <c r="F149" i="1"/>
  <c r="F148" i="1"/>
  <c r="F147" i="1"/>
  <c r="F146" i="1"/>
  <c r="F145" i="1"/>
  <c r="F144" i="1"/>
  <c r="F851" i="1"/>
  <c r="F732" i="1"/>
  <c r="F733" i="1"/>
  <c r="F918" i="1"/>
  <c r="F917" i="1"/>
  <c r="F916" i="1"/>
  <c r="F915" i="1"/>
  <c r="F914" i="1"/>
  <c r="F796" i="1"/>
  <c r="F1074" i="1"/>
  <c r="F420" i="1"/>
  <c r="F309" i="1"/>
  <c r="F643" i="1"/>
  <c r="F138" i="1"/>
  <c r="F137" i="1"/>
  <c r="F136" i="1"/>
  <c r="F135" i="1"/>
  <c r="F134" i="1"/>
  <c r="F377" i="1"/>
  <c r="F965" i="1"/>
  <c r="F775" i="1"/>
  <c r="F774" i="1"/>
  <c r="F773" i="1"/>
  <c r="F345" i="1"/>
  <c r="F344" i="1"/>
  <c r="F343" i="1"/>
  <c r="F1084" i="1"/>
  <c r="F171" i="1"/>
  <c r="F102" i="1"/>
  <c r="F578" i="1"/>
  <c r="F577" i="1"/>
  <c r="F185" i="1"/>
  <c r="F184" i="1"/>
  <c r="F183" i="1"/>
  <c r="F182" i="1"/>
  <c r="F254" i="1"/>
  <c r="F389" i="1"/>
  <c r="F1102" i="1"/>
  <c r="F363" i="1"/>
  <c r="F229" i="1"/>
  <c r="F228" i="1"/>
  <c r="F537" i="1"/>
  <c r="F536" i="1"/>
  <c r="F82" i="1"/>
  <c r="F81" i="1"/>
  <c r="F132" i="1"/>
  <c r="F131" i="1"/>
  <c r="F1111" i="1"/>
  <c r="F1110" i="1"/>
  <c r="F1109" i="1"/>
  <c r="F381" i="1"/>
  <c r="F1000" i="1"/>
  <c r="F106" i="1"/>
  <c r="F837" i="1"/>
  <c r="F836" i="1"/>
  <c r="F835" i="1"/>
  <c r="F834" i="1"/>
  <c r="F833" i="1"/>
  <c r="F457" i="1"/>
  <c r="F215" i="1"/>
  <c r="F346" i="1"/>
  <c r="F559" i="1"/>
  <c r="F558" i="1"/>
  <c r="F745" i="1"/>
  <c r="F744" i="1"/>
  <c r="F743" i="1"/>
  <c r="F742" i="1"/>
  <c r="F498" i="1"/>
  <c r="F497" i="1"/>
  <c r="F496" i="1"/>
  <c r="F209" i="1"/>
  <c r="F318" i="1"/>
  <c r="F317" i="1"/>
  <c r="F316" i="1"/>
  <c r="F642" i="1"/>
  <c r="F794" i="1"/>
  <c r="F793" i="1"/>
  <c r="F792" i="1"/>
  <c r="F245" i="1"/>
  <c r="F28" i="1"/>
  <c r="F550" i="1"/>
  <c r="F416" i="1"/>
  <c r="F415" i="1"/>
  <c r="F414" i="1"/>
  <c r="F413" i="1"/>
  <c r="F412" i="1"/>
  <c r="F599" i="1"/>
  <c r="F779" i="1"/>
  <c r="F778" i="1"/>
  <c r="F45" i="1"/>
  <c r="F849" i="1"/>
  <c r="F848" i="1"/>
  <c r="F847" i="1"/>
  <c r="F46" i="1"/>
  <c r="F365" i="1"/>
  <c r="F173" i="1"/>
  <c r="F172" i="1"/>
  <c r="F1101" i="1"/>
  <c r="F1100" i="1"/>
  <c r="F506" i="1"/>
  <c r="F505" i="1"/>
  <c r="F119" i="1"/>
  <c r="F118" i="1"/>
  <c r="F117" i="1"/>
  <c r="F116" i="1"/>
  <c r="F1177" i="1"/>
  <c r="F1176" i="1"/>
  <c r="F360" i="1"/>
  <c r="F500" i="1"/>
  <c r="F378" i="1"/>
  <c r="F325" i="1"/>
  <c r="F324" i="1"/>
  <c r="F322" i="1"/>
  <c r="F394" i="1"/>
  <c r="F393" i="1"/>
  <c r="F392" i="1"/>
  <c r="F568" i="1"/>
  <c r="F297" i="1"/>
  <c r="F296" i="1"/>
  <c r="F295" i="1"/>
  <c r="F294" i="1"/>
  <c r="F293" i="1"/>
  <c r="F292" i="1"/>
  <c r="F291" i="1"/>
  <c r="F53" i="1"/>
  <c r="F288" i="1"/>
  <c r="F284" i="1"/>
  <c r="F379" i="1"/>
  <c r="F390" i="1"/>
  <c r="F362" i="1"/>
  <c r="F1060" i="1"/>
  <c r="F1056" i="1"/>
  <c r="F1055" i="1"/>
  <c r="F1015" i="1"/>
  <c r="F799" i="1"/>
  <c r="F791" i="1"/>
  <c r="F689" i="1"/>
  <c r="F76" i="1"/>
  <c r="F75" i="1"/>
  <c r="F74" i="1"/>
  <c r="F73" i="1"/>
  <c r="F72" i="1"/>
  <c r="F368" i="1"/>
  <c r="F369" i="1"/>
  <c r="F845" i="1"/>
  <c r="F844" i="1"/>
  <c r="F843" i="1"/>
  <c r="F728" i="1"/>
  <c r="F727" i="1"/>
  <c r="F688" i="1"/>
  <c r="F962" i="1"/>
  <c r="F961" i="1"/>
  <c r="F960" i="1"/>
  <c r="F959" i="1"/>
  <c r="F1164" i="1"/>
  <c r="F1169" i="1"/>
  <c r="F1168" i="1"/>
  <c r="F484" i="1"/>
  <c r="F483" i="1"/>
  <c r="F482" i="1"/>
  <c r="F481" i="1"/>
  <c r="F480" i="1"/>
  <c r="F479" i="1"/>
  <c r="F609" i="1"/>
  <c r="F519" i="1"/>
  <c r="F518" i="1"/>
  <c r="F517" i="1"/>
  <c r="F919" i="1"/>
  <c r="F621" i="1"/>
  <c r="F620" i="1"/>
  <c r="F619" i="1"/>
  <c r="F898" i="1"/>
  <c r="F624" i="1"/>
  <c r="F623" i="1"/>
  <c r="F622" i="1"/>
  <c r="F1162" i="1"/>
  <c r="F1161" i="1"/>
  <c r="F504" i="1"/>
  <c r="F502" i="1"/>
  <c r="F501" i="1"/>
  <c r="F1370" i="1"/>
  <c r="F1378" i="1"/>
  <c r="F1379" i="1"/>
  <c r="F870" i="1"/>
  <c r="F1380" i="1"/>
  <c r="F937" i="1"/>
  <c r="F938" i="1"/>
  <c r="F1188" i="1"/>
  <c r="F1192" i="1"/>
  <c r="F1193" i="1"/>
  <c r="F939" i="1"/>
  <c r="F940" i="1"/>
  <c r="F1195" i="1"/>
  <c r="F1199" i="1"/>
  <c r="F1200" i="1"/>
  <c r="F1201" i="1"/>
  <c r="F1205" i="1"/>
  <c r="F1206" i="1"/>
  <c r="F1207" i="1"/>
  <c r="F262" i="1"/>
  <c r="F263" i="1"/>
  <c r="F1112" i="1"/>
  <c r="F1113" i="1"/>
  <c r="F1114" i="1"/>
  <c r="F1115" i="1"/>
  <c r="F610" i="1"/>
  <c r="F611" i="1"/>
  <c r="F1184" i="1"/>
  <c r="F1208" i="1"/>
  <c r="F1209" i="1"/>
  <c r="F1210" i="1"/>
  <c r="F1211" i="1"/>
  <c r="F1167" i="1" l="1"/>
  <c r="F1166" i="1"/>
  <c r="F1165" i="1"/>
  <c r="F364" i="1"/>
  <c r="F358" i="1"/>
  <c r="F913" i="1"/>
  <c r="F912" i="1"/>
  <c r="F911" i="1"/>
  <c r="F910" i="1"/>
  <c r="F909" i="1"/>
  <c r="F908" i="1"/>
  <c r="F907" i="1"/>
  <c r="F103" i="1"/>
  <c r="F580" i="1"/>
  <c r="F579" i="1"/>
  <c r="F549" i="1" l="1"/>
  <c r="F98" i="1"/>
  <c r="F527" i="1"/>
  <c r="F526" i="1"/>
  <c r="F958" i="1"/>
  <c r="F957" i="1"/>
  <c r="F956" i="1"/>
  <c r="F731" i="1"/>
  <c r="F730" i="1"/>
  <c r="F729" i="1"/>
  <c r="F438" i="1"/>
  <c r="F437" i="1"/>
  <c r="F35" i="1"/>
  <c r="F34" i="1"/>
  <c r="F33" i="1"/>
  <c r="F32" i="1"/>
  <c r="F315" i="1"/>
  <c r="F115" i="1"/>
  <c r="F636" i="1"/>
  <c r="F635" i="1"/>
  <c r="F632" i="1"/>
  <c r="F176" i="1"/>
  <c r="F175" i="1"/>
  <c r="F190" i="1"/>
  <c r="F591" i="1"/>
  <c r="F590" i="1"/>
  <c r="F589" i="1"/>
  <c r="F588" i="1"/>
  <c r="F574" i="1"/>
  <c r="F573" i="1"/>
  <c r="F572" i="1"/>
  <c r="F571" i="1"/>
  <c r="F535" i="1"/>
  <c r="F534" i="1"/>
  <c r="F533" i="1"/>
  <c r="F532" i="1"/>
  <c r="F31" i="1"/>
  <c r="F388" i="1"/>
  <c r="F101" i="1"/>
  <c r="F100" i="1"/>
  <c r="F99" i="1"/>
  <c r="F239" i="1"/>
  <c r="F238" i="1"/>
  <c r="F237" i="1"/>
  <c r="F236" i="1"/>
  <c r="F380" i="1"/>
  <c r="F765" i="1"/>
  <c r="F764" i="1"/>
  <c r="F763" i="1"/>
  <c r="F408" i="1"/>
  <c r="F342" i="1"/>
  <c r="F341" i="1"/>
  <c r="F340" i="1"/>
  <c r="F314" i="1"/>
  <c r="F67" i="1"/>
  <c r="F66" i="1"/>
  <c r="F1163" i="1"/>
  <c r="F211" i="1"/>
  <c r="F203" i="1"/>
  <c r="F200" i="1"/>
  <c r="F199" i="1"/>
  <c r="F338" i="1"/>
  <c r="F1010" i="1"/>
  <c r="F1009" i="1"/>
  <c r="F423" i="1"/>
  <c r="F422" i="1"/>
  <c r="F421" i="1"/>
  <c r="F419" i="1"/>
  <c r="F1098" i="1"/>
  <c r="F1097" i="1"/>
  <c r="F1096" i="1"/>
  <c r="F1095" i="1"/>
  <c r="F179" i="1"/>
  <c r="F178" i="1"/>
  <c r="F177" i="1"/>
  <c r="F1011" i="1" l="1"/>
  <c r="F556" i="1"/>
  <c r="F555" i="1"/>
  <c r="F553" i="1"/>
  <c r="F554" i="1"/>
  <c r="F125" i="1"/>
  <c r="F602" i="1"/>
  <c r="F601" i="1"/>
  <c r="F1363" i="1"/>
  <c r="F308" i="1"/>
  <c r="F12" i="1"/>
  <c r="F11" i="1"/>
  <c r="F10" i="1"/>
  <c r="F1360" i="1"/>
  <c r="F631" i="1"/>
  <c r="F1319" i="1"/>
  <c r="F1313" i="1"/>
  <c r="F1314" i="1"/>
  <c r="F1073" i="1" l="1"/>
  <c r="F339" i="1" l="1"/>
  <c r="F347" i="1"/>
  <c r="F348" i="1"/>
  <c r="F349" i="1"/>
  <c r="F350" i="1"/>
  <c r="F351" i="1"/>
  <c r="F372" i="1" l="1"/>
  <c r="F373" i="1"/>
  <c r="F374" i="1"/>
  <c r="F375" i="1"/>
  <c r="F376" i="1"/>
  <c r="F269" i="1" l="1"/>
  <c r="F285" i="1"/>
  <c r="F286" i="1"/>
  <c r="F287" i="1"/>
  <c r="F289" i="1"/>
  <c r="F290" i="1"/>
  <c r="F305" i="1"/>
  <c r="F306" i="1"/>
  <c r="F307" i="1"/>
  <c r="F353" i="1"/>
  <c r="F354" i="1"/>
  <c r="F355" i="1"/>
  <c r="F370" i="1"/>
  <c r="F371" i="1"/>
  <c r="F319" i="1"/>
  <c r="F320" i="1"/>
  <c r="F321" i="1"/>
  <c r="F332" i="1"/>
  <c r="F333" i="1"/>
  <c r="F180" i="1"/>
  <c r="F181" i="1"/>
  <c r="F186" i="1"/>
  <c r="F187" i="1"/>
  <c r="F188" i="1"/>
  <c r="F189" i="1"/>
  <c r="F191" i="1"/>
  <c r="F192" i="1"/>
  <c r="F193" i="1"/>
  <c r="F204" i="1"/>
  <c r="F208" i="1"/>
  <c r="F258" i="1"/>
  <c r="F212" i="1"/>
  <c r="F213" i="1"/>
  <c r="F214" i="1"/>
  <c r="F221" i="1"/>
  <c r="F222" i="1"/>
  <c r="F223" i="1"/>
  <c r="F231" i="1"/>
  <c r="F240" i="1"/>
  <c r="F247" i="1"/>
  <c r="F248" i="1"/>
  <c r="F246" i="1"/>
  <c r="F219" i="1"/>
  <c r="F741" i="1" l="1"/>
  <c r="F1014" i="1"/>
  <c r="F1013" i="1"/>
  <c r="F1012" i="1"/>
  <c r="F50" i="1"/>
  <c r="F49" i="1"/>
  <c r="F531" i="1"/>
  <c r="F530" i="1"/>
  <c r="F528" i="1"/>
  <c r="F529" i="1"/>
  <c r="F776" i="1"/>
  <c r="F261" i="1"/>
  <c r="F260" i="1"/>
  <c r="F259" i="1"/>
  <c r="F864" i="1"/>
  <c r="F525" i="1"/>
  <c r="F1053" i="1"/>
  <c r="F1052" i="1"/>
  <c r="F1051" i="1"/>
  <c r="F130" i="1"/>
  <c r="F129" i="1"/>
  <c r="F128" i="1"/>
  <c r="F127" i="1"/>
  <c r="F65" i="1" l="1"/>
  <c r="F64" i="1"/>
  <c r="F63" i="1"/>
  <c r="F62" i="1"/>
  <c r="F1106" i="1"/>
  <c r="F1105" i="1"/>
  <c r="F1104" i="1"/>
  <c r="F1103" i="1"/>
  <c r="F857" i="1"/>
  <c r="F856" i="1"/>
  <c r="F855" i="1"/>
  <c r="F854" i="1"/>
  <c r="F853" i="1"/>
  <c r="F168" i="1"/>
  <c r="F167" i="1"/>
  <c r="F166" i="1"/>
  <c r="F973" i="1"/>
  <c r="F972" i="1"/>
  <c r="F971" i="1"/>
  <c r="F970" i="1"/>
  <c r="F565" i="1"/>
  <c r="F564" i="1"/>
  <c r="F563" i="1"/>
  <c r="F562" i="1"/>
  <c r="F1004" i="1"/>
  <c r="F1003" i="1"/>
  <c r="F1002" i="1"/>
  <c r="F1001" i="1"/>
  <c r="F687" i="1"/>
  <c r="F686" i="1"/>
  <c r="F685" i="1"/>
  <c r="F684" i="1"/>
  <c r="F337" i="1"/>
  <c r="F336" i="1"/>
  <c r="F335" i="1"/>
  <c r="F334" i="1"/>
  <c r="F867" i="1"/>
  <c r="F866" i="1"/>
  <c r="F865" i="1"/>
  <c r="F163" i="1"/>
  <c r="F863" i="1"/>
  <c r="F862" i="1"/>
  <c r="F769" i="1"/>
  <c r="F218" i="1" l="1"/>
  <c r="F217" i="1"/>
  <c r="F216" i="1"/>
  <c r="F1375" i="1"/>
  <c r="F1376" i="1"/>
  <c r="F1377" i="1"/>
  <c r="F1362" i="1"/>
  <c r="F1364" i="1"/>
  <c r="F1365" i="1"/>
  <c r="F1366" i="1"/>
  <c r="F1367" i="1"/>
  <c r="F1368" i="1"/>
  <c r="F1369" i="1"/>
  <c r="F1371" i="1"/>
  <c r="F1373" i="1"/>
  <c r="F1374" i="1"/>
  <c r="F9" i="1"/>
  <c r="F1361" i="1"/>
  <c r="F1318" i="1"/>
  <c r="F1352" i="1"/>
  <c r="F1353" i="1"/>
  <c r="F1354" i="1"/>
  <c r="F1355" i="1"/>
  <c r="F1356" i="1"/>
  <c r="F1065" i="1"/>
  <c r="F1067" i="1"/>
  <c r="F1068" i="1"/>
  <c r="F1357" i="1"/>
  <c r="F1358" i="1"/>
  <c r="F1359" i="1"/>
  <c r="F1345" i="1"/>
  <c r="F1346" i="1"/>
  <c r="F1338" i="1"/>
  <c r="F1333" i="1"/>
  <c r="F1334" i="1"/>
  <c r="F1331" i="1"/>
  <c r="F1329" i="1"/>
  <c r="F1347" i="1"/>
  <c r="F1348" i="1"/>
  <c r="F1349" i="1"/>
  <c r="F1350" i="1"/>
  <c r="F1351" i="1"/>
  <c r="F1343" i="1"/>
  <c r="F1344" i="1"/>
  <c r="F1342" i="1"/>
  <c r="F1335" i="1"/>
  <c r="F1336" i="1"/>
  <c r="F1337" i="1"/>
  <c r="F1339" i="1"/>
  <c r="F1340" i="1"/>
  <c r="F1341" i="1"/>
  <c r="F1327" i="1"/>
  <c r="F1328" i="1"/>
  <c r="F1330" i="1"/>
  <c r="F1332" i="1"/>
  <c r="F1323" i="1"/>
  <c r="F1324" i="1"/>
  <c r="F1325" i="1"/>
  <c r="F1326" i="1"/>
  <c r="F1322" i="1"/>
  <c r="F352" i="1" l="1"/>
  <c r="F587" i="1"/>
  <c r="F561" i="1"/>
  <c r="F551" i="1"/>
  <c r="F507" i="1"/>
  <c r="F492" i="1"/>
  <c r="F485" i="1"/>
  <c r="F516" i="1"/>
  <c r="F885" i="1"/>
  <c r="F705" i="1" l="1"/>
  <c r="F707" i="1"/>
  <c r="G288" i="3" l="1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2" i="3"/>
  <c r="G361" i="3"/>
  <c r="G360" i="3"/>
  <c r="G359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5" i="3"/>
  <c r="G324" i="3"/>
  <c r="G323" i="3"/>
  <c r="G321" i="3"/>
  <c r="G320" i="3"/>
  <c r="G319" i="3"/>
  <c r="G318" i="3"/>
  <c r="G317" i="3"/>
  <c r="G316" i="3"/>
  <c r="G315" i="3"/>
  <c r="G314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5" i="3"/>
  <c r="G264" i="3"/>
  <c r="G263" i="3"/>
  <c r="G262" i="3"/>
  <c r="G261" i="3"/>
  <c r="G260" i="3"/>
  <c r="G259" i="3"/>
  <c r="G258" i="3"/>
  <c r="G256" i="3"/>
  <c r="G255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2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3" i="3"/>
  <c r="G52" i="3"/>
  <c r="G51" i="3"/>
  <c r="G50" i="3"/>
  <c r="G49" i="3"/>
  <c r="G48" i="3"/>
  <c r="G47" i="3"/>
  <c r="G46" i="3"/>
  <c r="G45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5" i="3"/>
  <c r="G14" i="3"/>
  <c r="G13" i="3"/>
  <c r="G12" i="3"/>
  <c r="G10" i="3"/>
  <c r="G9" i="3"/>
  <c r="G8" i="3"/>
  <c r="G7" i="3"/>
  <c r="G6" i="3"/>
  <c r="G5" i="3"/>
  <c r="G4" i="3"/>
  <c r="G3" i="3"/>
  <c r="G2" i="3"/>
  <c r="E526" i="2" l="1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F1321" i="1"/>
  <c r="F1320" i="1"/>
  <c r="F1317" i="1"/>
  <c r="F1316" i="1"/>
  <c r="F1315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674" i="1"/>
  <c r="F673" i="1"/>
  <c r="F1278" i="1"/>
  <c r="F1277" i="1"/>
  <c r="F1276" i="1"/>
  <c r="F1275" i="1"/>
  <c r="F1274" i="1"/>
  <c r="F1273" i="1"/>
  <c r="F1272" i="1"/>
  <c r="F1271" i="1"/>
  <c r="F1270" i="1"/>
  <c r="F1269" i="1"/>
  <c r="F1265" i="1"/>
  <c r="F311" i="1"/>
  <c r="F310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3" i="1"/>
  <c r="F1228" i="1"/>
  <c r="F1178" i="1"/>
  <c r="F1175" i="1"/>
  <c r="F1174" i="1"/>
  <c r="F1173" i="1"/>
  <c r="F1172" i="1"/>
  <c r="F1128" i="1"/>
  <c r="F1120" i="1"/>
  <c r="F1119" i="1"/>
  <c r="F1118" i="1"/>
  <c r="F1117" i="1"/>
  <c r="F1099" i="1"/>
  <c r="F1094" i="1"/>
  <c r="F1093" i="1"/>
  <c r="F1092" i="1"/>
  <c r="F1091" i="1"/>
  <c r="F1089" i="1"/>
  <c r="F1088" i="1"/>
  <c r="F1087" i="1"/>
  <c r="F1086" i="1"/>
  <c r="F1085" i="1"/>
  <c r="F1083" i="1"/>
  <c r="F1082" i="1"/>
  <c r="F1081" i="1"/>
  <c r="F1080" i="1"/>
  <c r="F1079" i="1"/>
  <c r="F1078" i="1"/>
  <c r="F1076" i="1"/>
  <c r="F1075" i="1"/>
  <c r="F1072" i="1"/>
  <c r="F1071" i="1"/>
  <c r="F1041" i="1"/>
  <c r="F1040" i="1"/>
  <c r="F1039" i="1"/>
  <c r="F1038" i="1"/>
  <c r="F1037" i="1"/>
  <c r="F1036" i="1"/>
  <c r="F1035" i="1"/>
  <c r="F1034" i="1"/>
  <c r="F1033" i="1"/>
  <c r="F1023" i="1"/>
  <c r="F1022" i="1"/>
  <c r="F1021" i="1"/>
  <c r="F1020" i="1"/>
  <c r="F1019" i="1"/>
  <c r="F1018" i="1"/>
  <c r="F1017" i="1"/>
  <c r="F1016" i="1"/>
  <c r="F1005" i="1"/>
  <c r="F997" i="1"/>
  <c r="F996" i="1"/>
  <c r="F995" i="1"/>
  <c r="F994" i="1"/>
  <c r="F991" i="1"/>
  <c r="F990" i="1"/>
  <c r="F989" i="1"/>
  <c r="F988" i="1"/>
  <c r="F987" i="1"/>
  <c r="F986" i="1"/>
  <c r="F968" i="1"/>
  <c r="F967" i="1"/>
  <c r="F966" i="1"/>
  <c r="F954" i="1"/>
  <c r="F949" i="1"/>
  <c r="F946" i="1"/>
  <c r="F948" i="1"/>
  <c r="F94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06" i="1"/>
  <c r="F905" i="1"/>
  <c r="F904" i="1"/>
  <c r="F903" i="1"/>
  <c r="F897" i="1"/>
  <c r="F896" i="1"/>
  <c r="F895" i="1"/>
  <c r="F894" i="1"/>
  <c r="F893" i="1"/>
  <c r="F892" i="1"/>
  <c r="F891" i="1"/>
  <c r="F887" i="1"/>
  <c r="XFB876" i="1"/>
  <c r="XET876" i="1"/>
  <c r="XEL876" i="1"/>
  <c r="XED876" i="1"/>
  <c r="XDV876" i="1"/>
  <c r="XDN876" i="1"/>
  <c r="XDF876" i="1"/>
  <c r="XCX876" i="1"/>
  <c r="XCP876" i="1"/>
  <c r="XCH876" i="1"/>
  <c r="XBZ876" i="1"/>
  <c r="XBR876" i="1"/>
  <c r="XBJ876" i="1"/>
  <c r="XBB876" i="1"/>
  <c r="XAT876" i="1"/>
  <c r="XAL876" i="1"/>
  <c r="XAD876" i="1"/>
  <c r="WZV876" i="1"/>
  <c r="WZN876" i="1"/>
  <c r="WZF876" i="1"/>
  <c r="WYX876" i="1"/>
  <c r="WYP876" i="1"/>
  <c r="WYH876" i="1"/>
  <c r="WXZ876" i="1"/>
  <c r="WXR876" i="1"/>
  <c r="WXJ876" i="1"/>
  <c r="WXB876" i="1"/>
  <c r="WWT876" i="1"/>
  <c r="WWL876" i="1"/>
  <c r="WWD876" i="1"/>
  <c r="WVV876" i="1"/>
  <c r="WVN876" i="1"/>
  <c r="WVF876" i="1"/>
  <c r="WUX876" i="1"/>
  <c r="WUP876" i="1"/>
  <c r="WUH876" i="1"/>
  <c r="WTZ876" i="1"/>
  <c r="WTR876" i="1"/>
  <c r="WTJ876" i="1"/>
  <c r="WTB876" i="1"/>
  <c r="WST876" i="1"/>
  <c r="WSL876" i="1"/>
  <c r="WSD876" i="1"/>
  <c r="WRV876" i="1"/>
  <c r="WRN876" i="1"/>
  <c r="WRF876" i="1"/>
  <c r="WQX876" i="1"/>
  <c r="WQP876" i="1"/>
  <c r="WQH876" i="1"/>
  <c r="WPZ876" i="1"/>
  <c r="WPR876" i="1"/>
  <c r="WPJ876" i="1"/>
  <c r="WPB876" i="1"/>
  <c r="WOT876" i="1"/>
  <c r="WOL876" i="1"/>
  <c r="WOD876" i="1"/>
  <c r="WNV876" i="1"/>
  <c r="WNN876" i="1"/>
  <c r="WNF876" i="1"/>
  <c r="WMX876" i="1"/>
  <c r="WMP876" i="1"/>
  <c r="WMH876" i="1"/>
  <c r="WLZ876" i="1"/>
  <c r="WLR876" i="1"/>
  <c r="WLJ876" i="1"/>
  <c r="WLB876" i="1"/>
  <c r="WKT876" i="1"/>
  <c r="WKL876" i="1"/>
  <c r="WKD876" i="1"/>
  <c r="WJV876" i="1"/>
  <c r="WJN876" i="1"/>
  <c r="WJF876" i="1"/>
  <c r="WIX876" i="1"/>
  <c r="WIP876" i="1"/>
  <c r="WIH876" i="1"/>
  <c r="WHZ876" i="1"/>
  <c r="WHR876" i="1"/>
  <c r="WHJ876" i="1"/>
  <c r="WHB876" i="1"/>
  <c r="WGT876" i="1"/>
  <c r="WGL876" i="1"/>
  <c r="WGD876" i="1"/>
  <c r="WFV876" i="1"/>
  <c r="WFN876" i="1"/>
  <c r="WFF876" i="1"/>
  <c r="WEX876" i="1"/>
  <c r="WEP876" i="1"/>
  <c r="WEH876" i="1"/>
  <c r="WDZ876" i="1"/>
  <c r="WDR876" i="1"/>
  <c r="WDJ876" i="1"/>
  <c r="WDB876" i="1"/>
  <c r="WCT876" i="1"/>
  <c r="WCL876" i="1"/>
  <c r="WCD876" i="1"/>
  <c r="WBV876" i="1"/>
  <c r="WBN876" i="1"/>
  <c r="WBF876" i="1"/>
  <c r="WAX876" i="1"/>
  <c r="WAP876" i="1"/>
  <c r="WAH876" i="1"/>
  <c r="VZZ876" i="1"/>
  <c r="VZR876" i="1"/>
  <c r="VZJ876" i="1"/>
  <c r="VZB876" i="1"/>
  <c r="VYT876" i="1"/>
  <c r="VYL876" i="1"/>
  <c r="VYD876" i="1"/>
  <c r="VXV876" i="1"/>
  <c r="VXN876" i="1"/>
  <c r="VXF876" i="1"/>
  <c r="VWX876" i="1"/>
  <c r="VWP876" i="1"/>
  <c r="VWH876" i="1"/>
  <c r="VVZ876" i="1"/>
  <c r="VVR876" i="1"/>
  <c r="VVJ876" i="1"/>
  <c r="VVB876" i="1"/>
  <c r="VUT876" i="1"/>
  <c r="VUL876" i="1"/>
  <c r="VUD876" i="1"/>
  <c r="VTV876" i="1"/>
  <c r="VTN876" i="1"/>
  <c r="VTF876" i="1"/>
  <c r="VSX876" i="1"/>
  <c r="VSP876" i="1"/>
  <c r="VSH876" i="1"/>
  <c r="VRZ876" i="1"/>
  <c r="VRR876" i="1"/>
  <c r="VRJ876" i="1"/>
  <c r="VRB876" i="1"/>
  <c r="VQT876" i="1"/>
  <c r="VQL876" i="1"/>
  <c r="VQD876" i="1"/>
  <c r="VPV876" i="1"/>
  <c r="VPN876" i="1"/>
  <c r="VPF876" i="1"/>
  <c r="VOX876" i="1"/>
  <c r="VOP876" i="1"/>
  <c r="VOH876" i="1"/>
  <c r="VNZ876" i="1"/>
  <c r="VNR876" i="1"/>
  <c r="VNJ876" i="1"/>
  <c r="VNB876" i="1"/>
  <c r="VMT876" i="1"/>
  <c r="VML876" i="1"/>
  <c r="VMD876" i="1"/>
  <c r="VLV876" i="1"/>
  <c r="VLN876" i="1"/>
  <c r="VLF876" i="1"/>
  <c r="VKX876" i="1"/>
  <c r="VKP876" i="1"/>
  <c r="VKH876" i="1"/>
  <c r="VJZ876" i="1"/>
  <c r="VJR876" i="1"/>
  <c r="VJJ876" i="1"/>
  <c r="VJB876" i="1"/>
  <c r="VIT876" i="1"/>
  <c r="VIL876" i="1"/>
  <c r="VID876" i="1"/>
  <c r="VHV876" i="1"/>
  <c r="VHN876" i="1"/>
  <c r="VHF876" i="1"/>
  <c r="VGX876" i="1"/>
  <c r="VGP876" i="1"/>
  <c r="VGH876" i="1"/>
  <c r="VFZ876" i="1"/>
  <c r="VFR876" i="1"/>
  <c r="VFJ876" i="1"/>
  <c r="VFB876" i="1"/>
  <c r="VET876" i="1"/>
  <c r="VEL876" i="1"/>
  <c r="VED876" i="1"/>
  <c r="VDV876" i="1"/>
  <c r="VDN876" i="1"/>
  <c r="VDF876" i="1"/>
  <c r="VCX876" i="1"/>
  <c r="VCP876" i="1"/>
  <c r="VCH876" i="1"/>
  <c r="VBZ876" i="1"/>
  <c r="VBR876" i="1"/>
  <c r="VBJ876" i="1"/>
  <c r="VBB876" i="1"/>
  <c r="VAT876" i="1"/>
  <c r="VAL876" i="1"/>
  <c r="VAD876" i="1"/>
  <c r="UZV876" i="1"/>
  <c r="UZN876" i="1"/>
  <c r="UZF876" i="1"/>
  <c r="UYX876" i="1"/>
  <c r="UYP876" i="1"/>
  <c r="UYH876" i="1"/>
  <c r="UXZ876" i="1"/>
  <c r="UXR876" i="1"/>
  <c r="UXJ876" i="1"/>
  <c r="UXB876" i="1"/>
  <c r="UWT876" i="1"/>
  <c r="UWL876" i="1"/>
  <c r="UWD876" i="1"/>
  <c r="UVV876" i="1"/>
  <c r="UVN876" i="1"/>
  <c r="UVF876" i="1"/>
  <c r="UUX876" i="1"/>
  <c r="UUP876" i="1"/>
  <c r="UUH876" i="1"/>
  <c r="UTZ876" i="1"/>
  <c r="UTR876" i="1"/>
  <c r="UTJ876" i="1"/>
  <c r="UTB876" i="1"/>
  <c r="UST876" i="1"/>
  <c r="USL876" i="1"/>
  <c r="USD876" i="1"/>
  <c r="URV876" i="1"/>
  <c r="URN876" i="1"/>
  <c r="URF876" i="1"/>
  <c r="UQX876" i="1"/>
  <c r="UQP876" i="1"/>
  <c r="UQH876" i="1"/>
  <c r="UPZ876" i="1"/>
  <c r="UPR876" i="1"/>
  <c r="UPJ876" i="1"/>
  <c r="UPB876" i="1"/>
  <c r="UOT876" i="1"/>
  <c r="UOL876" i="1"/>
  <c r="UOD876" i="1"/>
  <c r="UNV876" i="1"/>
  <c r="UNN876" i="1"/>
  <c r="UNF876" i="1"/>
  <c r="UMX876" i="1"/>
  <c r="UMP876" i="1"/>
  <c r="UMH876" i="1"/>
  <c r="ULZ876" i="1"/>
  <c r="ULR876" i="1"/>
  <c r="ULJ876" i="1"/>
  <c r="ULB876" i="1"/>
  <c r="UKT876" i="1"/>
  <c r="UKL876" i="1"/>
  <c r="UKD876" i="1"/>
  <c r="UJV876" i="1"/>
  <c r="UJN876" i="1"/>
  <c r="UJF876" i="1"/>
  <c r="UIX876" i="1"/>
  <c r="UIP876" i="1"/>
  <c r="UIH876" i="1"/>
  <c r="UHZ876" i="1"/>
  <c r="UHR876" i="1"/>
  <c r="UHJ876" i="1"/>
  <c r="UHB876" i="1"/>
  <c r="UGT876" i="1"/>
  <c r="UGL876" i="1"/>
  <c r="UGD876" i="1"/>
  <c r="UFV876" i="1"/>
  <c r="UFN876" i="1"/>
  <c r="UFF876" i="1"/>
  <c r="UEX876" i="1"/>
  <c r="UEP876" i="1"/>
  <c r="UEH876" i="1"/>
  <c r="UDZ876" i="1"/>
  <c r="UDR876" i="1"/>
  <c r="UDJ876" i="1"/>
  <c r="UDB876" i="1"/>
  <c r="UCT876" i="1"/>
  <c r="UCL876" i="1"/>
  <c r="UCD876" i="1"/>
  <c r="UBV876" i="1"/>
  <c r="UBN876" i="1"/>
  <c r="UBF876" i="1"/>
  <c r="UAX876" i="1"/>
  <c r="UAP876" i="1"/>
  <c r="UAH876" i="1"/>
  <c r="TZZ876" i="1"/>
  <c r="TZR876" i="1"/>
  <c r="TZJ876" i="1"/>
  <c r="TZB876" i="1"/>
  <c r="TYT876" i="1"/>
  <c r="TYL876" i="1"/>
  <c r="TYD876" i="1"/>
  <c r="TXV876" i="1"/>
  <c r="TXN876" i="1"/>
  <c r="TXF876" i="1"/>
  <c r="TWX876" i="1"/>
  <c r="TWP876" i="1"/>
  <c r="TWH876" i="1"/>
  <c r="TVZ876" i="1"/>
  <c r="TVR876" i="1"/>
  <c r="TVJ876" i="1"/>
  <c r="TVB876" i="1"/>
  <c r="TUT876" i="1"/>
  <c r="TUL876" i="1"/>
  <c r="TUD876" i="1"/>
  <c r="TTV876" i="1"/>
  <c r="TTN876" i="1"/>
  <c r="TTF876" i="1"/>
  <c r="TSX876" i="1"/>
  <c r="TSP876" i="1"/>
  <c r="TSH876" i="1"/>
  <c r="TRZ876" i="1"/>
  <c r="TRR876" i="1"/>
  <c r="TRJ876" i="1"/>
  <c r="TRB876" i="1"/>
  <c r="TQT876" i="1"/>
  <c r="TQL876" i="1"/>
  <c r="TQD876" i="1"/>
  <c r="TPV876" i="1"/>
  <c r="TPN876" i="1"/>
  <c r="TPF876" i="1"/>
  <c r="TOX876" i="1"/>
  <c r="TOP876" i="1"/>
  <c r="TOH876" i="1"/>
  <c r="TNZ876" i="1"/>
  <c r="TNR876" i="1"/>
  <c r="TNJ876" i="1"/>
  <c r="TNB876" i="1"/>
  <c r="TMT876" i="1"/>
  <c r="TML876" i="1"/>
  <c r="TMD876" i="1"/>
  <c r="TLV876" i="1"/>
  <c r="TLN876" i="1"/>
  <c r="TLF876" i="1"/>
  <c r="TKX876" i="1"/>
  <c r="TKP876" i="1"/>
  <c r="TKH876" i="1"/>
  <c r="TJZ876" i="1"/>
  <c r="TJR876" i="1"/>
  <c r="TJJ876" i="1"/>
  <c r="TJB876" i="1"/>
  <c r="TIT876" i="1"/>
  <c r="TIL876" i="1"/>
  <c r="TID876" i="1"/>
  <c r="THV876" i="1"/>
  <c r="THN876" i="1"/>
  <c r="THF876" i="1"/>
  <c r="TGX876" i="1"/>
  <c r="TGP876" i="1"/>
  <c r="TGH876" i="1"/>
  <c r="TFZ876" i="1"/>
  <c r="TFR876" i="1"/>
  <c r="TFJ876" i="1"/>
  <c r="TFB876" i="1"/>
  <c r="TET876" i="1"/>
  <c r="TEL876" i="1"/>
  <c r="TED876" i="1"/>
  <c r="TDV876" i="1"/>
  <c r="TDN876" i="1"/>
  <c r="TDF876" i="1"/>
  <c r="TCX876" i="1"/>
  <c r="TCP876" i="1"/>
  <c r="TCH876" i="1"/>
  <c r="TBZ876" i="1"/>
  <c r="TBR876" i="1"/>
  <c r="TBJ876" i="1"/>
  <c r="TBB876" i="1"/>
  <c r="TAT876" i="1"/>
  <c r="TAL876" i="1"/>
  <c r="TAD876" i="1"/>
  <c r="SZV876" i="1"/>
  <c r="SZN876" i="1"/>
  <c r="SZF876" i="1"/>
  <c r="SYX876" i="1"/>
  <c r="SYP876" i="1"/>
  <c r="SYH876" i="1"/>
  <c r="SXZ876" i="1"/>
  <c r="SXR876" i="1"/>
  <c r="SXJ876" i="1"/>
  <c r="SXB876" i="1"/>
  <c r="SWT876" i="1"/>
  <c r="SWL876" i="1"/>
  <c r="SWD876" i="1"/>
  <c r="SVV876" i="1"/>
  <c r="SVN876" i="1"/>
  <c r="SVF876" i="1"/>
  <c r="SUX876" i="1"/>
  <c r="SUP876" i="1"/>
  <c r="SUH876" i="1"/>
  <c r="STZ876" i="1"/>
  <c r="STR876" i="1"/>
  <c r="STJ876" i="1"/>
  <c r="STB876" i="1"/>
  <c r="SST876" i="1"/>
  <c r="SSL876" i="1"/>
  <c r="SSD876" i="1"/>
  <c r="SRV876" i="1"/>
  <c r="SRN876" i="1"/>
  <c r="SRF876" i="1"/>
  <c r="SQX876" i="1"/>
  <c r="SQP876" i="1"/>
  <c r="SQH876" i="1"/>
  <c r="SPZ876" i="1"/>
  <c r="SPR876" i="1"/>
  <c r="SPJ876" i="1"/>
  <c r="SPB876" i="1"/>
  <c r="SOT876" i="1"/>
  <c r="SOL876" i="1"/>
  <c r="SOD876" i="1"/>
  <c r="SNV876" i="1"/>
  <c r="SNN876" i="1"/>
  <c r="SNF876" i="1"/>
  <c r="SMX876" i="1"/>
  <c r="SMP876" i="1"/>
  <c r="SMH876" i="1"/>
  <c r="SLZ876" i="1"/>
  <c r="SLR876" i="1"/>
  <c r="SLJ876" i="1"/>
  <c r="SLB876" i="1"/>
  <c r="SKT876" i="1"/>
  <c r="SKL876" i="1"/>
  <c r="SKD876" i="1"/>
  <c r="SJV876" i="1"/>
  <c r="SJN876" i="1"/>
  <c r="SJF876" i="1"/>
  <c r="SIX876" i="1"/>
  <c r="SIP876" i="1"/>
  <c r="SIH876" i="1"/>
  <c r="SHZ876" i="1"/>
  <c r="SHR876" i="1"/>
  <c r="SHJ876" i="1"/>
  <c r="SHB876" i="1"/>
  <c r="SGT876" i="1"/>
  <c r="SGL876" i="1"/>
  <c r="SGD876" i="1"/>
  <c r="SFV876" i="1"/>
  <c r="SFN876" i="1"/>
  <c r="SFF876" i="1"/>
  <c r="SEX876" i="1"/>
  <c r="SEP876" i="1"/>
  <c r="SEH876" i="1"/>
  <c r="SDZ876" i="1"/>
  <c r="SDR876" i="1"/>
  <c r="SDJ876" i="1"/>
  <c r="SDB876" i="1"/>
  <c r="SCT876" i="1"/>
  <c r="SCL876" i="1"/>
  <c r="SCD876" i="1"/>
  <c r="SBV876" i="1"/>
  <c r="SBN876" i="1"/>
  <c r="SBF876" i="1"/>
  <c r="SAX876" i="1"/>
  <c r="SAP876" i="1"/>
  <c r="SAH876" i="1"/>
  <c r="RZZ876" i="1"/>
  <c r="RZR876" i="1"/>
  <c r="RZJ876" i="1"/>
  <c r="RZB876" i="1"/>
  <c r="RYT876" i="1"/>
  <c r="RYL876" i="1"/>
  <c r="RYD876" i="1"/>
  <c r="RXV876" i="1"/>
  <c r="RXN876" i="1"/>
  <c r="RXF876" i="1"/>
  <c r="RWX876" i="1"/>
  <c r="RWP876" i="1"/>
  <c r="RWH876" i="1"/>
  <c r="RVZ876" i="1"/>
  <c r="RVR876" i="1"/>
  <c r="RVJ876" i="1"/>
  <c r="RVB876" i="1"/>
  <c r="RUT876" i="1"/>
  <c r="RUL876" i="1"/>
  <c r="RUD876" i="1"/>
  <c r="RTV876" i="1"/>
  <c r="RTN876" i="1"/>
  <c r="RTF876" i="1"/>
  <c r="RSX876" i="1"/>
  <c r="RSP876" i="1"/>
  <c r="RSH876" i="1"/>
  <c r="RRZ876" i="1"/>
  <c r="RRR876" i="1"/>
  <c r="RRJ876" i="1"/>
  <c r="RRB876" i="1"/>
  <c r="RQT876" i="1"/>
  <c r="RQL876" i="1"/>
  <c r="RQD876" i="1"/>
  <c r="RPV876" i="1"/>
  <c r="RPN876" i="1"/>
  <c r="RPF876" i="1"/>
  <c r="ROX876" i="1"/>
  <c r="ROP876" i="1"/>
  <c r="ROH876" i="1"/>
  <c r="RNZ876" i="1"/>
  <c r="RNR876" i="1"/>
  <c r="RNJ876" i="1"/>
  <c r="RNB876" i="1"/>
  <c r="RMT876" i="1"/>
  <c r="RML876" i="1"/>
  <c r="RMD876" i="1"/>
  <c r="RLV876" i="1"/>
  <c r="RLN876" i="1"/>
  <c r="RLF876" i="1"/>
  <c r="RKX876" i="1"/>
  <c r="RKP876" i="1"/>
  <c r="RKH876" i="1"/>
  <c r="RJZ876" i="1"/>
  <c r="RJR876" i="1"/>
  <c r="RJJ876" i="1"/>
  <c r="RJB876" i="1"/>
  <c r="RIT876" i="1"/>
  <c r="RIL876" i="1"/>
  <c r="RID876" i="1"/>
  <c r="RHV876" i="1"/>
  <c r="RHN876" i="1"/>
  <c r="RHF876" i="1"/>
  <c r="RGX876" i="1"/>
  <c r="RGP876" i="1"/>
  <c r="RGH876" i="1"/>
  <c r="RFZ876" i="1"/>
  <c r="RFR876" i="1"/>
  <c r="RFJ876" i="1"/>
  <c r="RFB876" i="1"/>
  <c r="RET876" i="1"/>
  <c r="REL876" i="1"/>
  <c r="RED876" i="1"/>
  <c r="RDV876" i="1"/>
  <c r="RDN876" i="1"/>
  <c r="RDF876" i="1"/>
  <c r="RCX876" i="1"/>
  <c r="RCP876" i="1"/>
  <c r="RCH876" i="1"/>
  <c r="RBZ876" i="1"/>
  <c r="RBR876" i="1"/>
  <c r="RBJ876" i="1"/>
  <c r="RBB876" i="1"/>
  <c r="RAT876" i="1"/>
  <c r="RAL876" i="1"/>
  <c r="RAD876" i="1"/>
  <c r="QZV876" i="1"/>
  <c r="QZN876" i="1"/>
  <c r="QZF876" i="1"/>
  <c r="QYX876" i="1"/>
  <c r="QYP876" i="1"/>
  <c r="QYH876" i="1"/>
  <c r="QXZ876" i="1"/>
  <c r="QXR876" i="1"/>
  <c r="QXJ876" i="1"/>
  <c r="QXB876" i="1"/>
  <c r="QWT876" i="1"/>
  <c r="QWL876" i="1"/>
  <c r="QWD876" i="1"/>
  <c r="QVV876" i="1"/>
  <c r="QVN876" i="1"/>
  <c r="QVF876" i="1"/>
  <c r="QUX876" i="1"/>
  <c r="QUP876" i="1"/>
  <c r="QUH876" i="1"/>
  <c r="QTZ876" i="1"/>
  <c r="QTR876" i="1"/>
  <c r="QTJ876" i="1"/>
  <c r="QTB876" i="1"/>
  <c r="QST876" i="1"/>
  <c r="QSL876" i="1"/>
  <c r="QSD876" i="1"/>
  <c r="QRV876" i="1"/>
  <c r="QRN876" i="1"/>
  <c r="QRF876" i="1"/>
  <c r="QQX876" i="1"/>
  <c r="QQP876" i="1"/>
  <c r="QQH876" i="1"/>
  <c r="QPZ876" i="1"/>
  <c r="QPR876" i="1"/>
  <c r="QPJ876" i="1"/>
  <c r="QPB876" i="1"/>
  <c r="QOT876" i="1"/>
  <c r="QOL876" i="1"/>
  <c r="QOD876" i="1"/>
  <c r="QNV876" i="1"/>
  <c r="QNN876" i="1"/>
  <c r="QNF876" i="1"/>
  <c r="QMX876" i="1"/>
  <c r="QMP876" i="1"/>
  <c r="QMH876" i="1"/>
  <c r="QLZ876" i="1"/>
  <c r="QLR876" i="1"/>
  <c r="QLJ876" i="1"/>
  <c r="QLB876" i="1"/>
  <c r="QKT876" i="1"/>
  <c r="QKL876" i="1"/>
  <c r="QKD876" i="1"/>
  <c r="QJV876" i="1"/>
  <c r="QJN876" i="1"/>
  <c r="QJF876" i="1"/>
  <c r="QIX876" i="1"/>
  <c r="QIP876" i="1"/>
  <c r="QIH876" i="1"/>
  <c r="QHZ876" i="1"/>
  <c r="QHR876" i="1"/>
  <c r="QHJ876" i="1"/>
  <c r="QHB876" i="1"/>
  <c r="QGT876" i="1"/>
  <c r="QGL876" i="1"/>
  <c r="QGD876" i="1"/>
  <c r="QFV876" i="1"/>
  <c r="QFN876" i="1"/>
  <c r="QFF876" i="1"/>
  <c r="QEX876" i="1"/>
  <c r="QEP876" i="1"/>
  <c r="QEH876" i="1"/>
  <c r="QDZ876" i="1"/>
  <c r="QDR876" i="1"/>
  <c r="QDJ876" i="1"/>
  <c r="QDB876" i="1"/>
  <c r="QCT876" i="1"/>
  <c r="QCL876" i="1"/>
  <c r="QCD876" i="1"/>
  <c r="QBV876" i="1"/>
  <c r="QBN876" i="1"/>
  <c r="QBF876" i="1"/>
  <c r="QAX876" i="1"/>
  <c r="QAP876" i="1"/>
  <c r="QAH876" i="1"/>
  <c r="PZZ876" i="1"/>
  <c r="PZR876" i="1"/>
  <c r="PZJ876" i="1"/>
  <c r="PZB876" i="1"/>
  <c r="PYT876" i="1"/>
  <c r="PYL876" i="1"/>
  <c r="PYD876" i="1"/>
  <c r="PXV876" i="1"/>
  <c r="PXN876" i="1"/>
  <c r="PXF876" i="1"/>
  <c r="PWX876" i="1"/>
  <c r="PWP876" i="1"/>
  <c r="PWH876" i="1"/>
  <c r="PVZ876" i="1"/>
  <c r="PVR876" i="1"/>
  <c r="PVJ876" i="1"/>
  <c r="PVB876" i="1"/>
  <c r="PUT876" i="1"/>
  <c r="PUL876" i="1"/>
  <c r="PUD876" i="1"/>
  <c r="PTV876" i="1"/>
  <c r="PTN876" i="1"/>
  <c r="PTF876" i="1"/>
  <c r="PSX876" i="1"/>
  <c r="PSP876" i="1"/>
  <c r="PSH876" i="1"/>
  <c r="PRZ876" i="1"/>
  <c r="PRR876" i="1"/>
  <c r="PRJ876" i="1"/>
  <c r="PRB876" i="1"/>
  <c r="PQT876" i="1"/>
  <c r="PQL876" i="1"/>
  <c r="PQD876" i="1"/>
  <c r="PPV876" i="1"/>
  <c r="PPN876" i="1"/>
  <c r="PPF876" i="1"/>
  <c r="POX876" i="1"/>
  <c r="POP876" i="1"/>
  <c r="POH876" i="1"/>
  <c r="PNZ876" i="1"/>
  <c r="PNR876" i="1"/>
  <c r="PNJ876" i="1"/>
  <c r="PNB876" i="1"/>
  <c r="PMT876" i="1"/>
  <c r="PML876" i="1"/>
  <c r="PMD876" i="1"/>
  <c r="PLV876" i="1"/>
  <c r="PLN876" i="1"/>
  <c r="PLF876" i="1"/>
  <c r="PKX876" i="1"/>
  <c r="PKP876" i="1"/>
  <c r="PKH876" i="1"/>
  <c r="PJZ876" i="1"/>
  <c r="PJR876" i="1"/>
  <c r="PJJ876" i="1"/>
  <c r="PJB876" i="1"/>
  <c r="PIT876" i="1"/>
  <c r="PIL876" i="1"/>
  <c r="PID876" i="1"/>
  <c r="PHV876" i="1"/>
  <c r="PHN876" i="1"/>
  <c r="PHF876" i="1"/>
  <c r="PGX876" i="1"/>
  <c r="PGP876" i="1"/>
  <c r="PGH876" i="1"/>
  <c r="PFZ876" i="1"/>
  <c r="PFR876" i="1"/>
  <c r="PFJ876" i="1"/>
  <c r="PFB876" i="1"/>
  <c r="PET876" i="1"/>
  <c r="PEL876" i="1"/>
  <c r="PED876" i="1"/>
  <c r="PDV876" i="1"/>
  <c r="PDN876" i="1"/>
  <c r="PDF876" i="1"/>
  <c r="PCX876" i="1"/>
  <c r="PCP876" i="1"/>
  <c r="PCH876" i="1"/>
  <c r="PBZ876" i="1"/>
  <c r="PBR876" i="1"/>
  <c r="PBJ876" i="1"/>
  <c r="PBB876" i="1"/>
  <c r="PAT876" i="1"/>
  <c r="PAL876" i="1"/>
  <c r="PAD876" i="1"/>
  <c r="OZV876" i="1"/>
  <c r="OZN876" i="1"/>
  <c r="OZF876" i="1"/>
  <c r="OYX876" i="1"/>
  <c r="OYP876" i="1"/>
  <c r="OYH876" i="1"/>
  <c r="OXZ876" i="1"/>
  <c r="OXR876" i="1"/>
  <c r="OXJ876" i="1"/>
  <c r="OXB876" i="1"/>
  <c r="OWT876" i="1"/>
  <c r="OWL876" i="1"/>
  <c r="OWD876" i="1"/>
  <c r="OVV876" i="1"/>
  <c r="OVN876" i="1"/>
  <c r="OVF876" i="1"/>
  <c r="OUX876" i="1"/>
  <c r="OUP876" i="1"/>
  <c r="OUH876" i="1"/>
  <c r="OTZ876" i="1"/>
  <c r="OTR876" i="1"/>
  <c r="OTJ876" i="1"/>
  <c r="OTB876" i="1"/>
  <c r="OST876" i="1"/>
  <c r="OSL876" i="1"/>
  <c r="OSD876" i="1"/>
  <c r="ORV876" i="1"/>
  <c r="ORN876" i="1"/>
  <c r="ORF876" i="1"/>
  <c r="OQX876" i="1"/>
  <c r="OQP876" i="1"/>
  <c r="OQH876" i="1"/>
  <c r="OPZ876" i="1"/>
  <c r="OPR876" i="1"/>
  <c r="OPJ876" i="1"/>
  <c r="OPB876" i="1"/>
  <c r="OOT876" i="1"/>
  <c r="OOL876" i="1"/>
  <c r="OOD876" i="1"/>
  <c r="ONV876" i="1"/>
  <c r="ONN876" i="1"/>
  <c r="ONF876" i="1"/>
  <c r="OMX876" i="1"/>
  <c r="OMP876" i="1"/>
  <c r="OMH876" i="1"/>
  <c r="OLZ876" i="1"/>
  <c r="OLR876" i="1"/>
  <c r="OLJ876" i="1"/>
  <c r="OLB876" i="1"/>
  <c r="OKT876" i="1"/>
  <c r="OKL876" i="1"/>
  <c r="OKD876" i="1"/>
  <c r="OJV876" i="1"/>
  <c r="OJN876" i="1"/>
  <c r="OJF876" i="1"/>
  <c r="OIX876" i="1"/>
  <c r="OIP876" i="1"/>
  <c r="OIH876" i="1"/>
  <c r="OHZ876" i="1"/>
  <c r="OHR876" i="1"/>
  <c r="OHJ876" i="1"/>
  <c r="OHB876" i="1"/>
  <c r="OGT876" i="1"/>
  <c r="OGL876" i="1"/>
  <c r="OGD876" i="1"/>
  <c r="OFV876" i="1"/>
  <c r="OFN876" i="1"/>
  <c r="OFF876" i="1"/>
  <c r="OEX876" i="1"/>
  <c r="OEP876" i="1"/>
  <c r="OEH876" i="1"/>
  <c r="ODZ876" i="1"/>
  <c r="ODR876" i="1"/>
  <c r="ODJ876" i="1"/>
  <c r="ODB876" i="1"/>
  <c r="OCT876" i="1"/>
  <c r="OCL876" i="1"/>
  <c r="OCD876" i="1"/>
  <c r="OBV876" i="1"/>
  <c r="OBN876" i="1"/>
  <c r="OBF876" i="1"/>
  <c r="OAX876" i="1"/>
  <c r="OAP876" i="1"/>
  <c r="OAH876" i="1"/>
  <c r="NZZ876" i="1"/>
  <c r="NZR876" i="1"/>
  <c r="NZJ876" i="1"/>
  <c r="NZB876" i="1"/>
  <c r="NYT876" i="1"/>
  <c r="NYL876" i="1"/>
  <c r="NYD876" i="1"/>
  <c r="NXV876" i="1"/>
  <c r="NXN876" i="1"/>
  <c r="NXF876" i="1"/>
  <c r="NWX876" i="1"/>
  <c r="NWP876" i="1"/>
  <c r="NWH876" i="1"/>
  <c r="NVZ876" i="1"/>
  <c r="NVR876" i="1"/>
  <c r="NVJ876" i="1"/>
  <c r="NVB876" i="1"/>
  <c r="NUT876" i="1"/>
  <c r="NUL876" i="1"/>
  <c r="NUD876" i="1"/>
  <c r="NTV876" i="1"/>
  <c r="NTN876" i="1"/>
  <c r="NTF876" i="1"/>
  <c r="NSX876" i="1"/>
  <c r="NSP876" i="1"/>
  <c r="NSH876" i="1"/>
  <c r="NRZ876" i="1"/>
  <c r="NRR876" i="1"/>
  <c r="NRJ876" i="1"/>
  <c r="NRB876" i="1"/>
  <c r="NQT876" i="1"/>
  <c r="NQL876" i="1"/>
  <c r="NQD876" i="1"/>
  <c r="NPV876" i="1"/>
  <c r="NPN876" i="1"/>
  <c r="NPF876" i="1"/>
  <c r="NOX876" i="1"/>
  <c r="NOP876" i="1"/>
  <c r="NOH876" i="1"/>
  <c r="NNZ876" i="1"/>
  <c r="NNR876" i="1"/>
  <c r="NNJ876" i="1"/>
  <c r="NNB876" i="1"/>
  <c r="NMT876" i="1"/>
  <c r="NML876" i="1"/>
  <c r="NMD876" i="1"/>
  <c r="NLV876" i="1"/>
  <c r="NLN876" i="1"/>
  <c r="NLF876" i="1"/>
  <c r="NKX876" i="1"/>
  <c r="NKP876" i="1"/>
  <c r="NKH876" i="1"/>
  <c r="NJZ876" i="1"/>
  <c r="NJR876" i="1"/>
  <c r="NJJ876" i="1"/>
  <c r="NJB876" i="1"/>
  <c r="NIT876" i="1"/>
  <c r="NIL876" i="1"/>
  <c r="NID876" i="1"/>
  <c r="NHV876" i="1"/>
  <c r="NHN876" i="1"/>
  <c r="NHF876" i="1"/>
  <c r="NGX876" i="1"/>
  <c r="NGP876" i="1"/>
  <c r="NGH876" i="1"/>
  <c r="NFZ876" i="1"/>
  <c r="NFR876" i="1"/>
  <c r="NFJ876" i="1"/>
  <c r="NFB876" i="1"/>
  <c r="NET876" i="1"/>
  <c r="NEL876" i="1"/>
  <c r="NED876" i="1"/>
  <c r="NDV876" i="1"/>
  <c r="NDN876" i="1"/>
  <c r="NDF876" i="1"/>
  <c r="NCX876" i="1"/>
  <c r="NCP876" i="1"/>
  <c r="NCH876" i="1"/>
  <c r="NBZ876" i="1"/>
  <c r="NBR876" i="1"/>
  <c r="NBJ876" i="1"/>
  <c r="NBB876" i="1"/>
  <c r="NAT876" i="1"/>
  <c r="NAL876" i="1"/>
  <c r="NAD876" i="1"/>
  <c r="MZV876" i="1"/>
  <c r="MZN876" i="1"/>
  <c r="MZF876" i="1"/>
  <c r="MYX876" i="1"/>
  <c r="MYP876" i="1"/>
  <c r="MYH876" i="1"/>
  <c r="MXZ876" i="1"/>
  <c r="MXR876" i="1"/>
  <c r="MXJ876" i="1"/>
  <c r="MXB876" i="1"/>
  <c r="MWT876" i="1"/>
  <c r="MWL876" i="1"/>
  <c r="MWD876" i="1"/>
  <c r="MVV876" i="1"/>
  <c r="MVN876" i="1"/>
  <c r="MVF876" i="1"/>
  <c r="MUX876" i="1"/>
  <c r="MUP876" i="1"/>
  <c r="MUH876" i="1"/>
  <c r="MTZ876" i="1"/>
  <c r="MTR876" i="1"/>
  <c r="MTJ876" i="1"/>
  <c r="MTB876" i="1"/>
  <c r="MST876" i="1"/>
  <c r="MSL876" i="1"/>
  <c r="MSD876" i="1"/>
  <c r="MRV876" i="1"/>
  <c r="MRN876" i="1"/>
  <c r="MRF876" i="1"/>
  <c r="MQX876" i="1"/>
  <c r="MQP876" i="1"/>
  <c r="MQH876" i="1"/>
  <c r="MPZ876" i="1"/>
  <c r="MPR876" i="1"/>
  <c r="MPJ876" i="1"/>
  <c r="MPB876" i="1"/>
  <c r="MOT876" i="1"/>
  <c r="MOL876" i="1"/>
  <c r="MOD876" i="1"/>
  <c r="MNV876" i="1"/>
  <c r="MNN876" i="1"/>
  <c r="MNF876" i="1"/>
  <c r="MMX876" i="1"/>
  <c r="MMP876" i="1"/>
  <c r="MMH876" i="1"/>
  <c r="MLZ876" i="1"/>
  <c r="MLR876" i="1"/>
  <c r="MLJ876" i="1"/>
  <c r="MLB876" i="1"/>
  <c r="MKT876" i="1"/>
  <c r="MKL876" i="1"/>
  <c r="MKD876" i="1"/>
  <c r="MJV876" i="1"/>
  <c r="MJN876" i="1"/>
  <c r="MJF876" i="1"/>
  <c r="MIX876" i="1"/>
  <c r="MIP876" i="1"/>
  <c r="MIH876" i="1"/>
  <c r="MHZ876" i="1"/>
  <c r="MHR876" i="1"/>
  <c r="MHJ876" i="1"/>
  <c r="MHB876" i="1"/>
  <c r="MGT876" i="1"/>
  <c r="MGL876" i="1"/>
  <c r="MGD876" i="1"/>
  <c r="MFV876" i="1"/>
  <c r="MFN876" i="1"/>
  <c r="MFF876" i="1"/>
  <c r="MEX876" i="1"/>
  <c r="MEP876" i="1"/>
  <c r="MEH876" i="1"/>
  <c r="MDZ876" i="1"/>
  <c r="MDR876" i="1"/>
  <c r="MDJ876" i="1"/>
  <c r="MDB876" i="1"/>
  <c r="MCT876" i="1"/>
  <c r="MCL876" i="1"/>
  <c r="MCD876" i="1"/>
  <c r="MBV876" i="1"/>
  <c r="MBN876" i="1"/>
  <c r="MBF876" i="1"/>
  <c r="MAX876" i="1"/>
  <c r="MAP876" i="1"/>
  <c r="MAH876" i="1"/>
  <c r="LZZ876" i="1"/>
  <c r="LZR876" i="1"/>
  <c r="LZJ876" i="1"/>
  <c r="LZB876" i="1"/>
  <c r="LYT876" i="1"/>
  <c r="LYL876" i="1"/>
  <c r="LYD876" i="1"/>
  <c r="LXV876" i="1"/>
  <c r="LXN876" i="1"/>
  <c r="LXF876" i="1"/>
  <c r="LWX876" i="1"/>
  <c r="LWP876" i="1"/>
  <c r="LWH876" i="1"/>
  <c r="LVZ876" i="1"/>
  <c r="LVR876" i="1"/>
  <c r="LVJ876" i="1"/>
  <c r="LVB876" i="1"/>
  <c r="LUT876" i="1"/>
  <c r="LUL876" i="1"/>
  <c r="LUD876" i="1"/>
  <c r="LTV876" i="1"/>
  <c r="LTN876" i="1"/>
  <c r="LTF876" i="1"/>
  <c r="LSX876" i="1"/>
  <c r="LSP876" i="1"/>
  <c r="LSH876" i="1"/>
  <c r="LRZ876" i="1"/>
  <c r="LRR876" i="1"/>
  <c r="LRJ876" i="1"/>
  <c r="LRB876" i="1"/>
  <c r="LQT876" i="1"/>
  <c r="LQL876" i="1"/>
  <c r="LQD876" i="1"/>
  <c r="LPV876" i="1"/>
  <c r="LPN876" i="1"/>
  <c r="LPF876" i="1"/>
  <c r="LOX876" i="1"/>
  <c r="LOP876" i="1"/>
  <c r="LOH876" i="1"/>
  <c r="LNZ876" i="1"/>
  <c r="LNR876" i="1"/>
  <c r="LNJ876" i="1"/>
  <c r="LNB876" i="1"/>
  <c r="LMT876" i="1"/>
  <c r="LML876" i="1"/>
  <c r="LMD876" i="1"/>
  <c r="LLV876" i="1"/>
  <c r="LLN876" i="1"/>
  <c r="LLF876" i="1"/>
  <c r="LKX876" i="1"/>
  <c r="LKP876" i="1"/>
  <c r="LKH876" i="1"/>
  <c r="LJZ876" i="1"/>
  <c r="LJR876" i="1"/>
  <c r="LJJ876" i="1"/>
  <c r="LJB876" i="1"/>
  <c r="LIT876" i="1"/>
  <c r="LIL876" i="1"/>
  <c r="LID876" i="1"/>
  <c r="LHV876" i="1"/>
  <c r="LHN876" i="1"/>
  <c r="LHF876" i="1"/>
  <c r="LGX876" i="1"/>
  <c r="LGP876" i="1"/>
  <c r="LGH876" i="1"/>
  <c r="LFZ876" i="1"/>
  <c r="LFR876" i="1"/>
  <c r="LFJ876" i="1"/>
  <c r="LFB876" i="1"/>
  <c r="LET876" i="1"/>
  <c r="LEL876" i="1"/>
  <c r="LED876" i="1"/>
  <c r="LDV876" i="1"/>
  <c r="LDN876" i="1"/>
  <c r="LDF876" i="1"/>
  <c r="LCX876" i="1"/>
  <c r="LCP876" i="1"/>
  <c r="LCH876" i="1"/>
  <c r="LBZ876" i="1"/>
  <c r="LBR876" i="1"/>
  <c r="LBJ876" i="1"/>
  <c r="LBB876" i="1"/>
  <c r="LAT876" i="1"/>
  <c r="LAL876" i="1"/>
  <c r="LAD876" i="1"/>
  <c r="KZV876" i="1"/>
  <c r="KZN876" i="1"/>
  <c r="KZF876" i="1"/>
  <c r="KYX876" i="1"/>
  <c r="KYP876" i="1"/>
  <c r="KYH876" i="1"/>
  <c r="KXZ876" i="1"/>
  <c r="KXR876" i="1"/>
  <c r="KXJ876" i="1"/>
  <c r="KXB876" i="1"/>
  <c r="KWT876" i="1"/>
  <c r="KWL876" i="1"/>
  <c r="KWD876" i="1"/>
  <c r="KVV876" i="1"/>
  <c r="KVN876" i="1"/>
  <c r="KVF876" i="1"/>
  <c r="KUX876" i="1"/>
  <c r="KUP876" i="1"/>
  <c r="KUH876" i="1"/>
  <c r="KTZ876" i="1"/>
  <c r="KTR876" i="1"/>
  <c r="KTJ876" i="1"/>
  <c r="KTB876" i="1"/>
  <c r="KST876" i="1"/>
  <c r="KSL876" i="1"/>
  <c r="KSD876" i="1"/>
  <c r="KRV876" i="1"/>
  <c r="KRN876" i="1"/>
  <c r="KRF876" i="1"/>
  <c r="KQX876" i="1"/>
  <c r="KQP876" i="1"/>
  <c r="KQH876" i="1"/>
  <c r="KPZ876" i="1"/>
  <c r="KPR876" i="1"/>
  <c r="KPJ876" i="1"/>
  <c r="KPB876" i="1"/>
  <c r="KOT876" i="1"/>
  <c r="KOL876" i="1"/>
  <c r="KOD876" i="1"/>
  <c r="KNV876" i="1"/>
  <c r="KNN876" i="1"/>
  <c r="KNF876" i="1"/>
  <c r="KMX876" i="1"/>
  <c r="KMP876" i="1"/>
  <c r="KMH876" i="1"/>
  <c r="KLZ876" i="1"/>
  <c r="KLR876" i="1"/>
  <c r="KLJ876" i="1"/>
  <c r="KLB876" i="1"/>
  <c r="KKT876" i="1"/>
  <c r="KKL876" i="1"/>
  <c r="KKD876" i="1"/>
  <c r="KJV876" i="1"/>
  <c r="KJN876" i="1"/>
  <c r="KJF876" i="1"/>
  <c r="KIX876" i="1"/>
  <c r="KIP876" i="1"/>
  <c r="KIH876" i="1"/>
  <c r="KHZ876" i="1"/>
  <c r="KHR876" i="1"/>
  <c r="KHJ876" i="1"/>
  <c r="KHB876" i="1"/>
  <c r="KGT876" i="1"/>
  <c r="KGL876" i="1"/>
  <c r="KGD876" i="1"/>
  <c r="KFV876" i="1"/>
  <c r="KFN876" i="1"/>
  <c r="KFF876" i="1"/>
  <c r="KEX876" i="1"/>
  <c r="KEP876" i="1"/>
  <c r="KEH876" i="1"/>
  <c r="KDZ876" i="1"/>
  <c r="KDR876" i="1"/>
  <c r="KDJ876" i="1"/>
  <c r="KDB876" i="1"/>
  <c r="KCT876" i="1"/>
  <c r="KCL876" i="1"/>
  <c r="KCD876" i="1"/>
  <c r="KBV876" i="1"/>
  <c r="KBN876" i="1"/>
  <c r="KBF876" i="1"/>
  <c r="KAX876" i="1"/>
  <c r="KAP876" i="1"/>
  <c r="KAH876" i="1"/>
  <c r="JZZ876" i="1"/>
  <c r="JZR876" i="1"/>
  <c r="JZJ876" i="1"/>
  <c r="JZB876" i="1"/>
  <c r="JYT876" i="1"/>
  <c r="JYL876" i="1"/>
  <c r="JYD876" i="1"/>
  <c r="JXV876" i="1"/>
  <c r="JXN876" i="1"/>
  <c r="JXF876" i="1"/>
  <c r="JWX876" i="1"/>
  <c r="JWP876" i="1"/>
  <c r="JWH876" i="1"/>
  <c r="JVZ876" i="1"/>
  <c r="JVR876" i="1"/>
  <c r="JVJ876" i="1"/>
  <c r="JVB876" i="1"/>
  <c r="JUT876" i="1"/>
  <c r="JUL876" i="1"/>
  <c r="JUD876" i="1"/>
  <c r="JTV876" i="1"/>
  <c r="JTN876" i="1"/>
  <c r="JTF876" i="1"/>
  <c r="JSX876" i="1"/>
  <c r="JSP876" i="1"/>
  <c r="JSH876" i="1"/>
  <c r="JRZ876" i="1"/>
  <c r="JRR876" i="1"/>
  <c r="JRJ876" i="1"/>
  <c r="JRB876" i="1"/>
  <c r="JQT876" i="1"/>
  <c r="JQL876" i="1"/>
  <c r="JQD876" i="1"/>
  <c r="JPV876" i="1"/>
  <c r="JPN876" i="1"/>
  <c r="JPF876" i="1"/>
  <c r="JOX876" i="1"/>
  <c r="JOP876" i="1"/>
  <c r="JOH876" i="1"/>
  <c r="JNZ876" i="1"/>
  <c r="JNR876" i="1"/>
  <c r="JNJ876" i="1"/>
  <c r="JNB876" i="1"/>
  <c r="JMT876" i="1"/>
  <c r="JML876" i="1"/>
  <c r="JMD876" i="1"/>
  <c r="JLV876" i="1"/>
  <c r="JLN876" i="1"/>
  <c r="JLF876" i="1"/>
  <c r="JKX876" i="1"/>
  <c r="JKP876" i="1"/>
  <c r="JKH876" i="1"/>
  <c r="JJZ876" i="1"/>
  <c r="JJR876" i="1"/>
  <c r="JJJ876" i="1"/>
  <c r="JJB876" i="1"/>
  <c r="JIT876" i="1"/>
  <c r="JIL876" i="1"/>
  <c r="JID876" i="1"/>
  <c r="JHV876" i="1"/>
  <c r="JHN876" i="1"/>
  <c r="JHF876" i="1"/>
  <c r="JGX876" i="1"/>
  <c r="JGP876" i="1"/>
  <c r="JGH876" i="1"/>
  <c r="JFZ876" i="1"/>
  <c r="JFR876" i="1"/>
  <c r="JFJ876" i="1"/>
  <c r="JFB876" i="1"/>
  <c r="JET876" i="1"/>
  <c r="JEL876" i="1"/>
  <c r="JED876" i="1"/>
  <c r="JDV876" i="1"/>
  <c r="JDN876" i="1"/>
  <c r="JDF876" i="1"/>
  <c r="JCX876" i="1"/>
  <c r="JCP876" i="1"/>
  <c r="JCH876" i="1"/>
  <c r="JBZ876" i="1"/>
  <c r="JBR876" i="1"/>
  <c r="JBJ876" i="1"/>
  <c r="JBB876" i="1"/>
  <c r="JAT876" i="1"/>
  <c r="JAL876" i="1"/>
  <c r="JAD876" i="1"/>
  <c r="IZV876" i="1"/>
  <c r="IZN876" i="1"/>
  <c r="IZF876" i="1"/>
  <c r="IYX876" i="1"/>
  <c r="IYP876" i="1"/>
  <c r="IYH876" i="1"/>
  <c r="IXZ876" i="1"/>
  <c r="IXR876" i="1"/>
  <c r="IXJ876" i="1"/>
  <c r="IXB876" i="1"/>
  <c r="IWT876" i="1"/>
  <c r="IWL876" i="1"/>
  <c r="IWD876" i="1"/>
  <c r="IVV876" i="1"/>
  <c r="IVN876" i="1"/>
  <c r="IVF876" i="1"/>
  <c r="IUX876" i="1"/>
  <c r="IUP876" i="1"/>
  <c r="IUH876" i="1"/>
  <c r="ITZ876" i="1"/>
  <c r="ITR876" i="1"/>
  <c r="ITJ876" i="1"/>
  <c r="ITB876" i="1"/>
  <c r="IST876" i="1"/>
  <c r="ISL876" i="1"/>
  <c r="ISD876" i="1"/>
  <c r="IRV876" i="1"/>
  <c r="IRN876" i="1"/>
  <c r="IRF876" i="1"/>
  <c r="IQX876" i="1"/>
  <c r="IQP876" i="1"/>
  <c r="IQH876" i="1"/>
  <c r="IPZ876" i="1"/>
  <c r="IPR876" i="1"/>
  <c r="IPJ876" i="1"/>
  <c r="IPB876" i="1"/>
  <c r="IOT876" i="1"/>
  <c r="IOL876" i="1"/>
  <c r="IOD876" i="1"/>
  <c r="INV876" i="1"/>
  <c r="INN876" i="1"/>
  <c r="INF876" i="1"/>
  <c r="IMX876" i="1"/>
  <c r="IMP876" i="1"/>
  <c r="IMH876" i="1"/>
  <c r="ILZ876" i="1"/>
  <c r="ILR876" i="1"/>
  <c r="ILJ876" i="1"/>
  <c r="ILB876" i="1"/>
  <c r="IKT876" i="1"/>
  <c r="IKL876" i="1"/>
  <c r="IKD876" i="1"/>
  <c r="IJV876" i="1"/>
  <c r="IJN876" i="1"/>
  <c r="IJF876" i="1"/>
  <c r="IIX876" i="1"/>
  <c r="IIP876" i="1"/>
  <c r="IIH876" i="1"/>
  <c r="IHZ876" i="1"/>
  <c r="IHR876" i="1"/>
  <c r="IHJ876" i="1"/>
  <c r="IHB876" i="1"/>
  <c r="IGT876" i="1"/>
  <c r="IGL876" i="1"/>
  <c r="IGD876" i="1"/>
  <c r="IFV876" i="1"/>
  <c r="IFN876" i="1"/>
  <c r="IFF876" i="1"/>
  <c r="IEX876" i="1"/>
  <c r="IEP876" i="1"/>
  <c r="IEH876" i="1"/>
  <c r="IDZ876" i="1"/>
  <c r="IDR876" i="1"/>
  <c r="IDJ876" i="1"/>
  <c r="IDB876" i="1"/>
  <c r="ICT876" i="1"/>
  <c r="ICL876" i="1"/>
  <c r="ICD876" i="1"/>
  <c r="IBV876" i="1"/>
  <c r="IBN876" i="1"/>
  <c r="IBF876" i="1"/>
  <c r="IAX876" i="1"/>
  <c r="IAP876" i="1"/>
  <c r="IAH876" i="1"/>
  <c r="HZZ876" i="1"/>
  <c r="HZR876" i="1"/>
  <c r="HZJ876" i="1"/>
  <c r="HZB876" i="1"/>
  <c r="HYT876" i="1"/>
  <c r="HYL876" i="1"/>
  <c r="HYD876" i="1"/>
  <c r="HXV876" i="1"/>
  <c r="HXN876" i="1"/>
  <c r="HXF876" i="1"/>
  <c r="HWX876" i="1"/>
  <c r="HWP876" i="1"/>
  <c r="HWH876" i="1"/>
  <c r="HVZ876" i="1"/>
  <c r="HVR876" i="1"/>
  <c r="HVJ876" i="1"/>
  <c r="HVB876" i="1"/>
  <c r="HUT876" i="1"/>
  <c r="HUL876" i="1"/>
  <c r="HUD876" i="1"/>
  <c r="HTV876" i="1"/>
  <c r="HTN876" i="1"/>
  <c r="HTF876" i="1"/>
  <c r="HSX876" i="1"/>
  <c r="HSP876" i="1"/>
  <c r="HSH876" i="1"/>
  <c r="HRZ876" i="1"/>
  <c r="HRR876" i="1"/>
  <c r="HRJ876" i="1"/>
  <c r="HRB876" i="1"/>
  <c r="HQT876" i="1"/>
  <c r="HQL876" i="1"/>
  <c r="HQD876" i="1"/>
  <c r="HPV876" i="1"/>
  <c r="HPN876" i="1"/>
  <c r="HPF876" i="1"/>
  <c r="HOX876" i="1"/>
  <c r="HOP876" i="1"/>
  <c r="HOH876" i="1"/>
  <c r="HNZ876" i="1"/>
  <c r="HNR876" i="1"/>
  <c r="HNJ876" i="1"/>
  <c r="HNB876" i="1"/>
  <c r="HMT876" i="1"/>
  <c r="HML876" i="1"/>
  <c r="HMD876" i="1"/>
  <c r="HLV876" i="1"/>
  <c r="HLN876" i="1"/>
  <c r="HLF876" i="1"/>
  <c r="HKX876" i="1"/>
  <c r="HKP876" i="1"/>
  <c r="HKH876" i="1"/>
  <c r="HJZ876" i="1"/>
  <c r="HJR876" i="1"/>
  <c r="HJJ876" i="1"/>
  <c r="HJB876" i="1"/>
  <c r="HIT876" i="1"/>
  <c r="HIL876" i="1"/>
  <c r="HID876" i="1"/>
  <c r="HHV876" i="1"/>
  <c r="HHN876" i="1"/>
  <c r="HHF876" i="1"/>
  <c r="HGX876" i="1"/>
  <c r="HGP876" i="1"/>
  <c r="HGH876" i="1"/>
  <c r="HFZ876" i="1"/>
  <c r="HFR876" i="1"/>
  <c r="HFJ876" i="1"/>
  <c r="HFB876" i="1"/>
  <c r="HET876" i="1"/>
  <c r="HEL876" i="1"/>
  <c r="HED876" i="1"/>
  <c r="HDV876" i="1"/>
  <c r="HDN876" i="1"/>
  <c r="HDF876" i="1"/>
  <c r="HCX876" i="1"/>
  <c r="HCP876" i="1"/>
  <c r="HCH876" i="1"/>
  <c r="HBZ876" i="1"/>
  <c r="HBR876" i="1"/>
  <c r="HBJ876" i="1"/>
  <c r="HBB876" i="1"/>
  <c r="HAT876" i="1"/>
  <c r="HAL876" i="1"/>
  <c r="HAD876" i="1"/>
  <c r="GZV876" i="1"/>
  <c r="GZN876" i="1"/>
  <c r="GZF876" i="1"/>
  <c r="GYX876" i="1"/>
  <c r="GYP876" i="1"/>
  <c r="GYH876" i="1"/>
  <c r="GXZ876" i="1"/>
  <c r="GXR876" i="1"/>
  <c r="GXJ876" i="1"/>
  <c r="GXB876" i="1"/>
  <c r="GWT876" i="1"/>
  <c r="GWL876" i="1"/>
  <c r="GWD876" i="1"/>
  <c r="GVV876" i="1"/>
  <c r="GVN876" i="1"/>
  <c r="GVF876" i="1"/>
  <c r="GUX876" i="1"/>
  <c r="GUP876" i="1"/>
  <c r="GUH876" i="1"/>
  <c r="GTZ876" i="1"/>
  <c r="GTR876" i="1"/>
  <c r="GTJ876" i="1"/>
  <c r="GTB876" i="1"/>
  <c r="GST876" i="1"/>
  <c r="GSL876" i="1"/>
  <c r="GSD876" i="1"/>
  <c r="GRV876" i="1"/>
  <c r="GRN876" i="1"/>
  <c r="GRF876" i="1"/>
  <c r="GQX876" i="1"/>
  <c r="GQP876" i="1"/>
  <c r="GQH876" i="1"/>
  <c r="GPZ876" i="1"/>
  <c r="GPR876" i="1"/>
  <c r="GPJ876" i="1"/>
  <c r="GPB876" i="1"/>
  <c r="GOT876" i="1"/>
  <c r="GOL876" i="1"/>
  <c r="GOD876" i="1"/>
  <c r="GNV876" i="1"/>
  <c r="GNN876" i="1"/>
  <c r="GNF876" i="1"/>
  <c r="GMX876" i="1"/>
  <c r="GMP876" i="1"/>
  <c r="GMH876" i="1"/>
  <c r="GLZ876" i="1"/>
  <c r="GLR876" i="1"/>
  <c r="GLJ876" i="1"/>
  <c r="GLB876" i="1"/>
  <c r="GKT876" i="1"/>
  <c r="GKL876" i="1"/>
  <c r="GKD876" i="1"/>
  <c r="GJV876" i="1"/>
  <c r="GJN876" i="1"/>
  <c r="GJF876" i="1"/>
  <c r="GIX876" i="1"/>
  <c r="GIP876" i="1"/>
  <c r="GIH876" i="1"/>
  <c r="GHZ876" i="1"/>
  <c r="GHR876" i="1"/>
  <c r="GHJ876" i="1"/>
  <c r="GHB876" i="1"/>
  <c r="GGT876" i="1"/>
  <c r="GGL876" i="1"/>
  <c r="GGD876" i="1"/>
  <c r="GFV876" i="1"/>
  <c r="GFN876" i="1"/>
  <c r="GFF876" i="1"/>
  <c r="GEX876" i="1"/>
  <c r="GEP876" i="1"/>
  <c r="GEH876" i="1"/>
  <c r="GDZ876" i="1"/>
  <c r="GDR876" i="1"/>
  <c r="GDJ876" i="1"/>
  <c r="GDB876" i="1"/>
  <c r="GCT876" i="1"/>
  <c r="GCL876" i="1"/>
  <c r="GCD876" i="1"/>
  <c r="GBV876" i="1"/>
  <c r="GBN876" i="1"/>
  <c r="GBF876" i="1"/>
  <c r="GAX876" i="1"/>
  <c r="GAP876" i="1"/>
  <c r="GAH876" i="1"/>
  <c r="FZZ876" i="1"/>
  <c r="FZR876" i="1"/>
  <c r="FZJ876" i="1"/>
  <c r="FZB876" i="1"/>
  <c r="FYT876" i="1"/>
  <c r="FYL876" i="1"/>
  <c r="FYD876" i="1"/>
  <c r="FXV876" i="1"/>
  <c r="FXN876" i="1"/>
  <c r="FXF876" i="1"/>
  <c r="FWX876" i="1"/>
  <c r="FWP876" i="1"/>
  <c r="FWH876" i="1"/>
  <c r="FVZ876" i="1"/>
  <c r="FVR876" i="1"/>
  <c r="FVJ876" i="1"/>
  <c r="FVB876" i="1"/>
  <c r="FUT876" i="1"/>
  <c r="FUL876" i="1"/>
  <c r="FUD876" i="1"/>
  <c r="FTV876" i="1"/>
  <c r="FTN876" i="1"/>
  <c r="FTF876" i="1"/>
  <c r="FSX876" i="1"/>
  <c r="FSP876" i="1"/>
  <c r="FSH876" i="1"/>
  <c r="FRZ876" i="1"/>
  <c r="FRR876" i="1"/>
  <c r="FRJ876" i="1"/>
  <c r="FRB876" i="1"/>
  <c r="FQT876" i="1"/>
  <c r="FQL876" i="1"/>
  <c r="FQD876" i="1"/>
  <c r="FPV876" i="1"/>
  <c r="FPN876" i="1"/>
  <c r="FPF876" i="1"/>
  <c r="FOX876" i="1"/>
  <c r="FOP876" i="1"/>
  <c r="FOH876" i="1"/>
  <c r="FNZ876" i="1"/>
  <c r="FNR876" i="1"/>
  <c r="FNJ876" i="1"/>
  <c r="FNB876" i="1"/>
  <c r="FMT876" i="1"/>
  <c r="FML876" i="1"/>
  <c r="FMD876" i="1"/>
  <c r="FLV876" i="1"/>
  <c r="FLN876" i="1"/>
  <c r="FLF876" i="1"/>
  <c r="FKX876" i="1"/>
  <c r="FKP876" i="1"/>
  <c r="FKH876" i="1"/>
  <c r="FJZ876" i="1"/>
  <c r="FJR876" i="1"/>
  <c r="FJJ876" i="1"/>
  <c r="FJB876" i="1"/>
  <c r="FIT876" i="1"/>
  <c r="FIL876" i="1"/>
  <c r="FID876" i="1"/>
  <c r="FHV876" i="1"/>
  <c r="FHN876" i="1"/>
  <c r="FHF876" i="1"/>
  <c r="FGX876" i="1"/>
  <c r="FGP876" i="1"/>
  <c r="FGH876" i="1"/>
  <c r="FFZ876" i="1"/>
  <c r="FFR876" i="1"/>
  <c r="FFJ876" i="1"/>
  <c r="FFB876" i="1"/>
  <c r="FET876" i="1"/>
  <c r="FEL876" i="1"/>
  <c r="FED876" i="1"/>
  <c r="FDV876" i="1"/>
  <c r="FDN876" i="1"/>
  <c r="FDF876" i="1"/>
  <c r="FCX876" i="1"/>
  <c r="FCP876" i="1"/>
  <c r="FCH876" i="1"/>
  <c r="FBZ876" i="1"/>
  <c r="FBR876" i="1"/>
  <c r="FBJ876" i="1"/>
  <c r="FBB876" i="1"/>
  <c r="FAT876" i="1"/>
  <c r="FAL876" i="1"/>
  <c r="FAD876" i="1"/>
  <c r="EZV876" i="1"/>
  <c r="EZN876" i="1"/>
  <c r="EZF876" i="1"/>
  <c r="EYX876" i="1"/>
  <c r="EYP876" i="1"/>
  <c r="EYH876" i="1"/>
  <c r="EXZ876" i="1"/>
  <c r="EXR876" i="1"/>
  <c r="EXJ876" i="1"/>
  <c r="EXB876" i="1"/>
  <c r="EWT876" i="1"/>
  <c r="EWL876" i="1"/>
  <c r="EWD876" i="1"/>
  <c r="EVV876" i="1"/>
  <c r="EVN876" i="1"/>
  <c r="EVF876" i="1"/>
  <c r="EUX876" i="1"/>
  <c r="EUP876" i="1"/>
  <c r="EUH876" i="1"/>
  <c r="ETZ876" i="1"/>
  <c r="ETR876" i="1"/>
  <c r="ETJ876" i="1"/>
  <c r="ETB876" i="1"/>
  <c r="EST876" i="1"/>
  <c r="ESL876" i="1"/>
  <c r="ESD876" i="1"/>
  <c r="ERV876" i="1"/>
  <c r="ERN876" i="1"/>
  <c r="ERF876" i="1"/>
  <c r="EQX876" i="1"/>
  <c r="EQP876" i="1"/>
  <c r="EQH876" i="1"/>
  <c r="EPZ876" i="1"/>
  <c r="EPR876" i="1"/>
  <c r="EPJ876" i="1"/>
  <c r="EPB876" i="1"/>
  <c r="EOT876" i="1"/>
  <c r="EOL876" i="1"/>
  <c r="EOD876" i="1"/>
  <c r="ENV876" i="1"/>
  <c r="ENN876" i="1"/>
  <c r="ENF876" i="1"/>
  <c r="EMX876" i="1"/>
  <c r="EMP876" i="1"/>
  <c r="EMH876" i="1"/>
  <c r="ELZ876" i="1"/>
  <c r="ELR876" i="1"/>
  <c r="ELJ876" i="1"/>
  <c r="ELB876" i="1"/>
  <c r="EKT876" i="1"/>
  <c r="EKL876" i="1"/>
  <c r="EKD876" i="1"/>
  <c r="EJV876" i="1"/>
  <c r="EJN876" i="1"/>
  <c r="EJF876" i="1"/>
  <c r="EIX876" i="1"/>
  <c r="EIP876" i="1"/>
  <c r="EIH876" i="1"/>
  <c r="EHZ876" i="1"/>
  <c r="EHR876" i="1"/>
  <c r="EHJ876" i="1"/>
  <c r="EHB876" i="1"/>
  <c r="EGT876" i="1"/>
  <c r="EGL876" i="1"/>
  <c r="EGD876" i="1"/>
  <c r="EFV876" i="1"/>
  <c r="EFN876" i="1"/>
  <c r="EFF876" i="1"/>
  <c r="EEX876" i="1"/>
  <c r="EEP876" i="1"/>
  <c r="EEH876" i="1"/>
  <c r="EDZ876" i="1"/>
  <c r="EDR876" i="1"/>
  <c r="EDJ876" i="1"/>
  <c r="EDB876" i="1"/>
  <c r="ECT876" i="1"/>
  <c r="ECL876" i="1"/>
  <c r="ECD876" i="1"/>
  <c r="EBV876" i="1"/>
  <c r="EBN876" i="1"/>
  <c r="EBF876" i="1"/>
  <c r="EAX876" i="1"/>
  <c r="EAP876" i="1"/>
  <c r="EAH876" i="1"/>
  <c r="DZZ876" i="1"/>
  <c r="DZR876" i="1"/>
  <c r="DZJ876" i="1"/>
  <c r="DZB876" i="1"/>
  <c r="DYT876" i="1"/>
  <c r="DYL876" i="1"/>
  <c r="DYD876" i="1"/>
  <c r="DXV876" i="1"/>
  <c r="DXN876" i="1"/>
  <c r="DXF876" i="1"/>
  <c r="DWX876" i="1"/>
  <c r="DWP876" i="1"/>
  <c r="DWH876" i="1"/>
  <c r="DVZ876" i="1"/>
  <c r="DVR876" i="1"/>
  <c r="DVJ876" i="1"/>
  <c r="DVB876" i="1"/>
  <c r="DUT876" i="1"/>
  <c r="DUL876" i="1"/>
  <c r="DUD876" i="1"/>
  <c r="DTV876" i="1"/>
  <c r="DTN876" i="1"/>
  <c r="DTF876" i="1"/>
  <c r="DSX876" i="1"/>
  <c r="DSP876" i="1"/>
  <c r="DSH876" i="1"/>
  <c r="DRZ876" i="1"/>
  <c r="DRR876" i="1"/>
  <c r="DRJ876" i="1"/>
  <c r="DRB876" i="1"/>
  <c r="DQT876" i="1"/>
  <c r="DQL876" i="1"/>
  <c r="DQD876" i="1"/>
  <c r="DPV876" i="1"/>
  <c r="DPN876" i="1"/>
  <c r="DPF876" i="1"/>
  <c r="DOX876" i="1"/>
  <c r="DOP876" i="1"/>
  <c r="DOH876" i="1"/>
  <c r="DNZ876" i="1"/>
  <c r="DNR876" i="1"/>
  <c r="DNJ876" i="1"/>
  <c r="DNB876" i="1"/>
  <c r="DMT876" i="1"/>
  <c r="DML876" i="1"/>
  <c r="DMD876" i="1"/>
  <c r="DLV876" i="1"/>
  <c r="DLN876" i="1"/>
  <c r="DLF876" i="1"/>
  <c r="DKX876" i="1"/>
  <c r="DKP876" i="1"/>
  <c r="DKH876" i="1"/>
  <c r="DJZ876" i="1"/>
  <c r="DJR876" i="1"/>
  <c r="DJJ876" i="1"/>
  <c r="DJB876" i="1"/>
  <c r="DIT876" i="1"/>
  <c r="DIL876" i="1"/>
  <c r="DID876" i="1"/>
  <c r="DHV876" i="1"/>
  <c r="DHN876" i="1"/>
  <c r="DHF876" i="1"/>
  <c r="DGX876" i="1"/>
  <c r="DGP876" i="1"/>
  <c r="DGH876" i="1"/>
  <c r="DFZ876" i="1"/>
  <c r="DFR876" i="1"/>
  <c r="DFJ876" i="1"/>
  <c r="DFB876" i="1"/>
  <c r="DET876" i="1"/>
  <c r="DEL876" i="1"/>
  <c r="DED876" i="1"/>
  <c r="DDV876" i="1"/>
  <c r="DDN876" i="1"/>
  <c r="DDF876" i="1"/>
  <c r="DCX876" i="1"/>
  <c r="DCP876" i="1"/>
  <c r="DCH876" i="1"/>
  <c r="DBZ876" i="1"/>
  <c r="DBR876" i="1"/>
  <c r="DBJ876" i="1"/>
  <c r="DBB876" i="1"/>
  <c r="DAT876" i="1"/>
  <c r="DAL876" i="1"/>
  <c r="DAD876" i="1"/>
  <c r="CZV876" i="1"/>
  <c r="CZN876" i="1"/>
  <c r="CZF876" i="1"/>
  <c r="CYX876" i="1"/>
  <c r="CYP876" i="1"/>
  <c r="CYH876" i="1"/>
  <c r="CXZ876" i="1"/>
  <c r="CXR876" i="1"/>
  <c r="CXJ876" i="1"/>
  <c r="CXB876" i="1"/>
  <c r="CWT876" i="1"/>
  <c r="CWL876" i="1"/>
  <c r="CWD876" i="1"/>
  <c r="CVV876" i="1"/>
  <c r="CVN876" i="1"/>
  <c r="CVF876" i="1"/>
  <c r="CUX876" i="1"/>
  <c r="CUP876" i="1"/>
  <c r="CUH876" i="1"/>
  <c r="CTZ876" i="1"/>
  <c r="CTR876" i="1"/>
  <c r="CTJ876" i="1"/>
  <c r="CTB876" i="1"/>
  <c r="CST876" i="1"/>
  <c r="CSL876" i="1"/>
  <c r="CSD876" i="1"/>
  <c r="CRV876" i="1"/>
  <c r="CRN876" i="1"/>
  <c r="CRF876" i="1"/>
  <c r="CQX876" i="1"/>
  <c r="CQP876" i="1"/>
  <c r="CQH876" i="1"/>
  <c r="CPZ876" i="1"/>
  <c r="CPR876" i="1"/>
  <c r="CPJ876" i="1"/>
  <c r="CPB876" i="1"/>
  <c r="COT876" i="1"/>
  <c r="COL876" i="1"/>
  <c r="COD876" i="1"/>
  <c r="CNV876" i="1"/>
  <c r="CNN876" i="1"/>
  <c r="CNF876" i="1"/>
  <c r="CMX876" i="1"/>
  <c r="CMP876" i="1"/>
  <c r="CMH876" i="1"/>
  <c r="CLZ876" i="1"/>
  <c r="CLR876" i="1"/>
  <c r="CLJ876" i="1"/>
  <c r="CLB876" i="1"/>
  <c r="CKT876" i="1"/>
  <c r="CKL876" i="1"/>
  <c r="CKD876" i="1"/>
  <c r="CJV876" i="1"/>
  <c r="CJN876" i="1"/>
  <c r="CJF876" i="1"/>
  <c r="CIX876" i="1"/>
  <c r="CIP876" i="1"/>
  <c r="CIH876" i="1"/>
  <c r="CHZ876" i="1"/>
  <c r="CHR876" i="1"/>
  <c r="CHJ876" i="1"/>
  <c r="CHB876" i="1"/>
  <c r="CGT876" i="1"/>
  <c r="CGL876" i="1"/>
  <c r="CGD876" i="1"/>
  <c r="CFV876" i="1"/>
  <c r="CFN876" i="1"/>
  <c r="CFF876" i="1"/>
  <c r="CEX876" i="1"/>
  <c r="CEP876" i="1"/>
  <c r="CEH876" i="1"/>
  <c r="CDZ876" i="1"/>
  <c r="CDR876" i="1"/>
  <c r="CDJ876" i="1"/>
  <c r="CDB876" i="1"/>
  <c r="CCT876" i="1"/>
  <c r="CCL876" i="1"/>
  <c r="CCD876" i="1"/>
  <c r="CBV876" i="1"/>
  <c r="CBN876" i="1"/>
  <c r="CBF876" i="1"/>
  <c r="CAX876" i="1"/>
  <c r="CAP876" i="1"/>
  <c r="CAH876" i="1"/>
  <c r="BZZ876" i="1"/>
  <c r="BZR876" i="1"/>
  <c r="BZJ876" i="1"/>
  <c r="BZB876" i="1"/>
  <c r="BYT876" i="1"/>
  <c r="BYL876" i="1"/>
  <c r="BYD876" i="1"/>
  <c r="BXV876" i="1"/>
  <c r="BXN876" i="1"/>
  <c r="BXF876" i="1"/>
  <c r="BWX876" i="1"/>
  <c r="BWP876" i="1"/>
  <c r="BWH876" i="1"/>
  <c r="BVZ876" i="1"/>
  <c r="BVR876" i="1"/>
  <c r="BVJ876" i="1"/>
  <c r="BVB876" i="1"/>
  <c r="BUT876" i="1"/>
  <c r="BUL876" i="1"/>
  <c r="BUD876" i="1"/>
  <c r="BTV876" i="1"/>
  <c r="BTN876" i="1"/>
  <c r="BTF876" i="1"/>
  <c r="BSX876" i="1"/>
  <c r="BSP876" i="1"/>
  <c r="BSH876" i="1"/>
  <c r="BRZ876" i="1"/>
  <c r="BRR876" i="1"/>
  <c r="BRJ876" i="1"/>
  <c r="BRB876" i="1"/>
  <c r="BQT876" i="1"/>
  <c r="BQL876" i="1"/>
  <c r="BQD876" i="1"/>
  <c r="BPV876" i="1"/>
  <c r="BPN876" i="1"/>
  <c r="BPF876" i="1"/>
  <c r="BOX876" i="1"/>
  <c r="BOP876" i="1"/>
  <c r="BOH876" i="1"/>
  <c r="BNZ876" i="1"/>
  <c r="BNR876" i="1"/>
  <c r="BNJ876" i="1"/>
  <c r="BNB876" i="1"/>
  <c r="BMT876" i="1"/>
  <c r="BML876" i="1"/>
  <c r="BMD876" i="1"/>
  <c r="BLV876" i="1"/>
  <c r="BLN876" i="1"/>
  <c r="BLF876" i="1"/>
  <c r="BKX876" i="1"/>
  <c r="BKP876" i="1"/>
  <c r="BKH876" i="1"/>
  <c r="BJZ876" i="1"/>
  <c r="BJR876" i="1"/>
  <c r="BJJ876" i="1"/>
  <c r="BJB876" i="1"/>
  <c r="BIT876" i="1"/>
  <c r="BIL876" i="1"/>
  <c r="BID876" i="1"/>
  <c r="BHV876" i="1"/>
  <c r="BHN876" i="1"/>
  <c r="BHF876" i="1"/>
  <c r="BGX876" i="1"/>
  <c r="BGP876" i="1"/>
  <c r="BGH876" i="1"/>
  <c r="BFZ876" i="1"/>
  <c r="BFR876" i="1"/>
  <c r="BFJ876" i="1"/>
  <c r="BFB876" i="1"/>
  <c r="BET876" i="1"/>
  <c r="BEL876" i="1"/>
  <c r="BED876" i="1"/>
  <c r="BDV876" i="1"/>
  <c r="BDN876" i="1"/>
  <c r="BDF876" i="1"/>
  <c r="BCX876" i="1"/>
  <c r="BCP876" i="1"/>
  <c r="BCH876" i="1"/>
  <c r="BBZ876" i="1"/>
  <c r="BBR876" i="1"/>
  <c r="BBJ876" i="1"/>
  <c r="BBB876" i="1"/>
  <c r="BAT876" i="1"/>
  <c r="BAL876" i="1"/>
  <c r="BAD876" i="1"/>
  <c r="AZV876" i="1"/>
  <c r="AZN876" i="1"/>
  <c r="AZF876" i="1"/>
  <c r="AYX876" i="1"/>
  <c r="AYP876" i="1"/>
  <c r="AYH876" i="1"/>
  <c r="AXZ876" i="1"/>
  <c r="AXR876" i="1"/>
  <c r="AXJ876" i="1"/>
  <c r="AXB876" i="1"/>
  <c r="AWT876" i="1"/>
  <c r="AWL876" i="1"/>
  <c r="AWD876" i="1"/>
  <c r="AVV876" i="1"/>
  <c r="AVN876" i="1"/>
  <c r="AVF876" i="1"/>
  <c r="AUX876" i="1"/>
  <c r="AUP876" i="1"/>
  <c r="AUH876" i="1"/>
  <c r="ATZ876" i="1"/>
  <c r="ATR876" i="1"/>
  <c r="ATJ876" i="1"/>
  <c r="ATB876" i="1"/>
  <c r="AST876" i="1"/>
  <c r="ASL876" i="1"/>
  <c r="ASD876" i="1"/>
  <c r="ARV876" i="1"/>
  <c r="ARN876" i="1"/>
  <c r="ARF876" i="1"/>
  <c r="AQX876" i="1"/>
  <c r="AQP876" i="1"/>
  <c r="AQH876" i="1"/>
  <c r="APZ876" i="1"/>
  <c r="APR876" i="1"/>
  <c r="APJ876" i="1"/>
  <c r="APB876" i="1"/>
  <c r="AOT876" i="1"/>
  <c r="AOL876" i="1"/>
  <c r="AOD876" i="1"/>
  <c r="ANV876" i="1"/>
  <c r="ANN876" i="1"/>
  <c r="ANF876" i="1"/>
  <c r="AMX876" i="1"/>
  <c r="AMP876" i="1"/>
  <c r="AMH876" i="1"/>
  <c r="ALZ876" i="1"/>
  <c r="ALR876" i="1"/>
  <c r="ALJ876" i="1"/>
  <c r="ALB876" i="1"/>
  <c r="AKT876" i="1"/>
  <c r="AKL876" i="1"/>
  <c r="AKD876" i="1"/>
  <c r="AJV876" i="1"/>
  <c r="AJN876" i="1"/>
  <c r="AJF876" i="1"/>
  <c r="AIX876" i="1"/>
  <c r="AIP876" i="1"/>
  <c r="AIH876" i="1"/>
  <c r="AHZ876" i="1"/>
  <c r="AHR876" i="1"/>
  <c r="AHJ876" i="1"/>
  <c r="AHB876" i="1"/>
  <c r="AGT876" i="1"/>
  <c r="AGL876" i="1"/>
  <c r="AGD876" i="1"/>
  <c r="AFV876" i="1"/>
  <c r="AFN876" i="1"/>
  <c r="AFF876" i="1"/>
  <c r="AEX876" i="1"/>
  <c r="AEP876" i="1"/>
  <c r="AEH876" i="1"/>
  <c r="ADZ876" i="1"/>
  <c r="ADR876" i="1"/>
  <c r="ADJ876" i="1"/>
  <c r="ADB876" i="1"/>
  <c r="ACT876" i="1"/>
  <c r="ACL876" i="1"/>
  <c r="ACD876" i="1"/>
  <c r="ABV876" i="1"/>
  <c r="ABN876" i="1"/>
  <c r="ABF876" i="1"/>
  <c r="AAX876" i="1"/>
  <c r="AAP876" i="1"/>
  <c r="AAH876" i="1"/>
  <c r="ZZ876" i="1"/>
  <c r="ZR876" i="1"/>
  <c r="ZJ876" i="1"/>
  <c r="ZB876" i="1"/>
  <c r="YT876" i="1"/>
  <c r="YL876" i="1"/>
  <c r="YD876" i="1"/>
  <c r="XV876" i="1"/>
  <c r="XN876" i="1"/>
  <c r="XF876" i="1"/>
  <c r="WX876" i="1"/>
  <c r="WP876" i="1"/>
  <c r="WH876" i="1"/>
  <c r="VZ876" i="1"/>
  <c r="VR876" i="1"/>
  <c r="VJ876" i="1"/>
  <c r="VB876" i="1"/>
  <c r="UT876" i="1"/>
  <c r="UL876" i="1"/>
  <c r="UD876" i="1"/>
  <c r="TV876" i="1"/>
  <c r="TN876" i="1"/>
  <c r="TF876" i="1"/>
  <c r="SX876" i="1"/>
  <c r="SP876" i="1"/>
  <c r="SH876" i="1"/>
  <c r="RZ876" i="1"/>
  <c r="RR876" i="1"/>
  <c r="RJ876" i="1"/>
  <c r="RB876" i="1"/>
  <c r="QT876" i="1"/>
  <c r="QL876" i="1"/>
  <c r="QD876" i="1"/>
  <c r="PV876" i="1"/>
  <c r="PN876" i="1"/>
  <c r="PF876" i="1"/>
  <c r="OX876" i="1"/>
  <c r="OP876" i="1"/>
  <c r="OH876" i="1"/>
  <c r="NZ876" i="1"/>
  <c r="NR876" i="1"/>
  <c r="NJ876" i="1"/>
  <c r="NB876" i="1"/>
  <c r="MT876" i="1"/>
  <c r="ML876" i="1"/>
  <c r="MD876" i="1"/>
  <c r="LV876" i="1"/>
  <c r="LN876" i="1"/>
  <c r="LF876" i="1"/>
  <c r="KX876" i="1"/>
  <c r="KP876" i="1"/>
  <c r="KH876" i="1"/>
  <c r="JZ876" i="1"/>
  <c r="JR876" i="1"/>
  <c r="JJ876" i="1"/>
  <c r="JB876" i="1"/>
  <c r="IT876" i="1"/>
  <c r="IL876" i="1"/>
  <c r="ID876" i="1"/>
  <c r="HV876" i="1"/>
  <c r="HN876" i="1"/>
  <c r="HF876" i="1"/>
  <c r="GX876" i="1"/>
  <c r="GP876" i="1"/>
  <c r="GH876" i="1"/>
  <c r="FZ876" i="1"/>
  <c r="FR876" i="1"/>
  <c r="F861" i="1"/>
  <c r="F846" i="1"/>
  <c r="F838" i="1"/>
  <c r="F826" i="1"/>
  <c r="F825" i="1"/>
  <c r="F824" i="1"/>
  <c r="F809" i="1"/>
  <c r="F808" i="1"/>
  <c r="F805" i="1"/>
  <c r="F804" i="1"/>
  <c r="F803" i="1"/>
  <c r="F802" i="1"/>
  <c r="F801" i="1"/>
  <c r="F800" i="1"/>
  <c r="F790" i="1"/>
  <c r="F789" i="1"/>
  <c r="F787" i="1"/>
  <c r="F786" i="1"/>
  <c r="F785" i="1"/>
  <c r="F784" i="1"/>
  <c r="F783" i="1"/>
  <c r="F782" i="1"/>
  <c r="F781" i="1"/>
  <c r="F780" i="1"/>
  <c r="F771" i="1"/>
  <c r="F770" i="1"/>
  <c r="F754" i="1"/>
  <c r="F753" i="1"/>
  <c r="F752" i="1"/>
  <c r="F751" i="1"/>
  <c r="F748" i="1"/>
  <c r="F746" i="1"/>
  <c r="F740" i="1"/>
  <c r="F736" i="1"/>
  <c r="F735" i="1"/>
  <c r="F734" i="1"/>
  <c r="F718" i="1"/>
  <c r="F716" i="1"/>
  <c r="F715" i="1"/>
  <c r="F714" i="1"/>
  <c r="F713" i="1"/>
  <c r="F712" i="1"/>
  <c r="F704" i="1"/>
  <c r="F703" i="1"/>
  <c r="F701" i="1"/>
  <c r="F693" i="1"/>
  <c r="F692" i="1"/>
  <c r="F691" i="1"/>
  <c r="F690" i="1"/>
  <c r="F682" i="1"/>
  <c r="F681" i="1"/>
  <c r="F680" i="1"/>
  <c r="F671" i="1"/>
  <c r="F670" i="1"/>
  <c r="F669" i="1"/>
  <c r="F668" i="1"/>
  <c r="F667" i="1"/>
  <c r="F662" i="1"/>
  <c r="F661" i="1"/>
  <c r="F660" i="1"/>
  <c r="F659" i="1"/>
  <c r="F658" i="1"/>
  <c r="F657" i="1"/>
  <c r="F656" i="1"/>
  <c r="F647" i="1"/>
  <c r="F646" i="1"/>
  <c r="F645" i="1"/>
  <c r="F644" i="1"/>
  <c r="F641" i="1"/>
  <c r="F640" i="1"/>
  <c r="F639" i="1"/>
  <c r="F637" i="1"/>
  <c r="F630" i="1"/>
  <c r="F629" i="1"/>
  <c r="F628" i="1"/>
  <c r="F627" i="1"/>
  <c r="F626" i="1"/>
  <c r="F625" i="1"/>
  <c r="F617" i="1"/>
  <c r="F616" i="1"/>
  <c r="F608" i="1"/>
  <c r="F607" i="1"/>
  <c r="F606" i="1"/>
  <c r="F605" i="1"/>
  <c r="F604" i="1"/>
  <c r="F603" i="1"/>
  <c r="F593" i="1"/>
  <c r="F592" i="1"/>
  <c r="F585" i="1"/>
  <c r="F584" i="1"/>
  <c r="F583" i="1"/>
  <c r="F582" i="1"/>
  <c r="F581" i="1"/>
  <c r="F575" i="1"/>
  <c r="F570" i="1"/>
  <c r="F569" i="1"/>
  <c r="F557" i="1"/>
  <c r="F544" i="1"/>
  <c r="F543" i="1"/>
  <c r="F542" i="1"/>
  <c r="F541" i="1"/>
  <c r="F524" i="1"/>
  <c r="F520" i="1"/>
  <c r="F515" i="1"/>
  <c r="F514" i="1"/>
  <c r="F513" i="1"/>
  <c r="F512" i="1"/>
  <c r="F511" i="1"/>
  <c r="F510" i="1"/>
  <c r="F509" i="1"/>
  <c r="F495" i="1"/>
  <c r="F494" i="1"/>
  <c r="F493" i="1"/>
  <c r="F476" i="1"/>
  <c r="F475" i="1"/>
  <c r="F474" i="1"/>
  <c r="F455" i="1"/>
  <c r="F454" i="1"/>
  <c r="F453" i="1"/>
  <c r="F452" i="1"/>
  <c r="F451" i="1"/>
  <c r="F450" i="1"/>
  <c r="F449" i="1"/>
  <c r="F447" i="1"/>
  <c r="F446" i="1"/>
  <c r="F443" i="1"/>
  <c r="F442" i="1"/>
  <c r="F441" i="1"/>
  <c r="F440" i="1"/>
  <c r="F439" i="1"/>
  <c r="F436" i="1"/>
  <c r="F435" i="1"/>
  <c r="F434" i="1"/>
  <c r="F433" i="1"/>
  <c r="F432" i="1"/>
  <c r="F431" i="1"/>
  <c r="F430" i="1"/>
  <c r="F402" i="1"/>
  <c r="F401" i="1"/>
  <c r="F400" i="1"/>
  <c r="F399" i="1"/>
  <c r="F398" i="1"/>
  <c r="F397" i="1"/>
  <c r="F165" i="1"/>
  <c r="F164" i="1"/>
  <c r="F162" i="1"/>
  <c r="F161" i="1"/>
  <c r="F160" i="1"/>
  <c r="F143" i="1"/>
  <c r="F110" i="1"/>
  <c r="F108" i="1"/>
  <c r="F107" i="1"/>
  <c r="F97" i="1"/>
  <c r="F96" i="1"/>
  <c r="F95" i="1"/>
  <c r="F92" i="1"/>
  <c r="F91" i="1"/>
  <c r="F89" i="1"/>
  <c r="F88" i="1"/>
  <c r="F87" i="1"/>
  <c r="F86" i="1"/>
  <c r="F85" i="1"/>
  <c r="F80" i="1"/>
  <c r="F79" i="1"/>
  <c r="F78" i="1"/>
  <c r="F55" i="1"/>
  <c r="F54" i="1"/>
  <c r="F47" i="1"/>
  <c r="F29" i="1"/>
  <c r="F23" i="1"/>
  <c r="F18" i="1"/>
  <c r="F17" i="1"/>
  <c r="F8" i="1"/>
  <c r="F6" i="1"/>
  <c r="F5" i="1"/>
  <c r="F4" i="1"/>
  <c r="F3" i="1"/>
  <c r="F2" i="1"/>
  <c r="M1532" i="1" l="1"/>
</calcChain>
</file>

<file path=xl/sharedStrings.xml><?xml version="1.0" encoding="utf-8"?>
<sst xmlns="http://schemas.openxmlformats.org/spreadsheetml/2006/main" count="9774" uniqueCount="3691">
  <si>
    <t>순</t>
    <phoneticPr fontId="1" type="noConversion"/>
  </si>
  <si>
    <t>이름</t>
    <phoneticPr fontId="1" type="noConversion"/>
  </si>
  <si>
    <t>주민번호</t>
    <phoneticPr fontId="1" type="noConversion"/>
  </si>
  <si>
    <t>뒷번호</t>
    <phoneticPr fontId="1" type="noConversion"/>
  </si>
  <si>
    <t>나이</t>
    <phoneticPr fontId="1" type="noConversion"/>
  </si>
  <si>
    <t>보장분석</t>
    <phoneticPr fontId="1" type="noConversion"/>
  </si>
  <si>
    <t>자동차보험가입현황</t>
    <phoneticPr fontId="1" type="noConversion"/>
  </si>
  <si>
    <t>운전자</t>
    <phoneticPr fontId="1" type="noConversion"/>
  </si>
  <si>
    <t>주소</t>
    <phoneticPr fontId="1" type="noConversion"/>
  </si>
  <si>
    <t>TA1</t>
    <phoneticPr fontId="1" type="noConversion"/>
  </si>
  <si>
    <t>TA2</t>
    <phoneticPr fontId="1" type="noConversion"/>
  </si>
  <si>
    <t>TA3</t>
    <phoneticPr fontId="1" type="noConversion"/>
  </si>
  <si>
    <t>종신</t>
    <phoneticPr fontId="1" type="noConversion"/>
  </si>
  <si>
    <t>암</t>
    <phoneticPr fontId="1" type="noConversion"/>
  </si>
  <si>
    <t>전화번호</t>
    <phoneticPr fontId="1" type="noConversion"/>
  </si>
  <si>
    <t>최재형</t>
    <phoneticPr fontId="1" type="noConversion"/>
  </si>
  <si>
    <t>삼성화재(10다8389, 56두3928, 257마3248)</t>
    <phoneticPr fontId="1" type="noConversion"/>
  </si>
  <si>
    <t>김상연</t>
    <phoneticPr fontId="1" type="noConversion"/>
  </si>
  <si>
    <t>최윤정</t>
    <phoneticPr fontId="1" type="noConversion"/>
  </si>
  <si>
    <t>최승호</t>
    <phoneticPr fontId="1" type="noConversion"/>
  </si>
  <si>
    <t>최동호</t>
    <phoneticPr fontId="1" type="noConversion"/>
  </si>
  <si>
    <t>안명신</t>
    <phoneticPr fontId="1" type="noConversion"/>
  </si>
  <si>
    <t>송의섭</t>
    <phoneticPr fontId="1" type="noConversion"/>
  </si>
  <si>
    <t>현대해상(04라4769)</t>
    <phoneticPr fontId="1" type="noConversion"/>
  </si>
  <si>
    <t>윤숙이</t>
    <phoneticPr fontId="1" type="noConversion"/>
  </si>
  <si>
    <t>송영산</t>
    <phoneticPr fontId="1" type="noConversion"/>
  </si>
  <si>
    <t>김주완</t>
    <phoneticPr fontId="1" type="noConversion"/>
  </si>
  <si>
    <t>노희철</t>
    <phoneticPr fontId="1" type="noConversion"/>
  </si>
  <si>
    <t>서미영</t>
    <phoneticPr fontId="1" type="noConversion"/>
  </si>
  <si>
    <t>노성규</t>
    <phoneticPr fontId="1" type="noConversion"/>
  </si>
  <si>
    <t>이신우</t>
    <phoneticPr fontId="1" type="noConversion"/>
  </si>
  <si>
    <t>현대해상(64무5908)</t>
    <phoneticPr fontId="1" type="noConversion"/>
  </si>
  <si>
    <t>대한예수교장로회주복교회</t>
    <phoneticPr fontId="1" type="noConversion"/>
  </si>
  <si>
    <t>DB손보</t>
    <phoneticPr fontId="1" type="noConversion"/>
  </si>
  <si>
    <t>맹상호</t>
    <phoneticPr fontId="1" type="noConversion"/>
  </si>
  <si>
    <t>KB손보</t>
    <phoneticPr fontId="1" type="noConversion"/>
  </si>
  <si>
    <t>박기덕</t>
    <phoneticPr fontId="1" type="noConversion"/>
  </si>
  <si>
    <t>DB손해보험</t>
    <phoneticPr fontId="1" type="noConversion"/>
  </si>
  <si>
    <t>200413_현대20,020원</t>
    <phoneticPr fontId="1" type="noConversion"/>
  </si>
  <si>
    <t>이효미</t>
    <phoneticPr fontId="1" type="noConversion"/>
  </si>
  <si>
    <t>삼성화재(10보9532)</t>
    <phoneticPr fontId="1" type="noConversion"/>
  </si>
  <si>
    <t>이현로</t>
    <phoneticPr fontId="1" type="noConversion"/>
  </si>
  <si>
    <t>이드로</t>
    <phoneticPr fontId="1" type="noConversion"/>
  </si>
  <si>
    <t>이상혁</t>
    <phoneticPr fontId="1" type="noConversion"/>
  </si>
  <si>
    <t>메리츠화재</t>
    <phoneticPr fontId="1" type="noConversion"/>
  </si>
  <si>
    <t>유정화</t>
    <phoneticPr fontId="1" type="noConversion"/>
  </si>
  <si>
    <t>이동형</t>
    <phoneticPr fontId="1" type="noConversion"/>
  </si>
  <si>
    <t>송인선</t>
    <phoneticPr fontId="1" type="noConversion"/>
  </si>
  <si>
    <t>강은경</t>
    <phoneticPr fontId="1" type="noConversion"/>
  </si>
  <si>
    <t>송주영</t>
    <phoneticPr fontId="1" type="noConversion"/>
  </si>
  <si>
    <t>송진원</t>
    <phoneticPr fontId="1" type="noConversion"/>
  </si>
  <si>
    <t>송주은</t>
    <phoneticPr fontId="1" type="noConversion"/>
  </si>
  <si>
    <t>정은지</t>
    <phoneticPr fontId="1" type="noConversion"/>
  </si>
  <si>
    <t>성석현</t>
    <phoneticPr fontId="1" type="noConversion"/>
  </si>
  <si>
    <t>성은혁</t>
    <phoneticPr fontId="1" type="noConversion"/>
  </si>
  <si>
    <t>유정연</t>
    <phoneticPr fontId="1" type="noConversion"/>
  </si>
  <si>
    <t>DB손보(180수4088, 12마1126)</t>
    <phoneticPr fontId="1" type="noConversion"/>
  </si>
  <si>
    <t>윤두현</t>
    <phoneticPr fontId="1" type="noConversion"/>
  </si>
  <si>
    <t>윤진성</t>
    <phoneticPr fontId="1" type="noConversion"/>
  </si>
  <si>
    <t>윤규웅</t>
    <phoneticPr fontId="1" type="noConversion"/>
  </si>
  <si>
    <t>문지업</t>
    <phoneticPr fontId="1" type="noConversion"/>
  </si>
  <si>
    <t>메리츠</t>
    <phoneticPr fontId="1" type="noConversion"/>
  </si>
  <si>
    <t>방옥금</t>
    <phoneticPr fontId="1" type="noConversion"/>
  </si>
  <si>
    <t>문선호</t>
    <phoneticPr fontId="1" type="noConversion"/>
  </si>
  <si>
    <t>신흥열</t>
    <phoneticPr fontId="1" type="noConversion"/>
  </si>
  <si>
    <t>박준건</t>
    <phoneticPr fontId="1" type="noConversion"/>
  </si>
  <si>
    <t>안연주</t>
    <phoneticPr fontId="1" type="noConversion"/>
  </si>
  <si>
    <t>박민우</t>
    <phoneticPr fontId="1" type="noConversion"/>
  </si>
  <si>
    <t>조수창</t>
    <phoneticPr fontId="1" type="noConversion"/>
  </si>
  <si>
    <t>조정옥</t>
    <phoneticPr fontId="1" type="noConversion"/>
  </si>
  <si>
    <t>삼성화재</t>
    <phoneticPr fontId="1" type="noConversion"/>
  </si>
  <si>
    <t>강상현</t>
    <phoneticPr fontId="1" type="noConversion"/>
  </si>
  <si>
    <t>정성민</t>
    <phoneticPr fontId="1" type="noConversion"/>
  </si>
  <si>
    <t>삼성(56라6014)</t>
    <phoneticPr fontId="1" type="noConversion"/>
  </si>
  <si>
    <t>아산시 탕정면 탕정면로 37, 304동 3102호(탕정트라펠리스)</t>
    <phoneticPr fontId="1" type="noConversion"/>
  </si>
  <si>
    <t>010-6225-2206</t>
    <phoneticPr fontId="1" type="noConversion"/>
  </si>
  <si>
    <t>전금종</t>
    <phoneticPr fontId="1" type="noConversion"/>
  </si>
  <si>
    <t>현대다이렉트</t>
    <phoneticPr fontId="1" type="noConversion"/>
  </si>
  <si>
    <t>이보연</t>
    <phoneticPr fontId="1" type="noConversion"/>
  </si>
  <si>
    <t>임광언</t>
    <phoneticPr fontId="1" type="noConversion"/>
  </si>
  <si>
    <t>KB손해보험</t>
    <phoneticPr fontId="1" type="noConversion"/>
  </si>
  <si>
    <t>신가은</t>
    <phoneticPr fontId="1" type="noConversion"/>
  </si>
  <si>
    <t>신서연</t>
    <phoneticPr fontId="1" type="noConversion"/>
  </si>
  <si>
    <t>한국청소년순결운동본부</t>
    <phoneticPr fontId="1" type="noConversion"/>
  </si>
  <si>
    <t>박선종</t>
    <phoneticPr fontId="1" type="noConversion"/>
  </si>
  <si>
    <t>KB다이렉트(개인용)</t>
    <phoneticPr fontId="1" type="noConversion"/>
  </si>
  <si>
    <t>고대순</t>
    <phoneticPr fontId="1" type="noConversion"/>
  </si>
  <si>
    <t>신선화</t>
    <phoneticPr fontId="1" type="noConversion"/>
  </si>
  <si>
    <t>고주영</t>
    <phoneticPr fontId="1" type="noConversion"/>
  </si>
  <si>
    <t>이용진</t>
    <phoneticPr fontId="1" type="noConversion"/>
  </si>
  <si>
    <t>x</t>
    <phoneticPr fontId="1" type="noConversion"/>
  </si>
  <si>
    <t>송은정</t>
    <phoneticPr fontId="1" type="noConversion"/>
  </si>
  <si>
    <t>이채은</t>
    <phoneticPr fontId="1" type="noConversion"/>
  </si>
  <si>
    <t>이채준</t>
    <phoneticPr fontId="1" type="noConversion"/>
  </si>
  <si>
    <t>이지호</t>
    <phoneticPr fontId="1" type="noConversion"/>
  </si>
  <si>
    <t>이자형(박중현)</t>
    <phoneticPr fontId="1" type="noConversion"/>
  </si>
  <si>
    <t>다이렉트_삼성</t>
    <phoneticPr fontId="1" type="noConversion"/>
  </si>
  <si>
    <t>김동환</t>
    <phoneticPr fontId="1" type="noConversion"/>
  </si>
  <si>
    <t>김연순</t>
    <phoneticPr fontId="1" type="noConversion"/>
  </si>
  <si>
    <t>김광섭</t>
    <phoneticPr fontId="1" type="noConversion"/>
  </si>
  <si>
    <t>진기섭</t>
    <phoneticPr fontId="1" type="noConversion"/>
  </si>
  <si>
    <t>한화 다이렉트</t>
    <phoneticPr fontId="1" type="noConversion"/>
  </si>
  <si>
    <t>박미영</t>
    <phoneticPr fontId="1" type="noConversion"/>
  </si>
  <si>
    <t>박민혁</t>
    <phoneticPr fontId="1" type="noConversion"/>
  </si>
  <si>
    <t>박준휘</t>
    <phoneticPr fontId="1" type="noConversion"/>
  </si>
  <si>
    <t>문만기</t>
    <phoneticPr fontId="1" type="noConversion"/>
  </si>
  <si>
    <t>황선일</t>
    <phoneticPr fontId="1" type="noConversion"/>
  </si>
  <si>
    <t>KB(오토바이)</t>
    <phoneticPr fontId="1" type="noConversion"/>
  </si>
  <si>
    <t>박중현(이자형)</t>
    <phoneticPr fontId="1" type="noConversion"/>
  </si>
  <si>
    <t>김지아</t>
    <phoneticPr fontId="1" type="noConversion"/>
  </si>
  <si>
    <t>이현우</t>
    <phoneticPr fontId="1" type="noConversion"/>
  </si>
  <si>
    <t>이현승</t>
    <phoneticPr fontId="1" type="noConversion"/>
  </si>
  <si>
    <t>이학용</t>
    <phoneticPr fontId="1" type="noConversion"/>
  </si>
  <si>
    <t>DB다이렉트</t>
    <phoneticPr fontId="1" type="noConversion"/>
  </si>
  <si>
    <t>최선주</t>
    <phoneticPr fontId="1" type="noConversion"/>
  </si>
  <si>
    <t>이경민</t>
    <phoneticPr fontId="1" type="noConversion"/>
  </si>
  <si>
    <t>이하민</t>
    <phoneticPr fontId="1" type="noConversion"/>
  </si>
  <si>
    <t>안준영</t>
    <phoneticPr fontId="1" type="noConversion"/>
  </si>
  <si>
    <t>서주희</t>
    <phoneticPr fontId="1" type="noConversion"/>
  </si>
  <si>
    <t>안서연</t>
    <phoneticPr fontId="1" type="noConversion"/>
  </si>
  <si>
    <t>동일증권</t>
    <phoneticPr fontId="1" type="noConversion"/>
  </si>
  <si>
    <t>안혜연</t>
    <phoneticPr fontId="1" type="noConversion"/>
  </si>
  <si>
    <t>안정원</t>
    <phoneticPr fontId="1" type="noConversion"/>
  </si>
  <si>
    <t>송기영</t>
    <phoneticPr fontId="1" type="noConversion"/>
  </si>
  <si>
    <t>KB손해보험 다이렉트</t>
    <phoneticPr fontId="1" type="noConversion"/>
  </si>
  <si>
    <t>노화정</t>
    <phoneticPr fontId="1" type="noConversion"/>
  </si>
  <si>
    <t>송서연</t>
    <phoneticPr fontId="1" type="noConversion"/>
  </si>
  <si>
    <t>신영이엔지</t>
    <phoneticPr fontId="1" type="noConversion"/>
  </si>
  <si>
    <t>송수경</t>
    <phoneticPr fontId="1" type="noConversion"/>
  </si>
  <si>
    <t>오토바이(KB)</t>
    <phoneticPr fontId="1" type="noConversion"/>
  </si>
  <si>
    <t>010-8837-9962</t>
    <phoneticPr fontId="1" type="noConversion"/>
  </si>
  <si>
    <t>제이엘솔루션</t>
    <phoneticPr fontId="1" type="noConversion"/>
  </si>
  <si>
    <t>양정남</t>
    <phoneticPr fontId="1" type="noConversion"/>
  </si>
  <si>
    <t>롯데손해</t>
    <phoneticPr fontId="1" type="noConversion"/>
  </si>
  <si>
    <t>권가영</t>
    <phoneticPr fontId="1" type="noConversion"/>
  </si>
  <si>
    <t>흥국화재</t>
    <phoneticPr fontId="1" type="noConversion"/>
  </si>
  <si>
    <t>양지유</t>
    <phoneticPr fontId="1" type="noConversion"/>
  </si>
  <si>
    <t>양유준</t>
    <phoneticPr fontId="1" type="noConversion"/>
  </si>
  <si>
    <t>최병욱</t>
    <phoneticPr fontId="1" type="noConversion"/>
  </si>
  <si>
    <t>최용운</t>
    <phoneticPr fontId="1" type="noConversion"/>
  </si>
  <si>
    <t>최은지</t>
    <phoneticPr fontId="1" type="noConversion"/>
  </si>
  <si>
    <t>박래승</t>
    <phoneticPr fontId="1" type="noConversion"/>
  </si>
  <si>
    <t>서보민</t>
    <phoneticPr fontId="1" type="noConversion"/>
  </si>
  <si>
    <t>강명길</t>
    <phoneticPr fontId="1" type="noConversion"/>
  </si>
  <si>
    <t>류하린</t>
    <phoneticPr fontId="1" type="noConversion"/>
  </si>
  <si>
    <t>강도하</t>
    <phoneticPr fontId="1" type="noConversion"/>
  </si>
  <si>
    <t>강다윤</t>
    <phoneticPr fontId="1" type="noConversion"/>
  </si>
  <si>
    <t>강마준</t>
    <phoneticPr fontId="1" type="noConversion"/>
  </si>
  <si>
    <t>김종선</t>
    <phoneticPr fontId="1" type="noConversion"/>
  </si>
  <si>
    <t>한검서</t>
    <phoneticPr fontId="1" type="noConversion"/>
  </si>
  <si>
    <t>김수호</t>
    <phoneticPr fontId="1" type="noConversion"/>
  </si>
  <si>
    <t>김태풍</t>
    <phoneticPr fontId="1" type="noConversion"/>
  </si>
  <si>
    <t>김수아</t>
    <phoneticPr fontId="1" type="noConversion"/>
  </si>
  <si>
    <t>이경희</t>
    <phoneticPr fontId="1" type="noConversion"/>
  </si>
  <si>
    <t>DB손해(65무5908)</t>
    <phoneticPr fontId="1" type="noConversion"/>
  </si>
  <si>
    <t>이예빈</t>
    <phoneticPr fontId="1" type="noConversion"/>
  </si>
  <si>
    <t>이예준</t>
    <phoneticPr fontId="1" type="noConversion"/>
  </si>
  <si>
    <t>이홍섭</t>
    <phoneticPr fontId="1" type="noConversion"/>
  </si>
  <si>
    <t>조정희</t>
    <phoneticPr fontId="1" type="noConversion"/>
  </si>
  <si>
    <t>이윤수</t>
    <phoneticPr fontId="1" type="noConversion"/>
  </si>
  <si>
    <t>이상윤</t>
    <phoneticPr fontId="1" type="noConversion"/>
  </si>
  <si>
    <t>김지철</t>
    <phoneticPr fontId="1" type="noConversion"/>
  </si>
  <si>
    <t>허병화</t>
    <phoneticPr fontId="1" type="noConversion"/>
  </si>
  <si>
    <t>금선하</t>
    <phoneticPr fontId="1" type="noConversion"/>
  </si>
  <si>
    <t>이시은</t>
    <phoneticPr fontId="1" type="noConversion"/>
  </si>
  <si>
    <t>이려은</t>
    <phoneticPr fontId="1" type="noConversion"/>
  </si>
  <si>
    <t>엄순정</t>
    <phoneticPr fontId="1" type="noConversion"/>
  </si>
  <si>
    <t>김일재</t>
    <phoneticPr fontId="1" type="noConversion"/>
  </si>
  <si>
    <t>이규호</t>
    <phoneticPr fontId="1" type="noConversion"/>
  </si>
  <si>
    <t>-</t>
    <phoneticPr fontId="1" type="noConversion"/>
  </si>
  <si>
    <t>이지연</t>
    <phoneticPr fontId="1" type="noConversion"/>
  </si>
  <si>
    <t>이승준</t>
    <phoneticPr fontId="1" type="noConversion"/>
  </si>
  <si>
    <t>이승유</t>
    <phoneticPr fontId="1" type="noConversion"/>
  </si>
  <si>
    <t>이승현</t>
    <phoneticPr fontId="1" type="noConversion"/>
  </si>
  <si>
    <t>이상현</t>
    <phoneticPr fontId="1" type="noConversion"/>
  </si>
  <si>
    <t>캐롯</t>
    <phoneticPr fontId="1" type="noConversion"/>
  </si>
  <si>
    <t>송진행</t>
    <phoneticPr fontId="1" type="noConversion"/>
  </si>
  <si>
    <t>이유경</t>
    <phoneticPr fontId="1" type="noConversion"/>
  </si>
  <si>
    <t>이지현</t>
    <phoneticPr fontId="1" type="noConversion"/>
  </si>
  <si>
    <t>송낙주</t>
    <phoneticPr fontId="1" type="noConversion"/>
  </si>
  <si>
    <t>남효진</t>
    <phoneticPr fontId="1" type="noConversion"/>
  </si>
  <si>
    <t>송태화</t>
    <phoneticPr fontId="1" type="noConversion"/>
  </si>
  <si>
    <t>송윤화</t>
    <phoneticPr fontId="1" type="noConversion"/>
  </si>
  <si>
    <t>송남숙</t>
    <phoneticPr fontId="1" type="noConversion"/>
  </si>
  <si>
    <t>이경선</t>
    <phoneticPr fontId="1" type="noConversion"/>
  </si>
  <si>
    <t>2021년 10월 10일 농협생명 공제 만기(78,000원)
자유적립저축 만기(2022.07.05)새마을 72,600원
자유적립저축만기(2024.12.05)새마을 77,900원</t>
    <phoneticPr fontId="1" type="noConversion"/>
  </si>
  <si>
    <t>경택현</t>
    <phoneticPr fontId="1" type="noConversion"/>
  </si>
  <si>
    <t>경규민</t>
    <phoneticPr fontId="1" type="noConversion"/>
  </si>
  <si>
    <t>경다원</t>
    <phoneticPr fontId="1" type="noConversion"/>
  </si>
  <si>
    <t>오인경</t>
    <phoneticPr fontId="1" type="noConversion"/>
  </si>
  <si>
    <t>임종헌</t>
    <phoneticPr fontId="1" type="noConversion"/>
  </si>
  <si>
    <t>임지한</t>
    <phoneticPr fontId="1" type="noConversion"/>
  </si>
  <si>
    <t>김윤규</t>
    <phoneticPr fontId="1" type="noConversion"/>
  </si>
  <si>
    <t>유금호</t>
    <phoneticPr fontId="1" type="noConversion"/>
  </si>
  <si>
    <t>김혜원</t>
    <phoneticPr fontId="1" type="noConversion"/>
  </si>
  <si>
    <t>김혜수</t>
    <phoneticPr fontId="1" type="noConversion"/>
  </si>
  <si>
    <t>현대</t>
    <phoneticPr fontId="1" type="noConversion"/>
  </si>
  <si>
    <t>서보명</t>
    <phoneticPr fontId="1" type="noConversion"/>
  </si>
  <si>
    <t>황다빈</t>
    <phoneticPr fontId="1" type="noConversion"/>
  </si>
  <si>
    <t>KB</t>
    <phoneticPr fontId="1" type="noConversion"/>
  </si>
  <si>
    <t>황다혜</t>
    <phoneticPr fontId="1" type="noConversion"/>
  </si>
  <si>
    <t>이영숙</t>
    <phoneticPr fontId="1" type="noConversion"/>
  </si>
  <si>
    <t>kb</t>
    <phoneticPr fontId="1" type="noConversion"/>
  </si>
  <si>
    <t>정창용</t>
    <phoneticPr fontId="1" type="noConversion"/>
  </si>
  <si>
    <t>허재윤</t>
    <phoneticPr fontId="1" type="noConversion"/>
  </si>
  <si>
    <t>김민금</t>
    <phoneticPr fontId="1" type="noConversion"/>
  </si>
  <si>
    <t>허자민</t>
    <phoneticPr fontId="1" type="noConversion"/>
  </si>
  <si>
    <t>허소미</t>
    <phoneticPr fontId="1" type="noConversion"/>
  </si>
  <si>
    <t>이수미</t>
    <phoneticPr fontId="1" type="noConversion"/>
  </si>
  <si>
    <t>정유찬</t>
    <phoneticPr fontId="1" type="noConversion"/>
  </si>
  <si>
    <t>정주원</t>
    <phoneticPr fontId="1" type="noConversion"/>
  </si>
  <si>
    <t>정운용</t>
    <phoneticPr fontId="1" type="noConversion"/>
  </si>
  <si>
    <t>윤영식</t>
    <phoneticPr fontId="1" type="noConversion"/>
  </si>
  <si>
    <t>정주연</t>
    <phoneticPr fontId="1" type="noConversion"/>
  </si>
  <si>
    <t>윤수빈</t>
    <phoneticPr fontId="1" type="noConversion"/>
  </si>
  <si>
    <t>윤경섭</t>
    <phoneticPr fontId="1" type="noConversion"/>
  </si>
  <si>
    <t>허진설</t>
    <phoneticPr fontId="1" type="noConversion"/>
  </si>
  <si>
    <t>DB 다이렉트</t>
    <phoneticPr fontId="1" type="noConversion"/>
  </si>
  <si>
    <t>김민기</t>
    <phoneticPr fontId="1" type="noConversion"/>
  </si>
  <si>
    <t>김강유</t>
    <phoneticPr fontId="1" type="noConversion"/>
  </si>
  <si>
    <t>김지유</t>
    <phoneticPr fontId="1" type="noConversion"/>
  </si>
  <si>
    <t>FANG MINGHUA</t>
    <phoneticPr fontId="1" type="noConversion"/>
  </si>
  <si>
    <t>오승훈</t>
    <phoneticPr fontId="1" type="noConversion"/>
  </si>
  <si>
    <t>임선화</t>
    <phoneticPr fontId="1" type="noConversion"/>
  </si>
  <si>
    <t>이경철</t>
    <phoneticPr fontId="1" type="noConversion"/>
  </si>
  <si>
    <t>삼성화재 다이렉트</t>
    <phoneticPr fontId="1" type="noConversion"/>
  </si>
  <si>
    <t>김남호</t>
    <phoneticPr fontId="1" type="noConversion"/>
  </si>
  <si>
    <t>손예숙</t>
    <phoneticPr fontId="1" type="noConversion"/>
  </si>
  <si>
    <t>남순임</t>
    <phoneticPr fontId="1" type="noConversion"/>
  </si>
  <si>
    <t>김진욱</t>
    <phoneticPr fontId="1" type="noConversion"/>
  </si>
  <si>
    <t>김지성</t>
    <phoneticPr fontId="1" type="noConversion"/>
  </si>
  <si>
    <t>배지혜(이봉석)</t>
    <phoneticPr fontId="1" type="noConversion"/>
  </si>
  <si>
    <t>삼성다이렉트</t>
    <phoneticPr fontId="1" type="noConversion"/>
  </si>
  <si>
    <t>이소율</t>
    <phoneticPr fontId="1" type="noConversion"/>
  </si>
  <si>
    <t>7월1일 오토바이/ 7월16일 마이티</t>
    <phoneticPr fontId="1" type="noConversion"/>
  </si>
  <si>
    <t>정세진</t>
    <phoneticPr fontId="1" type="noConversion"/>
  </si>
  <si>
    <t>정유진</t>
    <phoneticPr fontId="1" type="noConversion"/>
  </si>
  <si>
    <t>이정화</t>
    <phoneticPr fontId="1" type="noConversion"/>
  </si>
  <si>
    <t>악사 다이렉트</t>
    <phoneticPr fontId="1" type="noConversion"/>
  </si>
  <si>
    <t>송태윤</t>
    <phoneticPr fontId="1" type="noConversion"/>
  </si>
  <si>
    <t>송윤혁</t>
    <phoneticPr fontId="1" type="noConversion"/>
  </si>
  <si>
    <t>박주신</t>
    <phoneticPr fontId="1" type="noConversion"/>
  </si>
  <si>
    <t>박찬호</t>
    <phoneticPr fontId="1" type="noConversion"/>
  </si>
  <si>
    <t>김필경(김지혜)</t>
    <phoneticPr fontId="1" type="noConversion"/>
  </si>
  <si>
    <t>이순옥</t>
    <phoneticPr fontId="1" type="noConversion"/>
  </si>
  <si>
    <t>윤여현</t>
    <phoneticPr fontId="1" type="noConversion"/>
  </si>
  <si>
    <t>이선화</t>
    <phoneticPr fontId="1" type="noConversion"/>
  </si>
  <si>
    <t>윤건</t>
    <phoneticPr fontId="1" type="noConversion"/>
  </si>
  <si>
    <t>윤고은</t>
    <phoneticPr fontId="1" type="noConversion"/>
  </si>
  <si>
    <t>윤하은</t>
    <phoneticPr fontId="1" type="noConversion"/>
  </si>
  <si>
    <t>윤하정</t>
    <phoneticPr fontId="1" type="noConversion"/>
  </si>
  <si>
    <t>기남주</t>
    <phoneticPr fontId="1" type="noConversion"/>
  </si>
  <si>
    <t>이용옥</t>
    <phoneticPr fontId="1" type="noConversion"/>
  </si>
  <si>
    <t>기하은</t>
    <phoneticPr fontId="1" type="noConversion"/>
  </si>
  <si>
    <t>기나윤</t>
    <phoneticPr fontId="1" type="noConversion"/>
  </si>
  <si>
    <t>기대윤</t>
    <phoneticPr fontId="1" type="noConversion"/>
  </si>
  <si>
    <t>차장식</t>
    <phoneticPr fontId="1" type="noConversion"/>
  </si>
  <si>
    <t>이혜경</t>
    <phoneticPr fontId="1" type="noConversion"/>
  </si>
  <si>
    <t>차유민</t>
    <phoneticPr fontId="1" type="noConversion"/>
  </si>
  <si>
    <t>이종국</t>
    <phoneticPr fontId="1" type="noConversion"/>
  </si>
  <si>
    <t>이상우</t>
    <phoneticPr fontId="1" type="noConversion"/>
  </si>
  <si>
    <t>김대망</t>
    <phoneticPr fontId="1" type="noConversion"/>
  </si>
  <si>
    <t>이연희</t>
    <phoneticPr fontId="1" type="noConversion"/>
  </si>
  <si>
    <t>이연서</t>
    <phoneticPr fontId="1" type="noConversion"/>
  </si>
  <si>
    <t>이연성</t>
    <phoneticPr fontId="1" type="noConversion"/>
  </si>
  <si>
    <t>김소진</t>
    <phoneticPr fontId="1" type="noConversion"/>
  </si>
  <si>
    <t>김소망</t>
    <phoneticPr fontId="1" type="noConversion"/>
  </si>
  <si>
    <t>김동현</t>
    <phoneticPr fontId="1" type="noConversion"/>
  </si>
  <si>
    <t>고은숙</t>
    <phoneticPr fontId="1" type="noConversion"/>
  </si>
  <si>
    <t>김민제</t>
    <phoneticPr fontId="1" type="noConversion"/>
  </si>
  <si>
    <t>김태연</t>
    <phoneticPr fontId="1" type="noConversion"/>
  </si>
  <si>
    <t>김민석</t>
    <phoneticPr fontId="1" type="noConversion"/>
  </si>
  <si>
    <t>박정필</t>
    <phoneticPr fontId="1" type="noConversion"/>
  </si>
  <si>
    <t>신성혜</t>
    <phoneticPr fontId="1" type="noConversion"/>
  </si>
  <si>
    <t>박혜인</t>
    <phoneticPr fontId="1" type="noConversion"/>
  </si>
  <si>
    <t>서혜진</t>
    <phoneticPr fontId="1" type="noConversion"/>
  </si>
  <si>
    <t>필요</t>
    <phoneticPr fontId="1" type="noConversion"/>
  </si>
  <si>
    <t>문희찬</t>
    <phoneticPr fontId="1" type="noConversion"/>
  </si>
  <si>
    <t>문채은</t>
    <phoneticPr fontId="1" type="noConversion"/>
  </si>
  <si>
    <t>문소윤</t>
    <phoneticPr fontId="1" type="noConversion"/>
  </si>
  <si>
    <t>조성춘</t>
    <phoneticPr fontId="1" type="noConversion"/>
  </si>
  <si>
    <t>노윤숙</t>
    <phoneticPr fontId="1" type="noConversion"/>
  </si>
  <si>
    <t>이주임</t>
    <phoneticPr fontId="1" type="noConversion"/>
  </si>
  <si>
    <t>박현</t>
    <phoneticPr fontId="1" type="noConversion"/>
  </si>
  <si>
    <t>최슬기</t>
    <phoneticPr fontId="1" type="noConversion"/>
  </si>
  <si>
    <t>박우주</t>
    <phoneticPr fontId="1" type="noConversion"/>
  </si>
  <si>
    <t>이장호</t>
    <phoneticPr fontId="1" type="noConversion"/>
  </si>
  <si>
    <t>이윤경</t>
    <phoneticPr fontId="1" type="noConversion"/>
  </si>
  <si>
    <t>이원서</t>
    <phoneticPr fontId="1" type="noConversion"/>
  </si>
  <si>
    <t>이원영</t>
    <phoneticPr fontId="1" type="noConversion"/>
  </si>
  <si>
    <t>이도순</t>
    <phoneticPr fontId="1" type="noConversion"/>
  </si>
  <si>
    <t>강희국</t>
    <phoneticPr fontId="1" type="noConversion"/>
  </si>
  <si>
    <t>DB_다이렉트(2022)</t>
    <phoneticPr fontId="1" type="noConversion"/>
  </si>
  <si>
    <t>지형철</t>
    <phoneticPr fontId="1" type="noConversion"/>
  </si>
  <si>
    <t>이남정</t>
    <phoneticPr fontId="1" type="noConversion"/>
  </si>
  <si>
    <t>지상우</t>
    <phoneticPr fontId="1" type="noConversion"/>
  </si>
  <si>
    <t>지희원</t>
    <phoneticPr fontId="1" type="noConversion"/>
  </si>
  <si>
    <t>지서연</t>
    <phoneticPr fontId="1" type="noConversion"/>
  </si>
  <si>
    <t>KB다이렉트(2022)</t>
    <phoneticPr fontId="1" type="noConversion"/>
  </si>
  <si>
    <t>주동하</t>
    <phoneticPr fontId="1" type="noConversion"/>
  </si>
  <si>
    <t>200720_현대(3만원)</t>
    <phoneticPr fontId="1" type="noConversion"/>
  </si>
  <si>
    <t>200720_현대(2.5만원)</t>
    <phoneticPr fontId="1" type="noConversion"/>
  </si>
  <si>
    <t>주여민</t>
    <phoneticPr fontId="1" type="noConversion"/>
  </si>
  <si>
    <t>주위민</t>
    <phoneticPr fontId="1" type="noConversion"/>
  </si>
  <si>
    <t>주복교회</t>
    <phoneticPr fontId="1" type="noConversion"/>
  </si>
  <si>
    <t>현대해상</t>
    <phoneticPr fontId="1" type="noConversion"/>
  </si>
  <si>
    <t>김백규</t>
    <phoneticPr fontId="1" type="noConversion"/>
  </si>
  <si>
    <t>The K</t>
    <phoneticPr fontId="1" type="noConversion"/>
  </si>
  <si>
    <t>이상계</t>
    <phoneticPr fontId="1" type="noConversion"/>
  </si>
  <si>
    <t>AXA</t>
    <phoneticPr fontId="1" type="noConversion"/>
  </si>
  <si>
    <t>이기원</t>
    <phoneticPr fontId="1" type="noConversion"/>
  </si>
  <si>
    <t>김병희</t>
    <phoneticPr fontId="1" type="noConversion"/>
  </si>
  <si>
    <t>김민준</t>
    <phoneticPr fontId="1" type="noConversion"/>
  </si>
  <si>
    <t>이치원</t>
    <phoneticPr fontId="1" type="noConversion"/>
  </si>
  <si>
    <t>김민경</t>
    <phoneticPr fontId="1" type="noConversion"/>
  </si>
  <si>
    <t>이선유</t>
    <phoneticPr fontId="1" type="noConversion"/>
  </si>
  <si>
    <t>이도유</t>
    <phoneticPr fontId="1" type="noConversion"/>
  </si>
  <si>
    <t>㈜신영이엔지</t>
    <phoneticPr fontId="1" type="noConversion"/>
  </si>
  <si>
    <t>최인제</t>
    <phoneticPr fontId="1" type="noConversion"/>
  </si>
  <si>
    <t>최민서</t>
    <phoneticPr fontId="1" type="noConversion"/>
  </si>
  <si>
    <t>DB손해 다이렉트(2022)</t>
    <phoneticPr fontId="1" type="noConversion"/>
  </si>
  <si>
    <t>KB(14마8139)</t>
    <phoneticPr fontId="1" type="noConversion"/>
  </si>
  <si>
    <t>김선회</t>
    <phoneticPr fontId="1" type="noConversion"/>
  </si>
  <si>
    <t>삼성화재자동차</t>
    <phoneticPr fontId="1" type="noConversion"/>
  </si>
  <si>
    <t>황보람</t>
    <phoneticPr fontId="1" type="noConversion"/>
  </si>
  <si>
    <t>김효은</t>
    <phoneticPr fontId="1" type="noConversion"/>
  </si>
  <si>
    <t>김은성</t>
    <phoneticPr fontId="1" type="noConversion"/>
  </si>
  <si>
    <t>김근실</t>
    <phoneticPr fontId="1" type="noConversion"/>
  </si>
  <si>
    <t>맹세연</t>
    <phoneticPr fontId="1" type="noConversion"/>
  </si>
  <si>
    <t>이인숙</t>
    <phoneticPr fontId="1" type="noConversion"/>
  </si>
  <si>
    <t>이미숙</t>
    <phoneticPr fontId="1" type="noConversion"/>
  </si>
  <si>
    <t>김주형</t>
    <phoneticPr fontId="1" type="noConversion"/>
  </si>
  <si>
    <t>백정아</t>
    <phoneticPr fontId="1" type="noConversion"/>
  </si>
  <si>
    <t>김민서</t>
    <phoneticPr fontId="1" type="noConversion"/>
  </si>
  <si>
    <t>황선하</t>
    <phoneticPr fontId="1" type="noConversion"/>
  </si>
  <si>
    <t>맹환영</t>
    <phoneticPr fontId="1" type="noConversion"/>
  </si>
  <si>
    <t>1. 2015.11 질병 10일 입원, 이후 11회 통원 상세고지</t>
    <phoneticPr fontId="1" type="noConversion"/>
  </si>
  <si>
    <t>배성훈</t>
    <phoneticPr fontId="1" type="noConversion"/>
  </si>
  <si>
    <t>이중경</t>
    <phoneticPr fontId="1" type="noConversion"/>
  </si>
  <si>
    <t>이차율</t>
    <phoneticPr fontId="1" type="noConversion"/>
  </si>
  <si>
    <t>이찬술</t>
    <phoneticPr fontId="1" type="noConversion"/>
  </si>
  <si>
    <t>현대해상(오토바이)</t>
    <phoneticPr fontId="1" type="noConversion"/>
  </si>
  <si>
    <t>서정현</t>
    <phoneticPr fontId="1" type="noConversion"/>
  </si>
  <si>
    <t>김지혜</t>
    <phoneticPr fontId="1" type="noConversion"/>
  </si>
  <si>
    <t>서도윤</t>
    <phoneticPr fontId="1" type="noConversion"/>
  </si>
  <si>
    <t>서도진</t>
    <phoneticPr fontId="1" type="noConversion"/>
  </si>
  <si>
    <t>위창우</t>
    <phoneticPr fontId="1" type="noConversion"/>
  </si>
  <si>
    <t>이계영</t>
    <phoneticPr fontId="1" type="noConversion"/>
  </si>
  <si>
    <t>위도현</t>
    <phoneticPr fontId="1" type="noConversion"/>
  </si>
  <si>
    <t>최현욱</t>
    <phoneticPr fontId="1" type="noConversion"/>
  </si>
  <si>
    <t>조은주</t>
    <phoneticPr fontId="1" type="noConversion"/>
  </si>
  <si>
    <t>최홍권</t>
    <phoneticPr fontId="1" type="noConversion"/>
  </si>
  <si>
    <t>최민기</t>
    <phoneticPr fontId="1" type="noConversion"/>
  </si>
  <si>
    <t>이용호</t>
    <phoneticPr fontId="1" type="noConversion"/>
  </si>
  <si>
    <t>정태순</t>
    <phoneticPr fontId="1" type="noConversion"/>
  </si>
  <si>
    <t>전윤희</t>
    <phoneticPr fontId="1" type="noConversion"/>
  </si>
  <si>
    <t>국윤학</t>
    <phoneticPr fontId="1" type="noConversion"/>
  </si>
  <si>
    <t>이경미</t>
    <phoneticPr fontId="1" type="noConversion"/>
  </si>
  <si>
    <t>국동현</t>
    <phoneticPr fontId="1" type="noConversion"/>
  </si>
  <si>
    <t>이의관</t>
    <phoneticPr fontId="1" type="noConversion"/>
  </si>
  <si>
    <t>김윤주</t>
    <phoneticPr fontId="1" type="noConversion"/>
  </si>
  <si>
    <t>조만춘</t>
    <phoneticPr fontId="1" type="noConversion"/>
  </si>
  <si>
    <t>한화다이렉트</t>
    <phoneticPr fontId="1" type="noConversion"/>
  </si>
  <si>
    <t>이현숙</t>
    <phoneticPr fontId="1" type="noConversion"/>
  </si>
  <si>
    <t>조민회</t>
    <phoneticPr fontId="1" type="noConversion"/>
  </si>
  <si>
    <t>조성훈</t>
    <phoneticPr fontId="1" type="noConversion"/>
  </si>
  <si>
    <t>김진국</t>
    <phoneticPr fontId="1" type="noConversion"/>
  </si>
  <si>
    <t>김도훈</t>
    <phoneticPr fontId="1" type="noConversion"/>
  </si>
  <si>
    <t>김리예</t>
    <phoneticPr fontId="1" type="noConversion"/>
  </si>
  <si>
    <t>신수지</t>
    <phoneticPr fontId="1" type="noConversion"/>
  </si>
  <si>
    <t>신승우</t>
    <phoneticPr fontId="1" type="noConversion"/>
  </si>
  <si>
    <t>신종철</t>
    <phoneticPr fontId="1" type="noConversion"/>
  </si>
  <si>
    <t>이수산</t>
    <phoneticPr fontId="1" type="noConversion"/>
  </si>
  <si>
    <t>KB손보(충남30마35**)</t>
    <phoneticPr fontId="1" type="noConversion"/>
  </si>
  <si>
    <t>김순덕</t>
    <phoneticPr fontId="1" type="noConversion"/>
  </si>
  <si>
    <t>세무법인이화</t>
    <phoneticPr fontId="1" type="noConversion"/>
  </si>
  <si>
    <t>현대해상(56라6489)</t>
    <phoneticPr fontId="1" type="noConversion"/>
  </si>
  <si>
    <t>김진묵</t>
    <phoneticPr fontId="1" type="noConversion"/>
  </si>
  <si>
    <t>한영순</t>
    <phoneticPr fontId="1" type="noConversion"/>
  </si>
  <si>
    <t>(주)신영이엔지</t>
    <phoneticPr fontId="1" type="noConversion"/>
  </si>
  <si>
    <t xml:space="preserve"> DB손보(99로1467)</t>
    <phoneticPr fontId="1" type="noConversion"/>
  </si>
  <si>
    <t>삼성화재(51조6159)</t>
    <phoneticPr fontId="1" type="noConversion"/>
  </si>
  <si>
    <t>이영한</t>
    <phoneticPr fontId="1" type="noConversion"/>
  </si>
  <si>
    <t>카모토히로미</t>
    <phoneticPr fontId="1" type="noConversion"/>
  </si>
  <si>
    <t>이명진</t>
    <phoneticPr fontId="1" type="noConversion"/>
  </si>
  <si>
    <t>이명렬</t>
    <phoneticPr fontId="1" type="noConversion"/>
  </si>
  <si>
    <t>이명철</t>
    <phoneticPr fontId="1" type="noConversion"/>
  </si>
  <si>
    <t>이보미</t>
    <phoneticPr fontId="1" type="noConversion"/>
  </si>
  <si>
    <t>김지희</t>
    <phoneticPr fontId="1" type="noConversion"/>
  </si>
  <si>
    <t>김상필</t>
    <phoneticPr fontId="1" type="noConversion"/>
  </si>
  <si>
    <t>KB손보(28구77**, 54다80**)</t>
    <phoneticPr fontId="1" type="noConversion"/>
  </si>
  <si>
    <t>김정우</t>
    <phoneticPr fontId="1" type="noConversion"/>
  </si>
  <si>
    <t>김신우</t>
    <phoneticPr fontId="1" type="noConversion"/>
  </si>
  <si>
    <t>전주희</t>
    <phoneticPr fontId="1" type="noConversion"/>
  </si>
  <si>
    <t>주시영</t>
    <phoneticPr fontId="1" type="noConversion"/>
  </si>
  <si>
    <t>윤효순</t>
    <phoneticPr fontId="1" type="noConversion"/>
  </si>
  <si>
    <t>주우진</t>
    <phoneticPr fontId="1" type="noConversion"/>
  </si>
  <si>
    <t>주다윤</t>
    <phoneticPr fontId="1" type="noConversion"/>
  </si>
  <si>
    <t>정연오</t>
    <phoneticPr fontId="1" type="noConversion"/>
  </si>
  <si>
    <t>안순아</t>
    <phoneticPr fontId="1" type="noConversion"/>
  </si>
  <si>
    <t>정재윤</t>
    <phoneticPr fontId="1" type="noConversion"/>
  </si>
  <si>
    <t>정기찬</t>
    <phoneticPr fontId="1" type="noConversion"/>
  </si>
  <si>
    <t>김인겸</t>
    <phoneticPr fontId="1" type="noConversion"/>
  </si>
  <si>
    <t>남지혜</t>
    <phoneticPr fontId="1" type="noConversion"/>
  </si>
  <si>
    <t>김미승</t>
    <phoneticPr fontId="1" type="noConversion"/>
  </si>
  <si>
    <t>김윤수</t>
    <phoneticPr fontId="1" type="noConversion"/>
  </si>
  <si>
    <t>김진아</t>
    <phoneticPr fontId="1" type="noConversion"/>
  </si>
  <si>
    <t>메리츠화재(96누7388)</t>
    <phoneticPr fontId="1" type="noConversion"/>
  </si>
  <si>
    <t>KB손보(84조18**)</t>
    <phoneticPr fontId="1" type="noConversion"/>
  </si>
  <si>
    <t>황규석</t>
    <phoneticPr fontId="1" type="noConversion"/>
  </si>
  <si>
    <t>현대해상(07두0707)</t>
    <phoneticPr fontId="1" type="noConversion"/>
  </si>
  <si>
    <t>이경자</t>
    <phoneticPr fontId="1" type="noConversion"/>
  </si>
  <si>
    <t>서범석</t>
    <phoneticPr fontId="1" type="noConversion"/>
  </si>
  <si>
    <t>DB손보(06다7446</t>
    <phoneticPr fontId="1" type="noConversion"/>
  </si>
  <si>
    <t>서순</t>
    <phoneticPr fontId="1" type="noConversion"/>
  </si>
  <si>
    <t>원종임</t>
    <phoneticPr fontId="1" type="noConversion"/>
  </si>
  <si>
    <t>DB손보(34수2466, 159라1414)</t>
    <phoneticPr fontId="1" type="noConversion"/>
  </si>
  <si>
    <t>김주원</t>
    <phoneticPr fontId="1" type="noConversion"/>
  </si>
  <si>
    <t>김아림</t>
    <phoneticPr fontId="1" type="noConversion"/>
  </si>
  <si>
    <t>김도율</t>
    <phoneticPr fontId="1" type="noConversion"/>
  </si>
  <si>
    <t>김민자</t>
    <phoneticPr fontId="1" type="noConversion"/>
  </si>
  <si>
    <t>박시현</t>
    <phoneticPr fontId="1" type="noConversion"/>
  </si>
  <si>
    <t>정혜미</t>
    <phoneticPr fontId="1" type="noConversion"/>
  </si>
  <si>
    <t>DB손보(357마2475, 51라6646)</t>
    <phoneticPr fontId="1" type="noConversion"/>
  </si>
  <si>
    <t>황의민</t>
    <phoneticPr fontId="1" type="noConversion"/>
  </si>
  <si>
    <t>김윤옥</t>
    <phoneticPr fontId="1" type="noConversion"/>
  </si>
  <si>
    <t>황주아</t>
    <phoneticPr fontId="1" type="noConversion"/>
  </si>
  <si>
    <t>황주원</t>
    <phoneticPr fontId="1" type="noConversion"/>
  </si>
  <si>
    <t>김진호</t>
    <phoneticPr fontId="1" type="noConversion"/>
  </si>
  <si>
    <t>악사(2017)</t>
    <phoneticPr fontId="1" type="noConversion"/>
  </si>
  <si>
    <t>백석동 백석마을아이파크 110-1303</t>
    <phoneticPr fontId="1" type="noConversion"/>
  </si>
  <si>
    <t>교보생명</t>
    <phoneticPr fontId="1" type="noConversion"/>
  </si>
  <si>
    <t>X</t>
    <phoneticPr fontId="1" type="noConversion"/>
  </si>
  <si>
    <t>010-8810-8636</t>
    <phoneticPr fontId="1" type="noConversion"/>
  </si>
  <si>
    <t>박현미</t>
    <phoneticPr fontId="1" type="noConversion"/>
  </si>
  <si>
    <t>KB손보(14라02**, 55오39**)</t>
    <phoneticPr fontId="1" type="noConversion"/>
  </si>
  <si>
    <t>메리츠(2019)</t>
    <phoneticPr fontId="1" type="noConversion"/>
  </si>
  <si>
    <t>010-4380-9100</t>
    <phoneticPr fontId="1" type="noConversion"/>
  </si>
  <si>
    <t>김은환</t>
    <phoneticPr fontId="1" type="noConversion"/>
  </si>
  <si>
    <t>김은민</t>
    <phoneticPr fontId="1" type="noConversion"/>
  </si>
  <si>
    <t>김혜정</t>
    <phoneticPr fontId="1" type="noConversion"/>
  </si>
  <si>
    <t>현대해상(40머8145)</t>
    <phoneticPr fontId="1" type="noConversion"/>
  </si>
  <si>
    <t>오정령</t>
    <phoneticPr fontId="1" type="noConversion"/>
  </si>
  <si>
    <t>DB손보(76어0277)</t>
    <phoneticPr fontId="1" type="noConversion"/>
  </si>
  <si>
    <t>문제성</t>
    <phoneticPr fontId="1" type="noConversion"/>
  </si>
  <si>
    <t>문준성</t>
    <phoneticPr fontId="1" type="noConversion"/>
  </si>
  <si>
    <t>이봉석(배지혜)</t>
    <phoneticPr fontId="1" type="noConversion"/>
  </si>
  <si>
    <t>KB다이렉트(업무용)</t>
    <phoneticPr fontId="1" type="noConversion"/>
  </si>
  <si>
    <t>200413_현대32,310원</t>
    <phoneticPr fontId="1" type="noConversion"/>
  </si>
  <si>
    <t>원서현</t>
    <phoneticPr fontId="1" type="noConversion"/>
  </si>
  <si>
    <t>200413_현대29,000원</t>
    <phoneticPr fontId="1" type="noConversion"/>
  </si>
  <si>
    <t>최은숙</t>
    <phoneticPr fontId="1" type="noConversion"/>
  </si>
  <si>
    <t>박지호</t>
    <phoneticPr fontId="1" type="noConversion"/>
  </si>
  <si>
    <t>원재형</t>
    <phoneticPr fontId="1" type="noConversion"/>
  </si>
  <si>
    <t>김인환</t>
    <phoneticPr fontId="1" type="noConversion"/>
  </si>
  <si>
    <t>안형진</t>
    <phoneticPr fontId="1" type="noConversion"/>
  </si>
  <si>
    <t>김현진</t>
    <phoneticPr fontId="1" type="noConversion"/>
  </si>
  <si>
    <t>김연우</t>
    <phoneticPr fontId="1" type="noConversion"/>
  </si>
  <si>
    <t>김민우</t>
    <phoneticPr fontId="1" type="noConversion"/>
  </si>
  <si>
    <t>김서윤</t>
    <phoneticPr fontId="1" type="noConversion"/>
  </si>
  <si>
    <t>유선미</t>
    <phoneticPr fontId="1" type="noConversion"/>
  </si>
  <si>
    <t>유선아</t>
    <phoneticPr fontId="1" type="noConversion"/>
  </si>
  <si>
    <t>천중영</t>
    <phoneticPr fontId="1" type="noConversion"/>
  </si>
  <si>
    <t>한태희</t>
    <phoneticPr fontId="1" type="noConversion"/>
  </si>
  <si>
    <t>서승교</t>
    <phoneticPr fontId="1" type="noConversion"/>
  </si>
  <si>
    <t>신선미</t>
    <phoneticPr fontId="1" type="noConversion"/>
  </si>
  <si>
    <t>신해선</t>
    <phoneticPr fontId="1" type="noConversion"/>
  </si>
  <si>
    <t>나인순</t>
    <phoneticPr fontId="1" type="noConversion"/>
  </si>
  <si>
    <t>박정숙</t>
    <phoneticPr fontId="1" type="noConversion"/>
  </si>
  <si>
    <t>강자순</t>
    <phoneticPr fontId="1" type="noConversion"/>
  </si>
  <si>
    <t>송용이</t>
    <phoneticPr fontId="1" type="noConversion"/>
  </si>
  <si>
    <t>고유선</t>
    <phoneticPr fontId="1" type="noConversion"/>
  </si>
  <si>
    <t>신선남</t>
    <phoneticPr fontId="1" type="noConversion"/>
  </si>
  <si>
    <t>전용철</t>
    <phoneticPr fontId="1" type="noConversion"/>
  </si>
  <si>
    <t>조예희</t>
    <phoneticPr fontId="1" type="noConversion"/>
  </si>
  <si>
    <t>전수연</t>
    <phoneticPr fontId="1" type="noConversion"/>
  </si>
  <si>
    <t>전수민</t>
    <phoneticPr fontId="1" type="noConversion"/>
  </si>
  <si>
    <t>신영숙</t>
    <phoneticPr fontId="1" type="noConversion"/>
  </si>
  <si>
    <t>김영복</t>
    <phoneticPr fontId="1" type="noConversion"/>
  </si>
  <si>
    <t>허태문</t>
    <phoneticPr fontId="1" type="noConversion"/>
  </si>
  <si>
    <t>조곡지</t>
    <phoneticPr fontId="1" type="noConversion"/>
  </si>
  <si>
    <t>이의중</t>
    <phoneticPr fontId="1" type="noConversion"/>
  </si>
  <si>
    <t>이의분</t>
    <phoneticPr fontId="1" type="noConversion"/>
  </si>
  <si>
    <t>김혜영</t>
    <phoneticPr fontId="1" type="noConversion"/>
  </si>
  <si>
    <t>강미정</t>
    <phoneticPr fontId="1" type="noConversion"/>
  </si>
  <si>
    <t>지해분</t>
    <phoneticPr fontId="1" type="noConversion"/>
  </si>
  <si>
    <t>최정환</t>
    <phoneticPr fontId="1" type="noConversion"/>
  </si>
  <si>
    <t>황성희</t>
    <phoneticPr fontId="1" type="noConversion"/>
  </si>
  <si>
    <t>최예진</t>
    <phoneticPr fontId="1" type="noConversion"/>
  </si>
  <si>
    <t>최예은</t>
    <phoneticPr fontId="1" type="noConversion"/>
  </si>
  <si>
    <t>황성준</t>
    <phoneticPr fontId="1" type="noConversion"/>
  </si>
  <si>
    <t>황윤서</t>
    <phoneticPr fontId="1" type="noConversion"/>
  </si>
  <si>
    <t>이재의</t>
    <phoneticPr fontId="1" type="noConversion"/>
  </si>
  <si>
    <t>박상백</t>
    <phoneticPr fontId="1" type="noConversion"/>
  </si>
  <si>
    <t>박의준</t>
    <phoneticPr fontId="1" type="noConversion"/>
  </si>
  <si>
    <t>박경준</t>
    <phoneticPr fontId="1" type="noConversion"/>
  </si>
  <si>
    <t>서영훈</t>
    <phoneticPr fontId="1" type="noConversion"/>
  </si>
  <si>
    <t>기선옥</t>
    <phoneticPr fontId="1" type="noConversion"/>
  </si>
  <si>
    <t>서정민</t>
    <phoneticPr fontId="1" type="noConversion"/>
  </si>
  <si>
    <t>서정원</t>
    <phoneticPr fontId="1" type="noConversion"/>
  </si>
  <si>
    <t>신준</t>
    <phoneticPr fontId="1" type="noConversion"/>
  </si>
  <si>
    <t>신은혜</t>
    <phoneticPr fontId="1" type="noConversion"/>
  </si>
  <si>
    <t>신제민</t>
    <phoneticPr fontId="1" type="noConversion"/>
  </si>
  <si>
    <t>신용훈</t>
    <phoneticPr fontId="1" type="noConversion"/>
  </si>
  <si>
    <t>이은정</t>
    <phoneticPr fontId="1" type="noConversion"/>
  </si>
  <si>
    <t>신희연</t>
    <phoneticPr fontId="1" type="noConversion"/>
  </si>
  <si>
    <t>신유준</t>
    <phoneticPr fontId="1" type="noConversion"/>
  </si>
  <si>
    <t>허정수</t>
    <phoneticPr fontId="1" type="noConversion"/>
  </si>
  <si>
    <t>이성훈</t>
    <phoneticPr fontId="1" type="noConversion"/>
  </si>
  <si>
    <t>정혜란</t>
    <phoneticPr fontId="1" type="noConversion"/>
  </si>
  <si>
    <t>이예은</t>
    <phoneticPr fontId="1" type="noConversion"/>
  </si>
  <si>
    <t>이예진</t>
    <phoneticPr fontId="1" type="noConversion"/>
  </si>
  <si>
    <t>이명기</t>
    <phoneticPr fontId="1" type="noConversion"/>
  </si>
  <si>
    <t>최미정</t>
    <phoneticPr fontId="1" type="noConversion"/>
  </si>
  <si>
    <t>이소희</t>
    <phoneticPr fontId="1" type="noConversion"/>
  </si>
  <si>
    <t>김묘선</t>
    <phoneticPr fontId="1" type="noConversion"/>
  </si>
  <si>
    <t>송정훈</t>
    <phoneticPr fontId="1" type="noConversion"/>
  </si>
  <si>
    <t>이용상</t>
    <phoneticPr fontId="1" type="noConversion"/>
  </si>
  <si>
    <t>송주옥</t>
    <phoneticPr fontId="1" type="noConversion"/>
  </si>
  <si>
    <t>이근영</t>
    <phoneticPr fontId="1" type="noConversion"/>
  </si>
  <si>
    <t>이가영</t>
    <phoneticPr fontId="1" type="noConversion"/>
  </si>
  <si>
    <t>강경필</t>
    <phoneticPr fontId="1" type="noConversion"/>
  </si>
  <si>
    <t>김영경</t>
    <phoneticPr fontId="1" type="noConversion"/>
  </si>
  <si>
    <t>강하연</t>
    <phoneticPr fontId="1" type="noConversion"/>
  </si>
  <si>
    <t>김지연</t>
    <phoneticPr fontId="1" type="noConversion"/>
  </si>
  <si>
    <t>전상수</t>
    <phoneticPr fontId="1" type="noConversion"/>
  </si>
  <si>
    <t>윤정자</t>
    <phoneticPr fontId="1" type="noConversion"/>
  </si>
  <si>
    <t>모준범</t>
    <phoneticPr fontId="1" type="noConversion"/>
  </si>
  <si>
    <t>최윤지</t>
    <phoneticPr fontId="1" type="noConversion"/>
  </si>
  <si>
    <t>모주현</t>
    <phoneticPr fontId="1" type="noConversion"/>
  </si>
  <si>
    <t>모상현</t>
    <phoneticPr fontId="1" type="noConversion"/>
  </si>
  <si>
    <t>박관우</t>
    <phoneticPr fontId="1" type="noConversion"/>
  </si>
  <si>
    <t>소희영</t>
    <phoneticPr fontId="1" type="noConversion"/>
  </si>
  <si>
    <t>박재완</t>
    <phoneticPr fontId="1" type="noConversion"/>
  </si>
  <si>
    <t>박재니</t>
    <phoneticPr fontId="1" type="noConversion"/>
  </si>
  <si>
    <t>채영훈</t>
    <phoneticPr fontId="1" type="noConversion"/>
  </si>
  <si>
    <t>이주헌</t>
    <phoneticPr fontId="1" type="noConversion"/>
  </si>
  <si>
    <t>채리나</t>
    <phoneticPr fontId="1" type="noConversion"/>
  </si>
  <si>
    <t>채리호</t>
    <phoneticPr fontId="1" type="noConversion"/>
  </si>
  <si>
    <t>임성남</t>
    <phoneticPr fontId="1" type="noConversion"/>
  </si>
  <si>
    <t>이은경</t>
    <phoneticPr fontId="1" type="noConversion"/>
  </si>
  <si>
    <t>임성은</t>
    <phoneticPr fontId="1" type="noConversion"/>
  </si>
  <si>
    <t>임은서</t>
    <phoneticPr fontId="1" type="noConversion"/>
  </si>
  <si>
    <t>이경호</t>
    <phoneticPr fontId="1" type="noConversion"/>
  </si>
  <si>
    <t>강진영</t>
    <phoneticPr fontId="1" type="noConversion"/>
  </si>
  <si>
    <t>이보희</t>
    <phoneticPr fontId="1" type="noConversion"/>
  </si>
  <si>
    <t>이준호</t>
    <phoneticPr fontId="1" type="noConversion"/>
  </si>
  <si>
    <t>장훈</t>
    <phoneticPr fontId="1" type="noConversion"/>
  </si>
  <si>
    <t>김윤곤</t>
    <phoneticPr fontId="1" type="noConversion"/>
  </si>
  <si>
    <t>이영훈</t>
    <phoneticPr fontId="1" type="noConversion"/>
  </si>
  <si>
    <t>김은호</t>
    <phoneticPr fontId="1" type="noConversion"/>
  </si>
  <si>
    <t>이소현</t>
    <phoneticPr fontId="1" type="noConversion"/>
  </si>
  <si>
    <t>이미자</t>
    <phoneticPr fontId="1" type="noConversion"/>
  </si>
  <si>
    <t>이하진</t>
    <phoneticPr fontId="1" type="noConversion"/>
  </si>
  <si>
    <t>김태경</t>
    <phoneticPr fontId="1" type="noConversion"/>
  </si>
  <si>
    <t>김선희</t>
    <phoneticPr fontId="1" type="noConversion"/>
  </si>
  <si>
    <t>김남선</t>
    <phoneticPr fontId="1" type="noConversion"/>
  </si>
  <si>
    <t>김우형</t>
    <phoneticPr fontId="1" type="noConversion"/>
  </si>
  <si>
    <t>문효주</t>
    <phoneticPr fontId="1" type="noConversion"/>
  </si>
  <si>
    <t>김소은</t>
    <phoneticPr fontId="1" type="noConversion"/>
  </si>
  <si>
    <t>문승호</t>
    <phoneticPr fontId="1" type="noConversion"/>
  </si>
  <si>
    <t>김태성</t>
    <phoneticPr fontId="1" type="noConversion"/>
  </si>
  <si>
    <t>최민아</t>
    <phoneticPr fontId="1" type="noConversion"/>
  </si>
  <si>
    <t>류재윤</t>
    <phoneticPr fontId="1" type="noConversion"/>
  </si>
  <si>
    <t>이상문</t>
    <phoneticPr fontId="1" type="noConversion"/>
  </si>
  <si>
    <t>이서우</t>
    <phoneticPr fontId="1" type="noConversion"/>
  </si>
  <si>
    <t>최승희</t>
    <phoneticPr fontId="1" type="noConversion"/>
  </si>
  <si>
    <t>이정은</t>
    <phoneticPr fontId="1" type="noConversion"/>
  </si>
  <si>
    <t>정의용</t>
    <phoneticPr fontId="1" type="noConversion"/>
  </si>
  <si>
    <t>정아란</t>
    <phoneticPr fontId="1" type="noConversion"/>
  </si>
  <si>
    <t>임아란</t>
    <phoneticPr fontId="1" type="noConversion"/>
  </si>
  <si>
    <t>김진규</t>
    <phoneticPr fontId="1" type="noConversion"/>
  </si>
  <si>
    <t>김슬우</t>
    <phoneticPr fontId="1" type="noConversion"/>
  </si>
  <si>
    <t>김다율</t>
    <phoneticPr fontId="1" type="noConversion"/>
  </si>
  <si>
    <t>손은정</t>
    <phoneticPr fontId="1" type="noConversion"/>
  </si>
  <si>
    <t>조강식</t>
    <phoneticPr fontId="1" type="noConversion"/>
  </si>
  <si>
    <t>조민서</t>
    <phoneticPr fontId="1" type="noConversion"/>
  </si>
  <si>
    <t>조민오</t>
    <phoneticPr fontId="1" type="noConversion"/>
  </si>
  <si>
    <t>백상열</t>
    <phoneticPr fontId="1" type="noConversion"/>
  </si>
  <si>
    <t>이민혁</t>
    <phoneticPr fontId="1" type="noConversion"/>
  </si>
  <si>
    <t>유왕열</t>
    <phoneticPr fontId="1" type="noConversion"/>
  </si>
  <si>
    <t>유태겸</t>
    <phoneticPr fontId="1" type="noConversion"/>
  </si>
  <si>
    <t>이명숙</t>
    <phoneticPr fontId="1" type="noConversion"/>
  </si>
  <si>
    <t>윤홍준</t>
    <phoneticPr fontId="1" type="noConversion"/>
  </si>
  <si>
    <t>이정미</t>
    <phoneticPr fontId="1" type="noConversion"/>
  </si>
  <si>
    <t>윤이언</t>
    <phoneticPr fontId="1" type="noConversion"/>
  </si>
  <si>
    <t>박금옥</t>
    <phoneticPr fontId="1" type="noConversion"/>
  </si>
  <si>
    <t>김유권</t>
    <phoneticPr fontId="1" type="noConversion"/>
  </si>
  <si>
    <t>유승정</t>
    <phoneticPr fontId="1" type="noConversion"/>
  </si>
  <si>
    <t>김우재</t>
    <phoneticPr fontId="1" type="noConversion"/>
  </si>
  <si>
    <t>이종희</t>
    <phoneticPr fontId="1" type="noConversion"/>
  </si>
  <si>
    <t>주시현</t>
    <phoneticPr fontId="1" type="noConversion"/>
  </si>
  <si>
    <t>주선하</t>
    <phoneticPr fontId="1" type="noConversion"/>
  </si>
  <si>
    <t>주연하</t>
    <phoneticPr fontId="1" type="noConversion"/>
  </si>
  <si>
    <t>주현우</t>
    <phoneticPr fontId="1" type="noConversion"/>
  </si>
  <si>
    <t>엄미애</t>
    <phoneticPr fontId="1" type="noConversion"/>
  </si>
  <si>
    <t>김선미</t>
    <phoneticPr fontId="1" type="noConversion"/>
  </si>
  <si>
    <t>안형준</t>
    <phoneticPr fontId="1" type="noConversion"/>
  </si>
  <si>
    <t>안윤후</t>
    <phoneticPr fontId="1" type="noConversion"/>
  </si>
  <si>
    <t>안윤서</t>
    <phoneticPr fontId="1" type="noConversion"/>
  </si>
  <si>
    <t>안지후</t>
    <phoneticPr fontId="1" type="noConversion"/>
  </si>
  <si>
    <t>신권주</t>
    <phoneticPr fontId="1" type="noConversion"/>
  </si>
  <si>
    <t>김소영</t>
    <phoneticPr fontId="1" type="noConversion"/>
  </si>
  <si>
    <t>김형태</t>
    <phoneticPr fontId="1" type="noConversion"/>
  </si>
  <si>
    <t>오연석</t>
    <phoneticPr fontId="1" type="noConversion"/>
  </si>
  <si>
    <t>김영훈</t>
    <phoneticPr fontId="1" type="noConversion"/>
  </si>
  <si>
    <t>김소희</t>
    <phoneticPr fontId="1" type="noConversion"/>
  </si>
  <si>
    <t>송인창</t>
    <phoneticPr fontId="1" type="noConversion"/>
  </si>
  <si>
    <t>전도희</t>
    <phoneticPr fontId="1" type="noConversion"/>
  </si>
  <si>
    <t>박윤용</t>
    <phoneticPr fontId="1" type="noConversion"/>
  </si>
  <si>
    <t>김순남</t>
    <phoneticPr fontId="1" type="noConversion"/>
  </si>
  <si>
    <t>이장우</t>
    <phoneticPr fontId="1" type="noConversion"/>
  </si>
  <si>
    <t>김효성</t>
    <phoneticPr fontId="1" type="noConversion"/>
  </si>
  <si>
    <t>김남준</t>
    <phoneticPr fontId="1" type="noConversion"/>
  </si>
  <si>
    <t>황현희</t>
    <phoneticPr fontId="1" type="noConversion"/>
  </si>
  <si>
    <t>홍성용</t>
    <phoneticPr fontId="1" type="noConversion"/>
  </si>
  <si>
    <t>한경옥</t>
    <phoneticPr fontId="1" type="noConversion"/>
  </si>
  <si>
    <t>권준석</t>
    <phoneticPr fontId="1" type="noConversion"/>
  </si>
  <si>
    <t>강언년</t>
    <phoneticPr fontId="1" type="noConversion"/>
  </si>
  <si>
    <t>김종일</t>
    <phoneticPr fontId="1" type="noConversion"/>
  </si>
  <si>
    <t>김금남</t>
    <phoneticPr fontId="1" type="noConversion"/>
  </si>
  <si>
    <t>임상임</t>
    <phoneticPr fontId="1" type="noConversion"/>
  </si>
  <si>
    <t>윤국희</t>
    <phoneticPr fontId="1" type="noConversion"/>
  </si>
  <si>
    <t>조현옥</t>
    <phoneticPr fontId="1" type="noConversion"/>
  </si>
  <si>
    <t>이주훈</t>
    <phoneticPr fontId="1" type="noConversion"/>
  </si>
  <si>
    <t>박서연</t>
    <phoneticPr fontId="1" type="noConversion"/>
  </si>
  <si>
    <t>주청향</t>
    <phoneticPr fontId="1" type="noConversion"/>
  </si>
  <si>
    <t>강응미</t>
    <phoneticPr fontId="1" type="noConversion"/>
  </si>
  <si>
    <t>이기연</t>
    <phoneticPr fontId="1" type="noConversion"/>
  </si>
  <si>
    <t>조인재</t>
    <phoneticPr fontId="1" type="noConversion"/>
  </si>
  <si>
    <t>문수정</t>
    <phoneticPr fontId="1" type="noConversion"/>
  </si>
  <si>
    <t>이상용</t>
    <phoneticPr fontId="1" type="noConversion"/>
  </si>
  <si>
    <t>장지연</t>
    <phoneticPr fontId="1" type="noConversion"/>
  </si>
  <si>
    <t>이주형</t>
    <phoneticPr fontId="1" type="noConversion"/>
  </si>
  <si>
    <t>이선준</t>
    <phoneticPr fontId="1" type="noConversion"/>
  </si>
  <si>
    <t>채현자</t>
    <phoneticPr fontId="1" type="noConversion"/>
  </si>
  <si>
    <t>김진낙</t>
    <phoneticPr fontId="1" type="noConversion"/>
  </si>
  <si>
    <t>김시연</t>
    <phoneticPr fontId="1" type="noConversion"/>
  </si>
  <si>
    <t>김시우</t>
    <phoneticPr fontId="1" type="noConversion"/>
  </si>
  <si>
    <t>배순선</t>
    <phoneticPr fontId="1" type="noConversion"/>
  </si>
  <si>
    <t>이팔우</t>
    <phoneticPr fontId="1" type="noConversion"/>
  </si>
  <si>
    <t>김종원</t>
    <phoneticPr fontId="1" type="noConversion"/>
  </si>
  <si>
    <t>진서현</t>
    <phoneticPr fontId="1" type="noConversion"/>
  </si>
  <si>
    <t>김시은</t>
    <phoneticPr fontId="1" type="noConversion"/>
  </si>
  <si>
    <t>이상민</t>
    <phoneticPr fontId="1" type="noConversion"/>
  </si>
  <si>
    <t>박영아</t>
    <phoneticPr fontId="1" type="noConversion"/>
  </si>
  <si>
    <t>이찬영</t>
    <phoneticPr fontId="1" type="noConversion"/>
  </si>
  <si>
    <t>정연민</t>
    <phoneticPr fontId="1" type="noConversion"/>
  </si>
  <si>
    <t>김미정</t>
    <phoneticPr fontId="1" type="noConversion"/>
  </si>
  <si>
    <t>이기옥</t>
    <phoneticPr fontId="1" type="noConversion"/>
  </si>
  <si>
    <t>김영존</t>
    <phoneticPr fontId="1" type="noConversion"/>
  </si>
  <si>
    <t>정광조</t>
    <phoneticPr fontId="1" type="noConversion"/>
  </si>
  <si>
    <t>김금순</t>
    <phoneticPr fontId="1" type="noConversion"/>
  </si>
  <si>
    <t>김혜선</t>
    <phoneticPr fontId="1" type="noConversion"/>
  </si>
  <si>
    <t>봉선호</t>
    <phoneticPr fontId="1" type="noConversion"/>
  </si>
  <si>
    <t>봉채은</t>
    <phoneticPr fontId="1" type="noConversion"/>
  </si>
  <si>
    <t>이동기</t>
    <phoneticPr fontId="1" type="noConversion"/>
  </si>
  <si>
    <t>노명숙</t>
    <phoneticPr fontId="1" type="noConversion"/>
  </si>
  <si>
    <t>이수정</t>
    <phoneticPr fontId="1" type="noConversion"/>
  </si>
  <si>
    <t>고재관</t>
    <phoneticPr fontId="1" type="noConversion"/>
  </si>
  <si>
    <t>고윤후</t>
    <phoneticPr fontId="1" type="noConversion"/>
  </si>
  <si>
    <t>고윤지</t>
    <phoneticPr fontId="1" type="noConversion"/>
  </si>
  <si>
    <t>최금희</t>
    <phoneticPr fontId="1" type="noConversion"/>
  </si>
  <si>
    <t>진도홍</t>
    <phoneticPr fontId="1" type="noConversion"/>
  </si>
  <si>
    <t>공성희</t>
    <phoneticPr fontId="1" type="noConversion"/>
  </si>
  <si>
    <t>김일승</t>
    <phoneticPr fontId="1" type="noConversion"/>
  </si>
  <si>
    <t>양정현</t>
    <phoneticPr fontId="1" type="noConversion"/>
  </si>
  <si>
    <t>서진교</t>
    <phoneticPr fontId="1" type="noConversion"/>
  </si>
  <si>
    <t>강영옥</t>
    <phoneticPr fontId="1" type="noConversion"/>
  </si>
  <si>
    <t>오금예</t>
    <phoneticPr fontId="1" type="noConversion"/>
  </si>
  <si>
    <t>송영아</t>
    <phoneticPr fontId="1" type="noConversion"/>
  </si>
  <si>
    <t>김해인</t>
    <phoneticPr fontId="1" type="noConversion"/>
  </si>
  <si>
    <t>김해수</t>
    <phoneticPr fontId="1" type="noConversion"/>
  </si>
  <si>
    <t>나윤설</t>
    <phoneticPr fontId="1" type="noConversion"/>
  </si>
  <si>
    <t>나상호</t>
    <phoneticPr fontId="1" type="noConversion"/>
  </si>
  <si>
    <t>이명근</t>
    <phoneticPr fontId="1" type="noConversion"/>
  </si>
  <si>
    <t>이정훈</t>
    <phoneticPr fontId="1" type="noConversion"/>
  </si>
  <si>
    <t>한혜진</t>
    <phoneticPr fontId="1" type="noConversion"/>
  </si>
  <si>
    <t>김순영</t>
    <phoneticPr fontId="1" type="noConversion"/>
  </si>
  <si>
    <t>이득재</t>
    <phoneticPr fontId="1" type="noConversion"/>
  </si>
  <si>
    <t>허형회</t>
    <phoneticPr fontId="1" type="noConversion"/>
  </si>
  <si>
    <t>안광진</t>
    <phoneticPr fontId="1" type="noConversion"/>
  </si>
  <si>
    <t>유영숙</t>
    <phoneticPr fontId="1" type="noConversion"/>
  </si>
  <si>
    <t>안치현</t>
    <phoneticPr fontId="1" type="noConversion"/>
  </si>
  <si>
    <t>안소현</t>
    <phoneticPr fontId="1" type="noConversion"/>
  </si>
  <si>
    <t>안규현</t>
    <phoneticPr fontId="1" type="noConversion"/>
  </si>
  <si>
    <t>안수현</t>
    <phoneticPr fontId="1" type="noConversion"/>
  </si>
  <si>
    <t>배종화</t>
    <phoneticPr fontId="1" type="noConversion"/>
  </si>
  <si>
    <t>정미향</t>
    <phoneticPr fontId="1" type="noConversion"/>
  </si>
  <si>
    <t>이종숙</t>
    <phoneticPr fontId="1" type="noConversion"/>
  </si>
  <si>
    <t>최유리</t>
    <phoneticPr fontId="1" type="noConversion"/>
  </si>
  <si>
    <t>임지연</t>
    <phoneticPr fontId="1" type="noConversion"/>
  </si>
  <si>
    <t>조용운</t>
    <phoneticPr fontId="1" type="noConversion"/>
  </si>
  <si>
    <t>조채연</t>
    <phoneticPr fontId="1" type="noConversion"/>
  </si>
  <si>
    <t>조서연</t>
    <phoneticPr fontId="1" type="noConversion"/>
  </si>
  <si>
    <t>황해인</t>
    <phoneticPr fontId="1" type="noConversion"/>
  </si>
  <si>
    <t>조진희</t>
    <phoneticPr fontId="1" type="noConversion"/>
  </si>
  <si>
    <t>윤효상</t>
    <phoneticPr fontId="1" type="noConversion"/>
  </si>
  <si>
    <t>김상욱</t>
    <phoneticPr fontId="1" type="noConversion"/>
  </si>
  <si>
    <t>이형자</t>
    <phoneticPr fontId="1" type="noConversion"/>
  </si>
  <si>
    <t>김승환</t>
    <phoneticPr fontId="1" type="noConversion"/>
  </si>
  <si>
    <t>이혜미</t>
    <phoneticPr fontId="1" type="noConversion"/>
  </si>
  <si>
    <t>김종승</t>
    <phoneticPr fontId="1" type="noConversion"/>
  </si>
  <si>
    <t>조석연</t>
    <phoneticPr fontId="1" type="noConversion"/>
  </si>
  <si>
    <t>조현준</t>
    <phoneticPr fontId="1" type="noConversion"/>
  </si>
  <si>
    <t>조지순</t>
    <phoneticPr fontId="1" type="noConversion"/>
  </si>
  <si>
    <t>조석보</t>
    <phoneticPr fontId="1" type="noConversion"/>
  </si>
  <si>
    <t>조민성</t>
    <phoneticPr fontId="1" type="noConversion"/>
  </si>
  <si>
    <t>김관기</t>
    <phoneticPr fontId="1" type="noConversion"/>
  </si>
  <si>
    <t>김성완</t>
    <phoneticPr fontId="1" type="noConversion"/>
  </si>
  <si>
    <t>노경미</t>
    <phoneticPr fontId="1" type="noConversion"/>
  </si>
  <si>
    <t>서재선</t>
    <phoneticPr fontId="1" type="noConversion"/>
  </si>
  <si>
    <t>서지경</t>
    <phoneticPr fontId="1" type="noConversion"/>
  </si>
  <si>
    <t>보이코알렉산더</t>
    <phoneticPr fontId="1" type="noConversion"/>
  </si>
  <si>
    <t>보이코 서준</t>
    <phoneticPr fontId="1" type="noConversion"/>
  </si>
  <si>
    <t>서민재</t>
    <phoneticPr fontId="1" type="noConversion"/>
  </si>
  <si>
    <t>서지민</t>
    <phoneticPr fontId="1" type="noConversion"/>
  </si>
  <si>
    <t>성유진</t>
    <phoneticPr fontId="1" type="noConversion"/>
  </si>
  <si>
    <t>장서연</t>
    <phoneticPr fontId="1" type="noConversion"/>
  </si>
  <si>
    <t>박서영</t>
    <phoneticPr fontId="1" type="noConversion"/>
  </si>
  <si>
    <t>박완우</t>
    <phoneticPr fontId="1" type="noConversion"/>
  </si>
  <si>
    <t>김미엽</t>
    <phoneticPr fontId="1" type="noConversion"/>
  </si>
  <si>
    <t>곽금순</t>
    <phoneticPr fontId="1" type="noConversion"/>
  </si>
  <si>
    <t>송명준</t>
    <phoneticPr fontId="1" type="noConversion"/>
  </si>
  <si>
    <t>임선우</t>
    <phoneticPr fontId="1" type="noConversion"/>
  </si>
  <si>
    <t>이주미</t>
    <phoneticPr fontId="1" type="noConversion"/>
  </si>
  <si>
    <t>자동차만기</t>
    <phoneticPr fontId="1" type="noConversion"/>
  </si>
  <si>
    <t>간병인</t>
    <phoneticPr fontId="1" type="noConversion"/>
  </si>
  <si>
    <t>실비</t>
    <phoneticPr fontId="1" type="noConversion"/>
  </si>
  <si>
    <t>재물</t>
    <phoneticPr fontId="1" type="noConversion"/>
  </si>
  <si>
    <t>치매</t>
    <phoneticPr fontId="1" type="noConversion"/>
  </si>
  <si>
    <t>1-108</t>
    <phoneticPr fontId="1" type="noConversion"/>
  </si>
  <si>
    <t>010-6636-0957</t>
    <phoneticPr fontId="1" type="noConversion"/>
  </si>
  <si>
    <t>24.삼성화재(10다8389, 56두3928, 257마3248)</t>
    <phoneticPr fontId="1" type="noConversion"/>
  </si>
  <si>
    <t>190827_메리츠(27,170원)</t>
    <phoneticPr fontId="1" type="noConversion"/>
  </si>
  <si>
    <t>천안시 서북구 쌍용3동 1953 (타워프라자)스위트소아과</t>
    <phoneticPr fontId="1" type="noConversion"/>
  </si>
  <si>
    <t>010-5101-0957</t>
    <phoneticPr fontId="1" type="noConversion"/>
  </si>
  <si>
    <t>190827_메리츠(15,000원)</t>
    <phoneticPr fontId="1" type="noConversion"/>
  </si>
  <si>
    <t>010-2569-2907</t>
    <phoneticPr fontId="1" type="noConversion"/>
  </si>
  <si>
    <t>4-62</t>
    <phoneticPr fontId="1" type="noConversion"/>
  </si>
  <si>
    <t>010-6847-3234</t>
    <phoneticPr fontId="1" type="noConversion"/>
  </si>
  <si>
    <t>24.현대해상(36주4245)</t>
  </si>
  <si>
    <t>230210_메리츠(16,120원)</t>
    <phoneticPr fontId="1" type="noConversion"/>
  </si>
  <si>
    <t>사예원</t>
    <phoneticPr fontId="1" type="noConversion"/>
  </si>
  <si>
    <t>010-6482-6542</t>
    <phoneticPr fontId="1" type="noConversion"/>
  </si>
  <si>
    <t>230214_메리츠(12,850원)</t>
    <phoneticPr fontId="1" type="noConversion"/>
  </si>
  <si>
    <t>김규리</t>
    <phoneticPr fontId="1" type="noConversion"/>
  </si>
  <si>
    <t>김상우</t>
    <phoneticPr fontId="1" type="noConversion"/>
  </si>
  <si>
    <t>5-24</t>
  </si>
  <si>
    <t>박인수</t>
    <phoneticPr fontId="1" type="noConversion"/>
  </si>
  <si>
    <t>010-9524-3325</t>
    <phoneticPr fontId="1" type="noConversion"/>
  </si>
  <si>
    <t>24. AXA (237나7756, 58너2669, 50다9176)</t>
    <phoneticPr fontId="1" type="noConversion"/>
  </si>
  <si>
    <t>230718_메리츠(11,620원)</t>
    <phoneticPr fontId="1" type="noConversion"/>
  </si>
  <si>
    <t>충북 청주시 서원구 예체로 68 사직동 푸르지오캐슬@ 110동 803호</t>
    <phoneticPr fontId="1" type="noConversion"/>
  </si>
  <si>
    <t>김정희</t>
    <phoneticPr fontId="1" type="noConversion"/>
  </si>
  <si>
    <t>010-3506-4837</t>
    <phoneticPr fontId="1" type="noConversion"/>
  </si>
  <si>
    <t>230719_메리츠(15,120원)</t>
    <phoneticPr fontId="1" type="noConversion"/>
  </si>
  <si>
    <t>3-94</t>
    <phoneticPr fontId="1" type="noConversion"/>
  </si>
  <si>
    <t>010-4059-2109</t>
    <phoneticPr fontId="1" type="noConversion"/>
  </si>
  <si>
    <t>23. 삼성 (68도8753)</t>
    <phoneticPr fontId="1" type="noConversion"/>
  </si>
  <si>
    <t>200720_현대(24,040원)
220817_메리츠(17,680원)</t>
    <phoneticPr fontId="1" type="noConversion"/>
  </si>
  <si>
    <t>천안시 서북구 차암동 448 한화꿈에그린@106동 2002호</t>
    <phoneticPr fontId="1" type="noConversion"/>
  </si>
  <si>
    <t>3-53</t>
    <phoneticPr fontId="1" type="noConversion"/>
  </si>
  <si>
    <t>010-2372-1206</t>
    <phoneticPr fontId="1" type="noConversion"/>
  </si>
  <si>
    <t>24. 삼성 (18더8225)</t>
    <phoneticPr fontId="1" type="noConversion"/>
  </si>
  <si>
    <t>211029_KB(15,900원)</t>
    <phoneticPr fontId="1" type="noConversion"/>
  </si>
  <si>
    <t>010-5594-0744</t>
    <phoneticPr fontId="1" type="noConversion"/>
  </si>
  <si>
    <t>211029_KB(21,900원)</t>
    <phoneticPr fontId="1" type="noConversion"/>
  </si>
  <si>
    <t>4-13</t>
    <phoneticPr fontId="1" type="noConversion"/>
  </si>
  <si>
    <t>010-3109-0142</t>
    <phoneticPr fontId="1" type="noConversion"/>
  </si>
  <si>
    <t>23. KB (73조6463)</t>
    <phoneticPr fontId="1" type="noConversion"/>
  </si>
  <si>
    <t>140819_한화(668,169원)</t>
    <phoneticPr fontId="1" type="noConversion"/>
  </si>
  <si>
    <t>푸르지오</t>
  </si>
  <si>
    <t>010-5531-0142</t>
    <phoneticPr fontId="1" type="noConversion"/>
  </si>
  <si>
    <t>112동 602호</t>
  </si>
  <si>
    <t>손영숙</t>
    <phoneticPr fontId="1" type="noConversion"/>
  </si>
  <si>
    <t>010-8030-0142</t>
    <phoneticPr fontId="1" type="noConversion"/>
  </si>
  <si>
    <t>3-11</t>
    <phoneticPr fontId="1" type="noConversion"/>
  </si>
  <si>
    <t>010-9880-8773</t>
    <phoneticPr fontId="1" type="noConversion"/>
  </si>
  <si>
    <t>24. 삼성 (64무5908)</t>
  </si>
  <si>
    <t>200326_현대(13,000원)</t>
    <phoneticPr fontId="1" type="noConversion"/>
  </si>
  <si>
    <t>131231_현대(45,000원)</t>
    <phoneticPr fontId="1" type="noConversion"/>
  </si>
  <si>
    <t>4-89</t>
    <phoneticPr fontId="1" type="noConversion"/>
  </si>
  <si>
    <t>김연희</t>
    <phoneticPr fontId="1" type="noConversion"/>
  </si>
  <si>
    <t>010-2613-2642</t>
    <phoneticPr fontId="1" type="noConversion"/>
  </si>
  <si>
    <t>24. The-k (57오4610)_다이렉트</t>
    <phoneticPr fontId="1" type="noConversion"/>
  </si>
  <si>
    <t>230228_메리츠(10,000원)</t>
    <phoneticPr fontId="1" type="noConversion"/>
  </si>
  <si>
    <t>조순영</t>
    <phoneticPr fontId="1" type="noConversion"/>
  </si>
  <si>
    <t>010-2229-1230</t>
    <phoneticPr fontId="1" type="noConversion"/>
  </si>
  <si>
    <t>서울갈현로10-15 202호</t>
    <phoneticPr fontId="1" type="noConversion"/>
  </si>
  <si>
    <t>김인선</t>
    <phoneticPr fontId="1" type="noConversion"/>
  </si>
  <si>
    <t>010-7979-8882</t>
    <phoneticPr fontId="1" type="noConversion"/>
  </si>
  <si>
    <t>3-97</t>
    <phoneticPr fontId="1" type="noConversion"/>
  </si>
  <si>
    <t>김훈종</t>
    <phoneticPr fontId="1" type="noConversion"/>
  </si>
  <si>
    <t>24. 현대해상(72구2996)</t>
    <phoneticPr fontId="1" type="noConversion"/>
  </si>
  <si>
    <t>210125_메리츠(50,000원)
210402_현대(10,000원)</t>
    <phoneticPr fontId="1" type="noConversion"/>
  </si>
  <si>
    <t>윤애진</t>
    <phoneticPr fontId="1" type="noConversion"/>
  </si>
  <si>
    <t>010-9339-1124</t>
    <phoneticPr fontId="1" type="noConversion"/>
  </si>
  <si>
    <t>190116_MG(22,460원)
210402_현대(10,000원)</t>
    <phoneticPr fontId="1" type="noConversion"/>
  </si>
  <si>
    <t>1-11</t>
    <phoneticPr fontId="1" type="noConversion"/>
  </si>
  <si>
    <t>010-5204-2398</t>
  </si>
  <si>
    <t>24. 삼성 (268라2081, 152우 5388)</t>
    <phoneticPr fontId="1" type="noConversion"/>
  </si>
  <si>
    <t>190726_현대(25,640원)</t>
    <phoneticPr fontId="1" type="noConversion"/>
  </si>
  <si>
    <t>X</t>
  </si>
  <si>
    <t>5-69</t>
    <phoneticPr fontId="1" type="noConversion"/>
  </si>
  <si>
    <t>1월7일</t>
    <phoneticPr fontId="1" type="noConversion"/>
  </si>
  <si>
    <t>윤형식</t>
    <phoneticPr fontId="1" type="noConversion"/>
  </si>
  <si>
    <t>010-2247-7592</t>
    <phoneticPr fontId="1" type="noConversion"/>
  </si>
  <si>
    <t xml:space="preserve">경기도 평택시 고덕국제대로 202 LH르플로랑281동1404호 </t>
  </si>
  <si>
    <t>3-51</t>
    <phoneticPr fontId="1" type="noConversion"/>
  </si>
  <si>
    <t>010-7144-4672</t>
    <phoneticPr fontId="1" type="noConversion"/>
  </si>
  <si>
    <t>23. 롯데 (45너 7942)</t>
    <phoneticPr fontId="1" type="noConversion"/>
  </si>
  <si>
    <t>3-84</t>
    <phoneticPr fontId="1" type="noConversion"/>
  </si>
  <si>
    <t>010-4466-6306</t>
    <phoneticPr fontId="1" type="noConversion"/>
  </si>
  <si>
    <t>24. 삼성 (148머2576, 39보3167)_다이렉트</t>
    <phoneticPr fontId="1" type="noConversion"/>
  </si>
  <si>
    <t>221229_DB(24,180)</t>
    <phoneticPr fontId="1" type="noConversion"/>
  </si>
  <si>
    <t>010-3446-0433</t>
    <phoneticPr fontId="1" type="noConversion"/>
  </si>
  <si>
    <t>5-66</t>
    <phoneticPr fontId="1" type="noConversion"/>
  </si>
  <si>
    <t>1월11일</t>
    <phoneticPr fontId="1" type="noConversion"/>
  </si>
  <si>
    <t>이옥순</t>
    <phoneticPr fontId="1" type="noConversion"/>
  </si>
  <si>
    <t>010-5594-7758</t>
    <phoneticPr fontId="1" type="noConversion"/>
  </si>
  <si>
    <t>아산시 배방읍 광장로210 101-2004</t>
    <phoneticPr fontId="1" type="noConversion"/>
  </si>
  <si>
    <t>강홍구</t>
    <phoneticPr fontId="1" type="noConversion"/>
  </si>
  <si>
    <t>010-2408-7758</t>
    <phoneticPr fontId="1" type="noConversion"/>
  </si>
  <si>
    <t>강인해</t>
    <phoneticPr fontId="1" type="noConversion"/>
  </si>
  <si>
    <t>010-7379-2045</t>
    <phoneticPr fontId="1" type="noConversion"/>
  </si>
  <si>
    <t xml:space="preserve"> 서울시 성동구 마조로12길15, 402호</t>
  </si>
  <si>
    <t>강범모</t>
    <phoneticPr fontId="1" type="noConversion"/>
  </si>
  <si>
    <t>4-94</t>
    <phoneticPr fontId="1" type="noConversion"/>
  </si>
  <si>
    <t>유해권</t>
    <phoneticPr fontId="1" type="noConversion"/>
  </si>
  <si>
    <t>24. 한화 (259머4890)_다이렉트</t>
    <phoneticPr fontId="1" type="noConversion"/>
  </si>
  <si>
    <t>091205_한화(30,000원)</t>
    <phoneticPr fontId="1" type="noConversion"/>
  </si>
  <si>
    <t>한종숙</t>
    <phoneticPr fontId="1" type="noConversion"/>
  </si>
  <si>
    <t>010-3910-4253</t>
    <phoneticPr fontId="1" type="noConversion"/>
  </si>
  <si>
    <t>210903_현대(11,000원)
100720_현대(38,600원)</t>
    <phoneticPr fontId="1" type="noConversion"/>
  </si>
  <si>
    <t>230411_삼성(31,084원)</t>
    <phoneticPr fontId="1" type="noConversion"/>
  </si>
  <si>
    <t>유지한</t>
    <phoneticPr fontId="1" type="noConversion"/>
  </si>
  <si>
    <t>김선례</t>
    <phoneticPr fontId="1" type="noConversion"/>
  </si>
  <si>
    <t>1-34</t>
    <phoneticPr fontId="1" type="noConversion"/>
  </si>
  <si>
    <t>010-7114-5538</t>
    <phoneticPr fontId="1" type="noConversion"/>
  </si>
  <si>
    <t>24. 현대(20모3428)_다이렉트</t>
    <phoneticPr fontId="1" type="noConversion"/>
  </si>
  <si>
    <t>3-69</t>
    <phoneticPr fontId="1" type="noConversion"/>
  </si>
  <si>
    <t>최대영</t>
    <phoneticPr fontId="1" type="noConversion"/>
  </si>
  <si>
    <t>23. KB (61두 8888)</t>
    <phoneticPr fontId="1" type="noConversion"/>
  </si>
  <si>
    <t>3-68</t>
    <phoneticPr fontId="1" type="noConversion"/>
  </si>
  <si>
    <t>류안나</t>
    <phoneticPr fontId="1" type="noConversion"/>
  </si>
  <si>
    <t>010-3863-3644</t>
    <phoneticPr fontId="1" type="noConversion"/>
  </si>
  <si>
    <t>23. 현대 (56러6305)</t>
    <phoneticPr fontId="1" type="noConversion"/>
  </si>
  <si>
    <t>3-93</t>
    <phoneticPr fontId="1" type="noConversion"/>
  </si>
  <si>
    <t>010-5463-6213</t>
    <phoneticPr fontId="1" type="noConversion"/>
  </si>
  <si>
    <t>24. DB (70어 6637)</t>
    <phoneticPr fontId="1" type="noConversion"/>
  </si>
  <si>
    <t>200413_현대(20,020원)</t>
    <phoneticPr fontId="1" type="noConversion"/>
  </si>
  <si>
    <t>3-28</t>
    <phoneticPr fontId="1" type="noConversion"/>
  </si>
  <si>
    <t>24. 삼성화재 (41고3813)_다이렉트</t>
    <phoneticPr fontId="1" type="noConversion"/>
  </si>
  <si>
    <t>010-9129-5481</t>
    <phoneticPr fontId="1" type="noConversion"/>
  </si>
  <si>
    <t>010-5452-5121</t>
    <phoneticPr fontId="1" type="noConversion"/>
  </si>
  <si>
    <t>24. 롯데 (충남5거7277)</t>
    <phoneticPr fontId="1" type="noConversion"/>
  </si>
  <si>
    <t>220222_메리츠(13,860원)
130214_KB(74,000원)</t>
    <phoneticPr fontId="1" type="noConversion"/>
  </si>
  <si>
    <t>4-85</t>
    <phoneticPr fontId="1" type="noConversion"/>
  </si>
  <si>
    <t>유윤미</t>
    <phoneticPr fontId="1" type="noConversion"/>
  </si>
  <si>
    <t>24. KB (293나1278)</t>
    <phoneticPr fontId="1" type="noConversion"/>
  </si>
  <si>
    <t>221212_KB(20,000원)
100618_KB(132,865원)</t>
    <phoneticPr fontId="1" type="noConversion"/>
  </si>
  <si>
    <t>230727_삼성(36,931원)</t>
    <phoneticPr fontId="1" type="noConversion"/>
  </si>
  <si>
    <t>4-47</t>
    <phoneticPr fontId="1" type="noConversion"/>
  </si>
  <si>
    <t>010-7929-2471</t>
    <phoneticPr fontId="1" type="noConversion"/>
  </si>
  <si>
    <t>24. 삼성 (41너4960)_다이렉트</t>
    <phoneticPr fontId="1" type="noConversion"/>
  </si>
  <si>
    <t>220213_삼성(16,900원)
200917_현대(16,050원)</t>
    <phoneticPr fontId="1" type="noConversion"/>
  </si>
  <si>
    <t>4-9</t>
    <phoneticPr fontId="1" type="noConversion"/>
  </si>
  <si>
    <t>010-7686-5817</t>
    <phoneticPr fontId="1" type="noConversion"/>
  </si>
  <si>
    <t>24. 삼성 (360루3347)_다이렉트</t>
    <phoneticPr fontId="1" type="noConversion"/>
  </si>
  <si>
    <t>190612_메리츠(21,280원)</t>
    <phoneticPr fontId="1" type="noConversion"/>
  </si>
  <si>
    <t>010-9452-6635</t>
    <phoneticPr fontId="1" type="noConversion"/>
  </si>
  <si>
    <t>200423_현대(31,420원)</t>
    <phoneticPr fontId="1" type="noConversion"/>
  </si>
  <si>
    <t>이유림</t>
    <phoneticPr fontId="1" type="noConversion"/>
  </si>
  <si>
    <t>이예림</t>
    <phoneticPr fontId="1" type="noConversion"/>
  </si>
  <si>
    <t>이서진</t>
    <phoneticPr fontId="1" type="noConversion"/>
  </si>
  <si>
    <t>1-114</t>
    <phoneticPr fontId="1" type="noConversion"/>
  </si>
  <si>
    <t>010-9389-0466</t>
    <phoneticPr fontId="1" type="noConversion"/>
  </si>
  <si>
    <t>24. DB (70두1651)_다이렉트</t>
    <phoneticPr fontId="1" type="noConversion"/>
  </si>
  <si>
    <t>230120_DB(24,280원)</t>
    <phoneticPr fontId="1" type="noConversion"/>
  </si>
  <si>
    <t>2-</t>
    <phoneticPr fontId="1" type="noConversion"/>
  </si>
  <si>
    <t>24. 현대 (180모7389)</t>
    <phoneticPr fontId="1" type="noConversion"/>
  </si>
  <si>
    <t>210219_현대(25,560원)</t>
    <phoneticPr fontId="1" type="noConversion"/>
  </si>
  <si>
    <t>010-3133-1092</t>
    <phoneticPr fontId="1" type="noConversion"/>
  </si>
  <si>
    <t>3-76</t>
    <phoneticPr fontId="1" type="noConversion"/>
  </si>
  <si>
    <t>010-8423-3886</t>
    <phoneticPr fontId="1" type="noConversion"/>
  </si>
  <si>
    <t>24. 삼성 (62고 6050)</t>
    <phoneticPr fontId="1" type="noConversion"/>
  </si>
  <si>
    <t>010-7122-3886</t>
    <phoneticPr fontId="1" type="noConversion"/>
  </si>
  <si>
    <t>5-64</t>
    <phoneticPr fontId="1" type="noConversion"/>
  </si>
  <si>
    <t>김창욱</t>
    <phoneticPr fontId="1" type="noConversion"/>
  </si>
  <si>
    <t>010-9406-0219</t>
    <phoneticPr fontId="1" type="noConversion"/>
  </si>
  <si>
    <t>김미선</t>
    <phoneticPr fontId="1" type="noConversion"/>
  </si>
  <si>
    <t xml:space="preserve">  010-5296-6255</t>
    <phoneticPr fontId="1" type="noConversion"/>
  </si>
  <si>
    <t>충남 천안시 서북구 한들3로35-23 백석아이파크2차 209-802</t>
  </si>
  <si>
    <t>박홍근</t>
    <phoneticPr fontId="1" type="noConversion"/>
  </si>
  <si>
    <t>010-4157-6253</t>
    <phoneticPr fontId="1" type="noConversion"/>
  </si>
  <si>
    <t>김용철</t>
    <phoneticPr fontId="1" type="noConversion"/>
  </si>
  <si>
    <t>010-6370-5612</t>
    <phoneticPr fontId="1" type="noConversion"/>
  </si>
  <si>
    <t>24.현대(다이렉트)</t>
    <phoneticPr fontId="1" type="noConversion"/>
  </si>
  <si>
    <t>강원도 고성군 간성읍 꽃대마을길 118</t>
    <phoneticPr fontId="1" type="noConversion"/>
  </si>
  <si>
    <t>4-43</t>
    <phoneticPr fontId="1" type="noConversion"/>
  </si>
  <si>
    <t>010-9180-1826</t>
    <phoneticPr fontId="1" type="noConversion"/>
  </si>
  <si>
    <t>24. KB (157로 1959)</t>
    <phoneticPr fontId="1" type="noConversion"/>
  </si>
  <si>
    <t>010-9175-4891</t>
    <phoneticPr fontId="1" type="noConversion"/>
  </si>
  <si>
    <t>010-2480-7360</t>
    <phoneticPr fontId="1" type="noConversion"/>
  </si>
  <si>
    <t>5-70</t>
    <phoneticPr fontId="1" type="noConversion"/>
  </si>
  <si>
    <t>1월22일</t>
    <phoneticPr fontId="1" type="noConversion"/>
  </si>
  <si>
    <t>황상순</t>
    <phoneticPr fontId="1" type="noConversion"/>
  </si>
  <si>
    <t>010-9463-2073</t>
    <phoneticPr fontId="1" type="noConversion"/>
  </si>
  <si>
    <t>현대해상하이카</t>
    <phoneticPr fontId="1" type="noConversion"/>
  </si>
  <si>
    <t>1-36</t>
    <phoneticPr fontId="1" type="noConversion"/>
  </si>
  <si>
    <t>010-3852-8100</t>
    <phoneticPr fontId="1" type="noConversion"/>
  </si>
  <si>
    <t>24. 메리츠화재 (31조7016, 23더4155)</t>
    <phoneticPr fontId="1" type="noConversion"/>
  </si>
  <si>
    <t>4-45</t>
    <phoneticPr fontId="1" type="noConversion"/>
  </si>
  <si>
    <t>김기영</t>
    <phoneticPr fontId="1" type="noConversion"/>
  </si>
  <si>
    <t>010-8338-8631</t>
    <phoneticPr fontId="1" type="noConversion"/>
  </si>
  <si>
    <t>24. 삼성(33루9000, 39두3778)</t>
    <phoneticPr fontId="1" type="noConversion"/>
  </si>
  <si>
    <t>박은수</t>
    <phoneticPr fontId="1" type="noConversion"/>
  </si>
  <si>
    <t>010-9990-7455</t>
    <phoneticPr fontId="1" type="noConversion"/>
  </si>
  <si>
    <t>24. 메리츠화재 (20마 3465)</t>
    <phoneticPr fontId="1" type="noConversion"/>
  </si>
  <si>
    <t>5-51</t>
    <phoneticPr fontId="1" type="noConversion"/>
  </si>
  <si>
    <t>1월25일</t>
    <phoneticPr fontId="1" type="noConversion"/>
  </si>
  <si>
    <t>박영순</t>
    <phoneticPr fontId="1" type="noConversion"/>
  </si>
  <si>
    <t>010-6289-3050</t>
    <phoneticPr fontId="1" type="noConversion"/>
  </si>
  <si>
    <t>현대해상다이렉트</t>
    <phoneticPr fontId="1" type="noConversion"/>
  </si>
  <si>
    <t> 충남 아산시 서부북로 973 (배미동, 서진아파트) 108동 606호</t>
  </si>
  <si>
    <t>010-5481-5963</t>
    <phoneticPr fontId="1" type="noConversion"/>
  </si>
  <si>
    <t>24. 현대(41서 4771)</t>
    <phoneticPr fontId="1" type="noConversion"/>
  </si>
  <si>
    <t>230802_메리츠(14,620원)</t>
    <phoneticPr fontId="1" type="noConversion"/>
  </si>
  <si>
    <t>230801_삼성(53,016원)</t>
    <phoneticPr fontId="1" type="noConversion"/>
  </si>
  <si>
    <t>010-2626-5963</t>
    <phoneticPr fontId="1" type="noConversion"/>
  </si>
  <si>
    <t>010-7760-5538</t>
    <phoneticPr fontId="1" type="noConversion"/>
  </si>
  <si>
    <t>010-2439-6209</t>
    <phoneticPr fontId="1" type="noConversion"/>
  </si>
  <si>
    <t>4-37</t>
    <phoneticPr fontId="1" type="noConversion"/>
  </si>
  <si>
    <t>010-9098-4986</t>
    <phoneticPr fontId="1" type="noConversion"/>
  </si>
  <si>
    <t>24. 삼성 (51저0843, 90더0581)</t>
    <phoneticPr fontId="1" type="noConversion"/>
  </si>
  <si>
    <t>010-9120-0830</t>
    <phoneticPr fontId="1" type="noConversion"/>
  </si>
  <si>
    <t>5-15</t>
  </si>
  <si>
    <t>남수진</t>
    <phoneticPr fontId="1" type="noConversion"/>
  </si>
  <si>
    <t>010-8472-3682</t>
    <phoneticPr fontId="1" type="noConversion"/>
  </si>
  <si>
    <t>24.현대 (57머6933)</t>
    <phoneticPr fontId="1" type="noConversion"/>
  </si>
  <si>
    <t>3-58</t>
    <phoneticPr fontId="1" type="noConversion"/>
  </si>
  <si>
    <t>010-3856-7382</t>
    <phoneticPr fontId="1" type="noConversion"/>
  </si>
  <si>
    <t>24. 현대 (12마1126, 180수4088)</t>
    <phoneticPr fontId="1" type="noConversion"/>
  </si>
  <si>
    <t>010-9904-2903</t>
    <phoneticPr fontId="1" type="noConversion"/>
  </si>
  <si>
    <t>010-5424-7382</t>
    <phoneticPr fontId="1" type="noConversion"/>
  </si>
  <si>
    <t>1-96 / 3-92</t>
    <phoneticPr fontId="1" type="noConversion"/>
  </si>
  <si>
    <t>010-3233-9415</t>
    <phoneticPr fontId="1" type="noConversion"/>
  </si>
  <si>
    <t>24. 삼성 (55조7330)</t>
    <phoneticPr fontId="1" type="noConversion"/>
  </si>
  <si>
    <t>3-47</t>
    <phoneticPr fontId="1" type="noConversion"/>
  </si>
  <si>
    <t>010-2853-8864</t>
    <phoneticPr fontId="1" type="noConversion"/>
  </si>
  <si>
    <t>24. 삼성 (13더5868)</t>
    <phoneticPr fontId="1" type="noConversion"/>
  </si>
  <si>
    <t>010-9868-4415</t>
    <phoneticPr fontId="1" type="noConversion"/>
  </si>
  <si>
    <t>4-63</t>
    <phoneticPr fontId="1" type="noConversion"/>
  </si>
  <si>
    <t>최은일</t>
    <phoneticPr fontId="1" type="noConversion"/>
  </si>
  <si>
    <t>010-3437-2316</t>
    <phoneticPr fontId="1" type="noConversion"/>
  </si>
  <si>
    <t>24. DB (256로4202)</t>
    <phoneticPr fontId="1" type="noConversion"/>
  </si>
  <si>
    <t>4-3</t>
    <phoneticPr fontId="1" type="noConversion"/>
  </si>
  <si>
    <t>010-8291-4848</t>
    <phoneticPr fontId="1" type="noConversion"/>
  </si>
  <si>
    <t>24. 삼성 (34노2072)</t>
    <phoneticPr fontId="1" type="noConversion"/>
  </si>
  <si>
    <t>4-36</t>
    <phoneticPr fontId="1" type="noConversion"/>
  </si>
  <si>
    <t>2월2일</t>
    <phoneticPr fontId="1" type="noConversion"/>
  </si>
  <si>
    <t>박병근</t>
    <phoneticPr fontId="1" type="noConversion"/>
  </si>
  <si>
    <t>010-9411-6634</t>
    <phoneticPr fontId="1" type="noConversion"/>
  </si>
  <si>
    <t>DB 18조4531</t>
    <phoneticPr fontId="1" type="noConversion"/>
  </si>
  <si>
    <t>230824 메리츠(36,970원)</t>
    <phoneticPr fontId="1" type="noConversion"/>
  </si>
  <si>
    <t>230906 삼성(43,531원)</t>
    <phoneticPr fontId="1" type="noConversion"/>
  </si>
  <si>
    <t>23. 현대 (34나0905)</t>
    <phoneticPr fontId="1" type="noConversion"/>
  </si>
  <si>
    <t>4-7</t>
    <phoneticPr fontId="1" type="noConversion"/>
  </si>
  <si>
    <t>이동선</t>
    <phoneticPr fontId="1" type="noConversion"/>
  </si>
  <si>
    <t>010-2225-5524</t>
    <phoneticPr fontId="1" type="noConversion"/>
  </si>
  <si>
    <t>24. 메리츠 (56가6826)</t>
    <phoneticPr fontId="1" type="noConversion"/>
  </si>
  <si>
    <t>2-66</t>
    <phoneticPr fontId="1" type="noConversion"/>
  </si>
  <si>
    <t>010-4759-6443</t>
    <phoneticPr fontId="1" type="noConversion"/>
  </si>
  <si>
    <t>24. 메리츠 (43러3350, 367주5848)</t>
    <phoneticPr fontId="1" type="noConversion"/>
  </si>
  <si>
    <t>010-4758-6443</t>
    <phoneticPr fontId="1" type="noConversion"/>
  </si>
  <si>
    <t>010-8792-6443</t>
    <phoneticPr fontId="1" type="noConversion"/>
  </si>
  <si>
    <t>이영선</t>
    <phoneticPr fontId="1" type="noConversion"/>
  </si>
  <si>
    <t>4-87</t>
    <phoneticPr fontId="1" type="noConversion"/>
  </si>
  <si>
    <t>이요안나</t>
    <phoneticPr fontId="1" type="noConversion"/>
  </si>
  <si>
    <t>010-3663-0448</t>
    <phoneticPr fontId="1" type="noConversion"/>
  </si>
  <si>
    <t>24. 삼성 (49버 3232)</t>
    <phoneticPr fontId="1" type="noConversion"/>
  </si>
  <si>
    <t>5-26</t>
  </si>
  <si>
    <t>김민선</t>
    <phoneticPr fontId="1" type="noConversion"/>
  </si>
  <si>
    <t>010-9042-9367</t>
    <phoneticPr fontId="1" type="noConversion"/>
  </si>
  <si>
    <t>박병규</t>
    <phoneticPr fontId="1" type="noConversion"/>
  </si>
  <si>
    <t>24. 삼성 (29루8356)</t>
    <phoneticPr fontId="1" type="noConversion"/>
  </si>
  <si>
    <t>박하윤</t>
    <phoneticPr fontId="1" type="noConversion"/>
  </si>
  <si>
    <t>3-83</t>
    <phoneticPr fontId="1" type="noConversion"/>
  </si>
  <si>
    <t>010-3714-9089</t>
    <phoneticPr fontId="1" type="noConversion"/>
  </si>
  <si>
    <t>24. 삼성 (32두6678, 12주1589)</t>
    <phoneticPr fontId="1" type="noConversion"/>
  </si>
  <si>
    <t>3-43</t>
    <phoneticPr fontId="1" type="noConversion"/>
  </si>
  <si>
    <t>이윤형</t>
    <phoneticPr fontId="1" type="noConversion"/>
  </si>
  <si>
    <t>010-6261-8475</t>
    <phoneticPr fontId="1" type="noConversion"/>
  </si>
  <si>
    <t>24. 삼성 (66누1669, 57고9277)</t>
    <phoneticPr fontId="1" type="noConversion"/>
  </si>
  <si>
    <t>김다예</t>
    <phoneticPr fontId="1" type="noConversion"/>
  </si>
  <si>
    <t>010-7240-3251</t>
    <phoneticPr fontId="1" type="noConversion"/>
  </si>
  <si>
    <t>이재인</t>
    <phoneticPr fontId="1" type="noConversion"/>
  </si>
  <si>
    <t>이재헌</t>
    <phoneticPr fontId="1" type="noConversion"/>
  </si>
  <si>
    <t>5-7</t>
    <phoneticPr fontId="1" type="noConversion"/>
  </si>
  <si>
    <t>김태우</t>
    <phoneticPr fontId="1" type="noConversion"/>
  </si>
  <si>
    <t>010-9505-2130</t>
    <phoneticPr fontId="1" type="noConversion"/>
  </si>
  <si>
    <t>24. The-K (48저5567)</t>
    <phoneticPr fontId="1" type="noConversion"/>
  </si>
  <si>
    <t>312-82-61852</t>
    <phoneticPr fontId="1" type="noConversion"/>
  </si>
  <si>
    <t>24. DB (98서8456)</t>
    <phoneticPr fontId="1" type="noConversion"/>
  </si>
  <si>
    <t>24. KB (경남창원카0132)</t>
    <phoneticPr fontId="1" type="noConversion"/>
  </si>
  <si>
    <t>24. KB(75도65640)</t>
    <phoneticPr fontId="1" type="noConversion"/>
  </si>
  <si>
    <t>5-22</t>
  </si>
  <si>
    <t>김미겸</t>
    <phoneticPr fontId="1" type="noConversion"/>
  </si>
  <si>
    <t>010-9461-7142</t>
    <phoneticPr fontId="1" type="noConversion"/>
  </si>
  <si>
    <t>24. DB (22러6944)</t>
    <phoneticPr fontId="1" type="noConversion"/>
  </si>
  <si>
    <t>2-72</t>
    <phoneticPr fontId="1" type="noConversion"/>
  </si>
  <si>
    <t>010-2045-4480</t>
    <phoneticPr fontId="1" type="noConversion"/>
  </si>
  <si>
    <t>24. DB (경남거제자1922)</t>
    <phoneticPr fontId="1" type="noConversion"/>
  </si>
  <si>
    <t>5-21</t>
  </si>
  <si>
    <t>정숙희</t>
    <phoneticPr fontId="1" type="noConversion"/>
  </si>
  <si>
    <t>010-3801-6785</t>
    <phoneticPr fontId="1" type="noConversion"/>
  </si>
  <si>
    <t>24. 캐롯 (10두4213)</t>
    <phoneticPr fontId="1" type="noConversion"/>
  </si>
  <si>
    <t>3-2</t>
    <phoneticPr fontId="1" type="noConversion"/>
  </si>
  <si>
    <t>010-3400-2103</t>
    <phoneticPr fontId="1" type="noConversion"/>
  </si>
  <si>
    <t>24. 삼성(40가8519)</t>
    <phoneticPr fontId="1" type="noConversion"/>
  </si>
  <si>
    <t>010-8269-0614</t>
    <phoneticPr fontId="1" type="noConversion"/>
  </si>
  <si>
    <t>4-30</t>
    <phoneticPr fontId="1" type="noConversion"/>
  </si>
  <si>
    <t>신소민</t>
    <phoneticPr fontId="1" type="noConversion"/>
  </si>
  <si>
    <t>010-3081-2267</t>
    <phoneticPr fontId="1" type="noConversion"/>
  </si>
  <si>
    <t>24. The-K (376러3529)</t>
    <phoneticPr fontId="1" type="noConversion"/>
  </si>
  <si>
    <t>권수용</t>
    <phoneticPr fontId="1" type="noConversion"/>
  </si>
  <si>
    <t>010-3097-2267</t>
    <phoneticPr fontId="1" type="noConversion"/>
  </si>
  <si>
    <t>1-45</t>
    <phoneticPr fontId="1" type="noConversion"/>
  </si>
  <si>
    <t>010-3456-6305</t>
    <phoneticPr fontId="1" type="noConversion"/>
  </si>
  <si>
    <t>23. 삼성 (43고5698)</t>
    <phoneticPr fontId="1" type="noConversion"/>
  </si>
  <si>
    <t>4-76</t>
    <phoneticPr fontId="1" type="noConversion"/>
  </si>
  <si>
    <t>맹대영</t>
    <phoneticPr fontId="1" type="noConversion"/>
  </si>
  <si>
    <t>유연서</t>
    <phoneticPr fontId="1" type="noConversion"/>
  </si>
  <si>
    <t>맹승주</t>
    <phoneticPr fontId="1" type="noConversion"/>
  </si>
  <si>
    <t>맹상훈</t>
    <phoneticPr fontId="1" type="noConversion"/>
  </si>
  <si>
    <t>맹지환</t>
    <phoneticPr fontId="1" type="noConversion"/>
  </si>
  <si>
    <t>1-66</t>
    <phoneticPr fontId="1" type="noConversion"/>
  </si>
  <si>
    <t>010-3412-3222</t>
    <phoneticPr fontId="1" type="noConversion"/>
  </si>
  <si>
    <t>010-2774-6059</t>
    <phoneticPr fontId="1" type="noConversion"/>
  </si>
  <si>
    <t>23. 삼성 (54다8090)</t>
    <phoneticPr fontId="1" type="noConversion"/>
  </si>
  <si>
    <t>1-68</t>
    <phoneticPr fontId="1" type="noConversion"/>
  </si>
  <si>
    <t>010-3786-4208</t>
    <phoneticPr fontId="1" type="noConversion"/>
  </si>
  <si>
    <t>24. 삼성 (25가1296)</t>
    <phoneticPr fontId="1" type="noConversion"/>
  </si>
  <si>
    <t>4-83</t>
    <phoneticPr fontId="1" type="noConversion"/>
  </si>
  <si>
    <t>정성은</t>
    <phoneticPr fontId="1" type="noConversion"/>
  </si>
  <si>
    <t>010-6439-1234</t>
    <phoneticPr fontId="1" type="noConversion"/>
  </si>
  <si>
    <t>24. 현대 (817버3856, 802부1207)</t>
    <phoneticPr fontId="1" type="noConversion"/>
  </si>
  <si>
    <t>정고은</t>
    <phoneticPr fontId="1" type="noConversion"/>
  </si>
  <si>
    <t>010-9144-5558</t>
    <phoneticPr fontId="1" type="noConversion"/>
  </si>
  <si>
    <t>이하율</t>
    <phoneticPr fontId="1" type="noConversion"/>
  </si>
  <si>
    <t>이의숙</t>
    <phoneticPr fontId="1" type="noConversion"/>
  </si>
  <si>
    <t>010-5498-6965</t>
    <phoneticPr fontId="1" type="noConversion"/>
  </si>
  <si>
    <t>이성운</t>
    <phoneticPr fontId="1" type="noConversion"/>
  </si>
  <si>
    <t>010-6475-7446</t>
    <phoneticPr fontId="1" type="noConversion"/>
  </si>
  <si>
    <t>22. 삼성 (25수5867)</t>
    <phoneticPr fontId="1" type="noConversion"/>
  </si>
  <si>
    <t>정현관</t>
    <phoneticPr fontId="1" type="noConversion"/>
  </si>
  <si>
    <t>010-6421-7282</t>
    <phoneticPr fontId="1" type="noConversion"/>
  </si>
  <si>
    <t>5-17</t>
  </si>
  <si>
    <t>하광용</t>
    <phoneticPr fontId="1" type="noConversion"/>
  </si>
  <si>
    <t>24. 삼성 (202다2691, 47더4246)</t>
    <phoneticPr fontId="1" type="noConversion"/>
  </si>
  <si>
    <t xml:space="preserve">황민정 </t>
    <phoneticPr fontId="1" type="noConversion"/>
  </si>
  <si>
    <t>010-9196-4962</t>
    <phoneticPr fontId="1" type="noConversion"/>
  </si>
  <si>
    <t>두정역길48(두정역푸르지오@)112-1001</t>
  </si>
  <si>
    <t>하다희</t>
    <phoneticPr fontId="1" type="noConversion"/>
  </si>
  <si>
    <t>하은세</t>
    <phoneticPr fontId="1" type="noConversion"/>
  </si>
  <si>
    <t>하예슬</t>
    <phoneticPr fontId="1" type="noConversion"/>
  </si>
  <si>
    <t>24. 한화 (90무0164)</t>
    <phoneticPr fontId="1" type="noConversion"/>
  </si>
  <si>
    <t>4-98</t>
    <phoneticPr fontId="1" type="noConversion"/>
  </si>
  <si>
    <t>김기완</t>
    <phoneticPr fontId="1" type="noConversion"/>
  </si>
  <si>
    <t>010-3539-8402</t>
    <phoneticPr fontId="1" type="noConversion"/>
  </si>
  <si>
    <t>24. DB (56조3204)</t>
    <phoneticPr fontId="1" type="noConversion"/>
  </si>
  <si>
    <t>5-67</t>
    <phoneticPr fontId="1" type="noConversion"/>
  </si>
  <si>
    <t>정복임</t>
    <phoneticPr fontId="1" type="noConversion"/>
  </si>
  <si>
    <t>010-5813-9193</t>
    <phoneticPr fontId="1" type="noConversion"/>
  </si>
  <si>
    <t>충남 홍성군 금마면 월암리300</t>
    <phoneticPr fontId="1" type="noConversion"/>
  </si>
  <si>
    <t>문명자</t>
    <phoneticPr fontId="1" type="noConversion"/>
  </si>
  <si>
    <t>010-3736-3874</t>
    <phoneticPr fontId="1" type="noConversion"/>
  </si>
  <si>
    <t>삼성화재다이렉트2대/(2월21일) DB손해 다이렉트1대</t>
    <phoneticPr fontId="1" type="noConversion"/>
  </si>
  <si>
    <t>아산 배방읍 북수로137 중앙하이츠306-1304</t>
    <phoneticPr fontId="1" type="noConversion"/>
  </si>
  <si>
    <t>최길환</t>
    <phoneticPr fontId="1" type="noConversion"/>
  </si>
  <si>
    <t>010-9193-6942</t>
    <phoneticPr fontId="1" type="noConversion"/>
  </si>
  <si>
    <t>1-92</t>
    <phoneticPr fontId="1" type="noConversion"/>
  </si>
  <si>
    <t>010-6307-0528</t>
    <phoneticPr fontId="1" type="noConversion"/>
  </si>
  <si>
    <t>24. DB (08고5922)</t>
    <phoneticPr fontId="1" type="noConversion"/>
  </si>
  <si>
    <t>010-6208-5258</t>
    <phoneticPr fontId="1" type="noConversion"/>
  </si>
  <si>
    <t>1-125</t>
    <phoneticPr fontId="1" type="noConversion"/>
  </si>
  <si>
    <t>010-5421-8782</t>
    <phoneticPr fontId="1" type="noConversion"/>
  </si>
  <si>
    <t>24. 삼성 (163로2086)</t>
    <phoneticPr fontId="1" type="noConversion"/>
  </si>
  <si>
    <t>24. 현대 (11모8724)</t>
    <phoneticPr fontId="1" type="noConversion"/>
  </si>
  <si>
    <t>24. 현대 (23주2708, 148라6387, 45저4008)_다이렉트
24. 삼성 (319나1253, 96소0880)</t>
    <phoneticPr fontId="1" type="noConversion"/>
  </si>
  <si>
    <t>010-5061-7754</t>
    <phoneticPr fontId="1" type="noConversion"/>
  </si>
  <si>
    <t>롯데캐슬112-201</t>
    <phoneticPr fontId="1" type="noConversion"/>
  </si>
  <si>
    <t>24. 삼성 (184고8198)</t>
    <phoneticPr fontId="1" type="noConversion"/>
  </si>
  <si>
    <t>010-4107-4554</t>
    <phoneticPr fontId="1" type="noConversion"/>
  </si>
  <si>
    <t>3-98</t>
    <phoneticPr fontId="1" type="noConversion"/>
  </si>
  <si>
    <t>010-4410-3369</t>
    <phoneticPr fontId="1" type="noConversion"/>
  </si>
  <si>
    <t>24. 삼성 (세종86아1511)</t>
    <phoneticPr fontId="1" type="noConversion"/>
  </si>
  <si>
    <t>4-65</t>
    <phoneticPr fontId="1" type="noConversion"/>
  </si>
  <si>
    <t>김진우</t>
    <phoneticPr fontId="1" type="noConversion"/>
  </si>
  <si>
    <t>010-4243-3316</t>
    <phoneticPr fontId="1" type="noConversion"/>
  </si>
  <si>
    <t>24. 메리츠 (47주7018, 68무0780)</t>
    <phoneticPr fontId="1" type="noConversion"/>
  </si>
  <si>
    <t>허순영</t>
    <phoneticPr fontId="1" type="noConversion"/>
  </si>
  <si>
    <t>010-9083-3317</t>
    <phoneticPr fontId="1" type="noConversion"/>
  </si>
  <si>
    <t>3-60</t>
    <phoneticPr fontId="1" type="noConversion"/>
  </si>
  <si>
    <t>정윤혜</t>
    <phoneticPr fontId="1" type="noConversion"/>
  </si>
  <si>
    <t>010-4169-6105</t>
    <phoneticPr fontId="1" type="noConversion"/>
  </si>
  <si>
    <t>24. DB (14노1188)</t>
    <phoneticPr fontId="1" type="noConversion"/>
  </si>
  <si>
    <t>02월 29일</t>
    <phoneticPr fontId="1" type="noConversion"/>
  </si>
  <si>
    <t>010-4333-8708</t>
    <phoneticPr fontId="1" type="noConversion"/>
  </si>
  <si>
    <t>24. 현대 (22너2496)</t>
    <phoneticPr fontId="1" type="noConversion"/>
  </si>
  <si>
    <t>3-79</t>
    <phoneticPr fontId="1" type="noConversion"/>
  </si>
  <si>
    <t>010-8488-7634</t>
    <phoneticPr fontId="1" type="noConversion"/>
  </si>
  <si>
    <t>24. 현대 (32더1748)</t>
    <phoneticPr fontId="1" type="noConversion"/>
  </si>
  <si>
    <t>010-7551-6068</t>
    <phoneticPr fontId="1" type="noConversion"/>
  </si>
  <si>
    <t>3-24</t>
    <phoneticPr fontId="1" type="noConversion"/>
  </si>
  <si>
    <t>010-7534-6750</t>
    <phoneticPr fontId="1" type="noConversion"/>
  </si>
  <si>
    <t>24. 삼성 (59거8070, 48우4679)</t>
    <phoneticPr fontId="1" type="noConversion"/>
  </si>
  <si>
    <t>010-2400-6752</t>
    <phoneticPr fontId="1" type="noConversion"/>
  </si>
  <si>
    <t>1-12</t>
    <phoneticPr fontId="1" type="noConversion"/>
  </si>
  <si>
    <t>010-8876-5426</t>
    <phoneticPr fontId="1" type="noConversion"/>
  </si>
  <si>
    <t>24. 삼성 (49무5504)</t>
    <phoneticPr fontId="1" type="noConversion"/>
  </si>
  <si>
    <t>4-86</t>
    <phoneticPr fontId="1" type="noConversion"/>
  </si>
  <si>
    <t>윤지선</t>
    <phoneticPr fontId="1" type="noConversion"/>
  </si>
  <si>
    <t>010-8805-9709</t>
    <phoneticPr fontId="1" type="noConversion"/>
  </si>
  <si>
    <t>24. 현대 (41보8723)</t>
    <phoneticPr fontId="1" type="noConversion"/>
  </si>
  <si>
    <t>4-60</t>
    <phoneticPr fontId="1" type="noConversion"/>
  </si>
  <si>
    <t>박민종</t>
    <phoneticPr fontId="1" type="noConversion"/>
  </si>
  <si>
    <t>010-9400-4925</t>
    <phoneticPr fontId="1" type="noConversion"/>
  </si>
  <si>
    <t>24. 삼성 (132조6917)</t>
    <phoneticPr fontId="1" type="noConversion"/>
  </si>
  <si>
    <t>송재경</t>
    <phoneticPr fontId="1" type="noConversion"/>
  </si>
  <si>
    <t>박세은</t>
    <phoneticPr fontId="1" type="noConversion"/>
  </si>
  <si>
    <t>박세준</t>
    <phoneticPr fontId="1" type="noConversion"/>
  </si>
  <si>
    <t>4-19</t>
    <phoneticPr fontId="1" type="noConversion"/>
  </si>
  <si>
    <t>24. 삼성 (56라6014, 14미8139)</t>
    <phoneticPr fontId="1" type="noConversion"/>
  </si>
  <si>
    <t>3-81</t>
    <phoneticPr fontId="1" type="noConversion"/>
  </si>
  <si>
    <t>010-2327-3176</t>
    <phoneticPr fontId="1" type="noConversion"/>
  </si>
  <si>
    <t>24. 현대 (65가3097)</t>
    <phoneticPr fontId="1" type="noConversion"/>
  </si>
  <si>
    <t>충남 아산시 탕정면 갈산샛들로57</t>
  </si>
  <si>
    <t>010-5471-0281</t>
    <phoneticPr fontId="1" type="noConversion"/>
  </si>
  <si>
    <t>탕정호반써밋1차 103동1404호</t>
  </si>
  <si>
    <t>4-95</t>
    <phoneticPr fontId="1" type="noConversion"/>
  </si>
  <si>
    <t>김교남</t>
    <phoneticPr fontId="1" type="noConversion"/>
  </si>
  <si>
    <t>010-6419-8693</t>
    <phoneticPr fontId="1" type="noConversion"/>
  </si>
  <si>
    <t>24. 삼성 (26소4770, 96소6733, 26다2728)</t>
    <phoneticPr fontId="1" type="noConversion"/>
  </si>
  <si>
    <t>3-78</t>
    <phoneticPr fontId="1" type="noConversion"/>
  </si>
  <si>
    <t>010-5004-7008</t>
    <phoneticPr fontId="1" type="noConversion"/>
  </si>
  <si>
    <t xml:space="preserve">24. 현대 (31로6588) </t>
    <phoneticPr fontId="1" type="noConversion"/>
  </si>
  <si>
    <t>4-27</t>
    <phoneticPr fontId="1" type="noConversion"/>
  </si>
  <si>
    <t>010-3225-0719</t>
    <phoneticPr fontId="1" type="noConversion"/>
  </si>
  <si>
    <t>24. DB (65머5381)</t>
    <phoneticPr fontId="1" type="noConversion"/>
  </si>
  <si>
    <t>010-7559-0719</t>
    <phoneticPr fontId="1" type="noConversion"/>
  </si>
  <si>
    <t>010-7559-9034</t>
    <phoneticPr fontId="1" type="noConversion"/>
  </si>
  <si>
    <t>임하람</t>
    <phoneticPr fontId="1" type="noConversion"/>
  </si>
  <si>
    <t>임소담</t>
    <phoneticPr fontId="1" type="noConversion"/>
  </si>
  <si>
    <t>3-72</t>
    <phoneticPr fontId="1" type="noConversion"/>
  </si>
  <si>
    <t>010-3557-2703</t>
    <phoneticPr fontId="1" type="noConversion"/>
  </si>
  <si>
    <t>23. 한화 (26부 2913)</t>
    <phoneticPr fontId="1" type="noConversion"/>
  </si>
  <si>
    <t>아산시 배방읍 롯데캐슬@105동 305호</t>
    <phoneticPr fontId="1" type="noConversion"/>
  </si>
  <si>
    <t>010-2350-2704</t>
    <phoneticPr fontId="1" type="noConversion"/>
  </si>
  <si>
    <t>홍은기</t>
    <phoneticPr fontId="1" type="noConversion"/>
  </si>
  <si>
    <t>홍영주</t>
    <phoneticPr fontId="1" type="noConversion"/>
  </si>
  <si>
    <t>010-9131-2272</t>
    <phoneticPr fontId="1" type="noConversion"/>
  </si>
  <si>
    <t>세종시 전의면 서정리 111-1</t>
    <phoneticPr fontId="1" type="noConversion"/>
  </si>
  <si>
    <t>5-71</t>
    <phoneticPr fontId="1" type="noConversion"/>
  </si>
  <si>
    <t>3월18일</t>
    <phoneticPr fontId="1" type="noConversion"/>
  </si>
  <si>
    <t>김동오</t>
    <phoneticPr fontId="1" type="noConversion"/>
  </si>
  <si>
    <t>010-9651-9912</t>
    <phoneticPr fontId="1" type="noConversion"/>
  </si>
  <si>
    <t>삼성애니카다이렉트</t>
    <phoneticPr fontId="1" type="noConversion"/>
  </si>
  <si>
    <t>배방자이1차 129-801</t>
    <phoneticPr fontId="1" type="noConversion"/>
  </si>
  <si>
    <t>이경수</t>
    <phoneticPr fontId="1" type="noConversion"/>
  </si>
  <si>
    <t>010-9150-5681</t>
    <phoneticPr fontId="1" type="noConversion"/>
  </si>
  <si>
    <t>대전시 동구 산내로1257번길 40, 111동 901호</t>
  </si>
  <si>
    <t>김진희</t>
    <phoneticPr fontId="1" type="noConversion"/>
  </si>
  <si>
    <t>010-2784-4302</t>
    <phoneticPr fontId="1" type="noConversion"/>
  </si>
  <si>
    <t>db다이렉트</t>
    <phoneticPr fontId="1" type="noConversion"/>
  </si>
  <si>
    <t>대전시 동구 충무로 255, 104동 1904호</t>
  </si>
  <si>
    <t>010-9333-2247</t>
    <phoneticPr fontId="1" type="noConversion"/>
  </si>
  <si>
    <t>24. KB (54보0604)</t>
    <phoneticPr fontId="1" type="noConversion"/>
  </si>
  <si>
    <t>동양</t>
    <phoneticPr fontId="1" type="noConversion"/>
  </si>
  <si>
    <t>3-8</t>
    <phoneticPr fontId="1" type="noConversion"/>
  </si>
  <si>
    <t>010-5333-4791</t>
    <phoneticPr fontId="1" type="noConversion"/>
  </si>
  <si>
    <t>24. 삼성 (57주0657)</t>
    <phoneticPr fontId="1" type="noConversion"/>
  </si>
  <si>
    <t>24. 한화(58서 5616)</t>
    <phoneticPr fontId="1" type="noConversion"/>
  </si>
  <si>
    <t>3-74</t>
    <phoneticPr fontId="1" type="noConversion"/>
  </si>
  <si>
    <t>24. DB (경기수원리0204)</t>
    <phoneticPr fontId="1" type="noConversion"/>
  </si>
  <si>
    <t>010-3379-6048</t>
    <phoneticPr fontId="1" type="noConversion"/>
  </si>
  <si>
    <t>24. AXA (59다3797)</t>
    <phoneticPr fontId="1" type="noConversion"/>
  </si>
  <si>
    <t>010-7741-4208</t>
    <phoneticPr fontId="1" type="noConversion"/>
  </si>
  <si>
    <t>4-1</t>
    <phoneticPr fontId="1" type="noConversion"/>
  </si>
  <si>
    <t>김호경</t>
    <phoneticPr fontId="1" type="noConversion"/>
  </si>
  <si>
    <t>010-8519-7190</t>
    <phoneticPr fontId="1" type="noConversion"/>
  </si>
  <si>
    <t>23. 삼성 (68더2802)</t>
    <phoneticPr fontId="1" type="noConversion"/>
  </si>
  <si>
    <t>1-23</t>
    <phoneticPr fontId="1" type="noConversion"/>
  </si>
  <si>
    <t>010-8810-3235</t>
    <phoneticPr fontId="1" type="noConversion"/>
  </si>
  <si>
    <t>24. 삼성 (20버8829, 66너0517)</t>
    <phoneticPr fontId="1" type="noConversion"/>
  </si>
  <si>
    <t>010-7322-6041</t>
    <phoneticPr fontId="1" type="noConversion"/>
  </si>
  <si>
    <t>3-32</t>
    <phoneticPr fontId="1" type="noConversion"/>
  </si>
  <si>
    <t>010-4131-7662</t>
    <phoneticPr fontId="1" type="noConversion"/>
  </si>
  <si>
    <t>24. DB (64조0200, 10버3579)</t>
    <phoneticPr fontId="1" type="noConversion"/>
  </si>
  <si>
    <t>010-7766-9535</t>
    <phoneticPr fontId="1" type="noConversion"/>
  </si>
  <si>
    <t>1-53</t>
    <phoneticPr fontId="1" type="noConversion"/>
  </si>
  <si>
    <t>010-3462-7725</t>
    <phoneticPr fontId="1" type="noConversion"/>
  </si>
  <si>
    <t>24. DB (23모7543)</t>
    <phoneticPr fontId="1" type="noConversion"/>
  </si>
  <si>
    <t>김순분</t>
    <phoneticPr fontId="1" type="noConversion"/>
  </si>
  <si>
    <t>010-9181-8725</t>
    <phoneticPr fontId="1" type="noConversion"/>
  </si>
  <si>
    <t>김수자</t>
    <phoneticPr fontId="1" type="noConversion"/>
  </si>
  <si>
    <t>010-9217-8909</t>
  </si>
  <si>
    <t>충남예산군신암면계촌1길13번지</t>
  </si>
  <si>
    <t>4-55/4-79</t>
    <phoneticPr fontId="1" type="noConversion"/>
  </si>
  <si>
    <t>김경태</t>
    <phoneticPr fontId="1" type="noConversion"/>
  </si>
  <si>
    <t>010-8812-0163</t>
    <phoneticPr fontId="1" type="noConversion"/>
  </si>
  <si>
    <t>24. KB (40오4694)</t>
    <phoneticPr fontId="1" type="noConversion"/>
  </si>
  <si>
    <t>010-3456-1481</t>
    <phoneticPr fontId="1" type="noConversion"/>
  </si>
  <si>
    <t>송민석</t>
    <phoneticPr fontId="1" type="noConversion"/>
  </si>
  <si>
    <t>010-2502-6781</t>
    <phoneticPr fontId="1" type="noConversion"/>
  </si>
  <si>
    <t>황준영</t>
    <phoneticPr fontId="1" type="noConversion"/>
  </si>
  <si>
    <t>010-2627-5326</t>
    <phoneticPr fontId="1" type="noConversion"/>
  </si>
  <si>
    <t>조아라</t>
    <phoneticPr fontId="1" type="noConversion"/>
  </si>
  <si>
    <t>24. DB (01소2256)</t>
    <phoneticPr fontId="1" type="noConversion"/>
  </si>
  <si>
    <t>1-142</t>
    <phoneticPr fontId="1" type="noConversion"/>
  </si>
  <si>
    <t>010-8923-7153</t>
    <phoneticPr fontId="1" type="noConversion"/>
  </si>
  <si>
    <t>24. KB (175소5163, 265오2900)</t>
    <phoneticPr fontId="1" type="noConversion"/>
  </si>
  <si>
    <t>5-79</t>
    <phoneticPr fontId="1" type="noConversion"/>
  </si>
  <si>
    <t>장삼순</t>
    <phoneticPr fontId="1" type="noConversion"/>
  </si>
  <si>
    <t>010-6614-7053</t>
    <phoneticPr fontId="1" type="noConversion"/>
  </si>
  <si>
    <t>장사남</t>
    <phoneticPr fontId="1" type="noConversion"/>
  </si>
  <si>
    <t>010-3608-3189</t>
    <phoneticPr fontId="1" type="noConversion"/>
  </si>
  <si>
    <t>3월15일</t>
    <phoneticPr fontId="1" type="noConversion"/>
  </si>
  <si>
    <t>유상호</t>
    <phoneticPr fontId="1" type="noConversion"/>
  </si>
  <si>
    <t>010-3608-3338</t>
    <phoneticPr fontId="1" type="noConversion"/>
  </si>
  <si>
    <t>유승관</t>
    <phoneticPr fontId="1" type="noConversion"/>
  </si>
  <si>
    <t>4-90</t>
    <phoneticPr fontId="1" type="noConversion"/>
  </si>
  <si>
    <t>김동희</t>
    <phoneticPr fontId="1" type="noConversion"/>
  </si>
  <si>
    <t>010-9005-1222</t>
    <phoneticPr fontId="1" type="noConversion"/>
  </si>
  <si>
    <t>24. 현대 (22너4355, 25무5417)</t>
    <phoneticPr fontId="1" type="noConversion"/>
  </si>
  <si>
    <t>이현</t>
    <phoneticPr fontId="1" type="noConversion"/>
  </si>
  <si>
    <t>010-5112-0745</t>
    <phoneticPr fontId="1" type="noConversion"/>
  </si>
  <si>
    <t>이재용</t>
    <phoneticPr fontId="1" type="noConversion"/>
  </si>
  <si>
    <t>이서윤</t>
    <phoneticPr fontId="1" type="noConversion"/>
  </si>
  <si>
    <t>4-64</t>
    <phoneticPr fontId="1" type="noConversion"/>
  </si>
  <si>
    <t>010-2638-0185</t>
    <phoneticPr fontId="1" type="noConversion"/>
  </si>
  <si>
    <t>24. 삼성 (28머0362)</t>
    <phoneticPr fontId="1" type="noConversion"/>
  </si>
  <si>
    <t>3월17일</t>
    <phoneticPr fontId="1" type="noConversion"/>
  </si>
  <si>
    <t>DB 138루8377</t>
    <phoneticPr fontId="1" type="noConversion"/>
  </si>
  <si>
    <t>010-3389-9889</t>
    <phoneticPr fontId="1" type="noConversion"/>
  </si>
  <si>
    <t>23. 삼성 (07두1982)</t>
    <phoneticPr fontId="1" type="noConversion"/>
  </si>
  <si>
    <t>3-5</t>
    <phoneticPr fontId="1" type="noConversion"/>
  </si>
  <si>
    <t>황정화</t>
    <phoneticPr fontId="1" type="noConversion"/>
  </si>
  <si>
    <t>010-9344-9797</t>
    <phoneticPr fontId="1" type="noConversion"/>
  </si>
  <si>
    <t>24. 삼성 (63모0480)</t>
    <phoneticPr fontId="1" type="noConversion"/>
  </si>
  <si>
    <t>1-10</t>
    <phoneticPr fontId="1" type="noConversion"/>
  </si>
  <si>
    <t>010-7922-3222</t>
    <phoneticPr fontId="1" type="noConversion"/>
  </si>
  <si>
    <t>24. 삼성 (62조5251)</t>
    <phoneticPr fontId="1" type="noConversion"/>
  </si>
  <si>
    <t>010-5604-7133</t>
    <phoneticPr fontId="1" type="noConversion"/>
  </si>
  <si>
    <t>010-3379-5987</t>
    <phoneticPr fontId="1" type="noConversion"/>
  </si>
  <si>
    <t>5-73</t>
    <phoneticPr fontId="1" type="noConversion"/>
  </si>
  <si>
    <t>3월19일</t>
    <phoneticPr fontId="1" type="noConversion"/>
  </si>
  <si>
    <t>태예림</t>
    <phoneticPr fontId="1" type="noConversion"/>
  </si>
  <si>
    <t>010-9424-5581</t>
    <phoneticPr fontId="1" type="noConversion"/>
  </si>
  <si>
    <t>23. DB (34서5526)</t>
    <phoneticPr fontId="1" type="noConversion"/>
  </si>
  <si>
    <t>23. 삼성 (175소7322)</t>
    <phoneticPr fontId="1" type="noConversion"/>
  </si>
  <si>
    <t>1-157</t>
    <phoneticPr fontId="1" type="noConversion"/>
  </si>
  <si>
    <t>010-4540-7611</t>
    <phoneticPr fontId="1" type="noConversion"/>
  </si>
  <si>
    <t>24. 현대 (214저2920)</t>
    <phoneticPr fontId="1" type="noConversion"/>
  </si>
  <si>
    <t>5-32</t>
  </si>
  <si>
    <t>김형준</t>
    <phoneticPr fontId="1" type="noConversion"/>
  </si>
  <si>
    <t>010-2597-2819</t>
    <phoneticPr fontId="1" type="noConversion"/>
  </si>
  <si>
    <t>24. 캐롯 (10보0670)</t>
    <phoneticPr fontId="1" type="noConversion"/>
  </si>
  <si>
    <t>230808_메리츠(23,800원)</t>
    <phoneticPr fontId="1" type="noConversion"/>
  </si>
  <si>
    <t>박서희</t>
    <phoneticPr fontId="1" type="noConversion"/>
  </si>
  <si>
    <t>010-3336-1535</t>
    <phoneticPr fontId="1" type="noConversion"/>
  </si>
  <si>
    <t>1-57</t>
    <phoneticPr fontId="1" type="noConversion"/>
  </si>
  <si>
    <t>010-3445-7975</t>
    <phoneticPr fontId="1" type="noConversion"/>
  </si>
  <si>
    <t>24. 한화 (21라3972)</t>
    <phoneticPr fontId="1" type="noConversion"/>
  </si>
  <si>
    <t>3-12</t>
    <phoneticPr fontId="1" type="noConversion"/>
  </si>
  <si>
    <t>010-6414-1402</t>
    <phoneticPr fontId="1" type="noConversion"/>
  </si>
  <si>
    <t>24. 삼성 (314머4844, 25머2157)</t>
    <phoneticPr fontId="1" type="noConversion"/>
  </si>
  <si>
    <t>010-3464-3715</t>
    <phoneticPr fontId="1" type="noConversion"/>
  </si>
  <si>
    <t>5-49</t>
    <phoneticPr fontId="1" type="noConversion"/>
  </si>
  <si>
    <t>3월26일</t>
    <phoneticPr fontId="1" type="noConversion"/>
  </si>
  <si>
    <t>전영욱</t>
    <phoneticPr fontId="1" type="noConversion"/>
  </si>
  <si>
    <t>010-8228-5082</t>
    <phoneticPr fontId="1" type="noConversion"/>
  </si>
  <si>
    <t>kb다이렉트</t>
    <phoneticPr fontId="1" type="noConversion"/>
  </si>
  <si>
    <t>서울 동대문구 한천로20길 8-7 302호</t>
    <phoneticPr fontId="1" type="noConversion"/>
  </si>
  <si>
    <t>박상녀</t>
    <phoneticPr fontId="1" type="noConversion"/>
  </si>
  <si>
    <t>010-2774-4348</t>
    <phoneticPr fontId="1" type="noConversion"/>
  </si>
  <si>
    <t>아산 서부북로973 108동 606호(배미동서진)</t>
    <phoneticPr fontId="1" type="noConversion"/>
  </si>
  <si>
    <t>5-31</t>
  </si>
  <si>
    <t>김영숙</t>
    <phoneticPr fontId="1" type="noConversion"/>
  </si>
  <si>
    <t>010-8314-7576</t>
    <phoneticPr fontId="1" type="noConversion"/>
  </si>
  <si>
    <t>24. 한화 (04나7169)</t>
    <phoneticPr fontId="1" type="noConversion"/>
  </si>
  <si>
    <t>230818_메리츠(16,930원)</t>
    <phoneticPr fontId="1" type="noConversion"/>
  </si>
  <si>
    <t>230824_삼성(50,162원)</t>
    <phoneticPr fontId="1" type="noConversion"/>
  </si>
  <si>
    <t>김용균</t>
    <phoneticPr fontId="1" type="noConversion"/>
  </si>
  <si>
    <t>010-6402-4717</t>
    <phoneticPr fontId="1" type="noConversion"/>
  </si>
  <si>
    <t>230816_메리츠(39,640원)</t>
    <phoneticPr fontId="1" type="noConversion"/>
  </si>
  <si>
    <t>230823_삼성(47,220원)</t>
    <phoneticPr fontId="1" type="noConversion"/>
  </si>
  <si>
    <t>김현중</t>
    <phoneticPr fontId="1" type="noConversion"/>
  </si>
  <si>
    <t>010-2448-7576</t>
    <phoneticPr fontId="1" type="noConversion"/>
  </si>
  <si>
    <t>230811_메리츠(22,120원)</t>
    <phoneticPr fontId="1" type="noConversion"/>
  </si>
  <si>
    <t>김효중</t>
    <phoneticPr fontId="1" type="noConversion"/>
  </si>
  <si>
    <t>010-8394-7576</t>
    <phoneticPr fontId="1" type="noConversion"/>
  </si>
  <si>
    <t>230810_메리츠(20,260원)</t>
    <phoneticPr fontId="1" type="noConversion"/>
  </si>
  <si>
    <t>권영순</t>
    <phoneticPr fontId="1" type="noConversion"/>
  </si>
  <si>
    <t>230809_삼성(31,547원)</t>
    <phoneticPr fontId="1" type="noConversion"/>
  </si>
  <si>
    <t>김정인</t>
    <phoneticPr fontId="1" type="noConversion"/>
  </si>
  <si>
    <t>010-3024-5927</t>
    <phoneticPr fontId="1" type="noConversion"/>
  </si>
  <si>
    <t>1-1 / 2-9</t>
    <phoneticPr fontId="1" type="noConversion"/>
  </si>
  <si>
    <t>악사(2017)</t>
  </si>
  <si>
    <t>23. KB (14라0248)</t>
    <phoneticPr fontId="1" type="noConversion"/>
  </si>
  <si>
    <t>24. The-K (77소5612)</t>
    <phoneticPr fontId="1" type="noConversion"/>
  </si>
  <si>
    <t>배방읍 연화로36, 811동 504호</t>
    <phoneticPr fontId="1" type="noConversion"/>
  </si>
  <si>
    <t>오숙령</t>
    <phoneticPr fontId="1" type="noConversion"/>
  </si>
  <si>
    <t>010-4998-2120</t>
  </si>
  <si>
    <t>김대현</t>
    <phoneticPr fontId="1" type="noConversion"/>
  </si>
  <si>
    <t>김동연</t>
    <phoneticPr fontId="1" type="noConversion"/>
  </si>
  <si>
    <t>김병준</t>
    <phoneticPr fontId="1" type="noConversion"/>
  </si>
  <si>
    <t>3월30일</t>
    <phoneticPr fontId="1" type="noConversion"/>
  </si>
  <si>
    <t>최현민</t>
    <phoneticPr fontId="1" type="noConversion"/>
  </si>
  <si>
    <t>010-5435-3874</t>
    <phoneticPr fontId="1" type="noConversion"/>
  </si>
  <si>
    <t>최수연</t>
    <phoneticPr fontId="1" type="noConversion"/>
  </si>
  <si>
    <t>010-6658-3874</t>
  </si>
  <si>
    <t>4-44</t>
    <phoneticPr fontId="1" type="noConversion"/>
  </si>
  <si>
    <t>24. DB (59소7881, 23누5743, 846루7907)</t>
    <phoneticPr fontId="1" type="noConversion"/>
  </si>
  <si>
    <t>3-17</t>
    <phoneticPr fontId="1" type="noConversion"/>
  </si>
  <si>
    <t>010-2860-9927</t>
    <phoneticPr fontId="1" type="noConversion"/>
  </si>
  <si>
    <t>24. 현대 (153주6003)</t>
    <phoneticPr fontId="1" type="noConversion"/>
  </si>
  <si>
    <t>010-3035-9927</t>
    <phoneticPr fontId="1" type="noConversion"/>
  </si>
  <si>
    <t>010-7999-2471</t>
    <phoneticPr fontId="1" type="noConversion"/>
  </si>
  <si>
    <t>24. 삼성 (276노1818)</t>
    <phoneticPr fontId="1" type="noConversion"/>
  </si>
  <si>
    <t>3-62</t>
    <phoneticPr fontId="1" type="noConversion"/>
  </si>
  <si>
    <t>010-9484-8647</t>
    <phoneticPr fontId="1" type="noConversion"/>
  </si>
  <si>
    <t>24. 현대 (02어1354, 26노7361)</t>
    <phoneticPr fontId="1" type="noConversion"/>
  </si>
  <si>
    <t>3-20</t>
    <phoneticPr fontId="1" type="noConversion"/>
  </si>
  <si>
    <t>010-9408-9258</t>
    <phoneticPr fontId="1" type="noConversion"/>
  </si>
  <si>
    <t>24. 현대 (100도8779, 08마4121)</t>
    <phoneticPr fontId="1" type="noConversion"/>
  </si>
  <si>
    <t>010-6600-9761</t>
    <phoneticPr fontId="1" type="noConversion"/>
  </si>
  <si>
    <t>010-8786-2471</t>
    <phoneticPr fontId="1" type="noConversion"/>
  </si>
  <si>
    <t>5-1</t>
    <phoneticPr fontId="1" type="noConversion"/>
  </si>
  <si>
    <t>백대원</t>
    <phoneticPr fontId="1" type="noConversion"/>
  </si>
  <si>
    <t>010-2025-4478</t>
    <phoneticPr fontId="1" type="noConversion"/>
  </si>
  <si>
    <t>24. 현대 (50소5643)</t>
    <phoneticPr fontId="1" type="noConversion"/>
  </si>
  <si>
    <t>김경숙</t>
    <phoneticPr fontId="1" type="noConversion"/>
  </si>
  <si>
    <t>010-3131-2416</t>
    <phoneticPr fontId="1" type="noConversion"/>
  </si>
  <si>
    <t>㈜카혼스포츠</t>
    <phoneticPr fontId="1" type="noConversion"/>
  </si>
  <si>
    <t>250-86-02892</t>
    <phoneticPr fontId="1" type="noConversion"/>
  </si>
  <si>
    <t>253구5667</t>
    <phoneticPr fontId="1" type="noConversion"/>
  </si>
  <si>
    <t>24. 삼성 (230고6384)</t>
    <phoneticPr fontId="1" type="noConversion"/>
  </si>
  <si>
    <t>24. 현대 (29수7116, 41모2015)</t>
    <phoneticPr fontId="1" type="noConversion"/>
  </si>
  <si>
    <t>서</t>
    <phoneticPr fontId="1" type="noConversion"/>
  </si>
  <si>
    <t>010-6667-2705</t>
    <phoneticPr fontId="1" type="noConversion"/>
  </si>
  <si>
    <t>23. KB (울산동마0478)</t>
  </si>
  <si>
    <t>24. 현대 (42나7842)</t>
    <phoneticPr fontId="1" type="noConversion"/>
  </si>
  <si>
    <t>천안시 서북구 성거읍 천흥2길 30-13</t>
    <phoneticPr fontId="1" type="noConversion"/>
  </si>
  <si>
    <t>박서빈</t>
    <phoneticPr fontId="1" type="noConversion"/>
  </si>
  <si>
    <t>1-152</t>
    <phoneticPr fontId="1" type="noConversion"/>
  </si>
  <si>
    <t>권오윤</t>
    <phoneticPr fontId="1" type="noConversion"/>
  </si>
  <si>
    <t>0106215-7592</t>
    <phoneticPr fontId="1" type="noConversion"/>
  </si>
  <si>
    <t>24. 삼성 (07구0711, 33서2647)</t>
    <phoneticPr fontId="1" type="noConversion"/>
  </si>
  <si>
    <t>010-4596-7638</t>
    <phoneticPr fontId="1" type="noConversion"/>
  </si>
  <si>
    <t>010-6523-7626</t>
    <phoneticPr fontId="1" type="noConversion"/>
  </si>
  <si>
    <t>권민혜</t>
    <phoneticPr fontId="1" type="noConversion"/>
  </si>
  <si>
    <t>권민한</t>
    <phoneticPr fontId="1" type="noConversion"/>
  </si>
  <si>
    <t>3-77</t>
    <phoneticPr fontId="1" type="noConversion"/>
  </si>
  <si>
    <t>010-7346-7077</t>
    <phoneticPr fontId="1" type="noConversion"/>
  </si>
  <si>
    <t>24. 현대 (49너9318)</t>
    <phoneticPr fontId="1" type="noConversion"/>
  </si>
  <si>
    <t>23. 삼성 (32두 6678)</t>
    <phoneticPr fontId="1" type="noConversion"/>
  </si>
  <si>
    <t>3-6</t>
    <phoneticPr fontId="1" type="noConversion"/>
  </si>
  <si>
    <t>한승준</t>
    <phoneticPr fontId="1" type="noConversion"/>
  </si>
  <si>
    <t>010-5597-8338</t>
    <phoneticPr fontId="1" type="noConversion"/>
  </si>
  <si>
    <t>20. 삼성 (46루5157)</t>
    <phoneticPr fontId="1" type="noConversion"/>
  </si>
  <si>
    <t>한형빈</t>
    <phoneticPr fontId="1" type="noConversion"/>
  </si>
  <si>
    <t>박영애</t>
    <phoneticPr fontId="1" type="noConversion"/>
  </si>
  <si>
    <t>010-9284-1883</t>
    <phoneticPr fontId="1" type="noConversion"/>
  </si>
  <si>
    <t>1-32</t>
    <phoneticPr fontId="1" type="noConversion"/>
  </si>
  <si>
    <t>010-3250-2500</t>
    <phoneticPr fontId="1" type="noConversion"/>
  </si>
  <si>
    <t>24. DB (24머1319)</t>
    <phoneticPr fontId="1" type="noConversion"/>
  </si>
  <si>
    <t>3-33</t>
    <phoneticPr fontId="1" type="noConversion"/>
  </si>
  <si>
    <t>권혁민</t>
    <phoneticPr fontId="1" type="noConversion"/>
  </si>
  <si>
    <t>010-5229-5700</t>
    <phoneticPr fontId="1" type="noConversion"/>
  </si>
  <si>
    <t>24. DB (15주8695, 91더2007)</t>
    <phoneticPr fontId="1" type="noConversion"/>
  </si>
  <si>
    <t>오혜정</t>
    <phoneticPr fontId="1" type="noConversion"/>
  </si>
  <si>
    <t>010-7350-8296</t>
    <phoneticPr fontId="1" type="noConversion"/>
  </si>
  <si>
    <t>권순범</t>
    <phoneticPr fontId="1" type="noConversion"/>
  </si>
  <si>
    <t>010-8961-8296</t>
    <phoneticPr fontId="1" type="noConversion"/>
  </si>
  <si>
    <t>권순성</t>
    <phoneticPr fontId="1" type="noConversion"/>
  </si>
  <si>
    <t>010-9262-7009</t>
    <phoneticPr fontId="1" type="noConversion"/>
  </si>
  <si>
    <t>이영서</t>
    <phoneticPr fontId="1" type="noConversion"/>
  </si>
  <si>
    <t>권은재</t>
    <phoneticPr fontId="1" type="noConversion"/>
  </si>
  <si>
    <t>24. DB (163버9580)</t>
    <phoneticPr fontId="1" type="noConversion"/>
  </si>
  <si>
    <t>1-149</t>
    <phoneticPr fontId="1" type="noConversion"/>
  </si>
  <si>
    <t>24. 흥국 (131러2188)</t>
    <phoneticPr fontId="1" type="noConversion"/>
  </si>
  <si>
    <t>4-91</t>
    <phoneticPr fontId="1" type="noConversion"/>
  </si>
  <si>
    <t xml:space="preserve"> 04월 10일 </t>
    <phoneticPr fontId="1" type="noConversion"/>
  </si>
  <si>
    <t>서설림</t>
    <phoneticPr fontId="1" type="noConversion"/>
  </si>
  <si>
    <t>010-5429-8427</t>
    <phoneticPr fontId="1" type="noConversion"/>
  </si>
  <si>
    <t>24. 삼성 (28노8427)</t>
    <phoneticPr fontId="1" type="noConversion"/>
  </si>
  <si>
    <t>3-10</t>
    <phoneticPr fontId="1" type="noConversion"/>
  </si>
  <si>
    <t>010-2563-5893</t>
    <phoneticPr fontId="1" type="noConversion"/>
  </si>
  <si>
    <t>24. DB (41우4761)</t>
    <phoneticPr fontId="1" type="noConversion"/>
  </si>
  <si>
    <t>2-74</t>
    <phoneticPr fontId="1" type="noConversion"/>
  </si>
  <si>
    <t>010-4802-7110</t>
    <phoneticPr fontId="1" type="noConversion"/>
  </si>
  <si>
    <t>24. 현대 (11저7152)</t>
    <phoneticPr fontId="1" type="noConversion"/>
  </si>
  <si>
    <t>010-8820-7110</t>
    <phoneticPr fontId="1" type="noConversion"/>
  </si>
  <si>
    <t>24. KB (충남아산바4456)</t>
    <phoneticPr fontId="1" type="noConversion"/>
  </si>
  <si>
    <t>010-4853-2525</t>
    <phoneticPr fontId="1" type="noConversion"/>
  </si>
  <si>
    <t>4-68</t>
    <phoneticPr fontId="1" type="noConversion"/>
  </si>
  <si>
    <t>이윤식</t>
    <phoneticPr fontId="1" type="noConversion"/>
  </si>
  <si>
    <t>010-2588-1711</t>
    <phoneticPr fontId="1" type="noConversion"/>
  </si>
  <si>
    <t>24. DB (157서2661, 50무0690, 82누6979)</t>
    <phoneticPr fontId="1" type="noConversion"/>
  </si>
  <si>
    <t>한기영</t>
    <phoneticPr fontId="1" type="noConversion"/>
  </si>
  <si>
    <t>010-2596-1711</t>
    <phoneticPr fontId="1" type="noConversion"/>
  </si>
  <si>
    <t>이서희</t>
    <phoneticPr fontId="1" type="noConversion"/>
  </si>
  <si>
    <t>010-2914-1711</t>
    <phoneticPr fontId="1" type="noConversion"/>
  </si>
  <si>
    <t>3-25</t>
    <phoneticPr fontId="1" type="noConversion"/>
  </si>
  <si>
    <t>박난수</t>
    <phoneticPr fontId="1" type="noConversion"/>
  </si>
  <si>
    <t>010-9442-8350</t>
    <phoneticPr fontId="1" type="noConversion"/>
  </si>
  <si>
    <t>24. DB (94어8659)</t>
    <phoneticPr fontId="1" type="noConversion"/>
  </si>
  <si>
    <t>3-3</t>
    <phoneticPr fontId="1" type="noConversion"/>
  </si>
  <si>
    <t>010-8477-5611</t>
    <phoneticPr fontId="1" type="noConversion"/>
  </si>
  <si>
    <t>24. 삼성 (04고0264, 18수8075)</t>
    <phoneticPr fontId="1" type="noConversion"/>
  </si>
  <si>
    <t>010-8577-5666</t>
    <phoneticPr fontId="1" type="noConversion"/>
  </si>
  <si>
    <t>24. DB (93보1086)</t>
    <phoneticPr fontId="1" type="noConversion"/>
  </si>
  <si>
    <t>24. 흥국 (18러8917)</t>
    <phoneticPr fontId="1" type="noConversion"/>
  </si>
  <si>
    <t>010-7999-2404</t>
    <phoneticPr fontId="1" type="noConversion"/>
  </si>
  <si>
    <t>010-5061-2404</t>
    <phoneticPr fontId="1" type="noConversion"/>
  </si>
  <si>
    <t>24. 현대 (225거9804)_다이렉트</t>
    <phoneticPr fontId="1" type="noConversion"/>
  </si>
  <si>
    <t>5-48</t>
    <phoneticPr fontId="1" type="noConversion"/>
  </si>
  <si>
    <t>4월18일</t>
    <phoneticPr fontId="1" type="noConversion"/>
  </si>
  <si>
    <t>이은영</t>
    <phoneticPr fontId="1" type="noConversion"/>
  </si>
  <si>
    <t>010-9122-5411</t>
    <phoneticPr fontId="1" type="noConversion"/>
  </si>
  <si>
    <t>서북구 백석3로 70 311-608</t>
    <phoneticPr fontId="1" type="noConversion"/>
  </si>
  <si>
    <t>4-8</t>
    <phoneticPr fontId="1" type="noConversion"/>
  </si>
  <si>
    <t>24. AXA (07로0327,347나7790)</t>
    <phoneticPr fontId="1" type="noConversion"/>
  </si>
  <si>
    <t>3-35</t>
    <phoneticPr fontId="1" type="noConversion"/>
  </si>
  <si>
    <t>김상도</t>
    <phoneticPr fontId="1" type="noConversion"/>
  </si>
  <si>
    <t>010-5450-2971</t>
    <phoneticPr fontId="1" type="noConversion"/>
  </si>
  <si>
    <t>24. 현대 (91더8711)</t>
    <phoneticPr fontId="1" type="noConversion"/>
  </si>
  <si>
    <t>승강기보험</t>
    <phoneticPr fontId="1" type="noConversion"/>
  </si>
  <si>
    <t>24. 한화 (13러0897)</t>
    <phoneticPr fontId="1" type="noConversion"/>
  </si>
  <si>
    <t>24. 삼성 (68부7023)
24. DB (163거8121)</t>
    <phoneticPr fontId="1" type="noConversion"/>
  </si>
  <si>
    <t>4-11</t>
    <phoneticPr fontId="1" type="noConversion"/>
  </si>
  <si>
    <t>010-5138-9060</t>
    <phoneticPr fontId="1" type="noConversion"/>
  </si>
  <si>
    <t>24. 현대 (137부7725)</t>
    <phoneticPr fontId="1" type="noConversion"/>
  </si>
  <si>
    <t>박명섭</t>
    <phoneticPr fontId="1" type="noConversion"/>
  </si>
  <si>
    <t>010-8822-3644</t>
    <phoneticPr fontId="1" type="noConversion"/>
  </si>
  <si>
    <t>24. 현대 (80나1952)_다이렉트</t>
    <phoneticPr fontId="1" type="noConversion"/>
  </si>
  <si>
    <t>200508_DB(49,686원)</t>
  </si>
  <si>
    <t>1-86</t>
    <phoneticPr fontId="1" type="noConversion"/>
  </si>
  <si>
    <t>010-4332-7054</t>
    <phoneticPr fontId="1" type="noConversion"/>
  </si>
  <si>
    <t>24. DB (부산부산진카9878)</t>
    <phoneticPr fontId="1" type="noConversion"/>
  </si>
  <si>
    <t>4-42</t>
    <phoneticPr fontId="1" type="noConversion"/>
  </si>
  <si>
    <t>24. 현대 (107버1316, 54도2843, 11구 6845)</t>
    <phoneticPr fontId="1" type="noConversion"/>
  </si>
  <si>
    <t>1-89</t>
    <phoneticPr fontId="1" type="noConversion"/>
  </si>
  <si>
    <t>010-2201-4651</t>
    <phoneticPr fontId="1" type="noConversion"/>
  </si>
  <si>
    <t>24. 삼성 (48수5161)</t>
    <phoneticPr fontId="1" type="noConversion"/>
  </si>
  <si>
    <t>010-8139-4651</t>
    <phoneticPr fontId="1" type="noConversion"/>
  </si>
  <si>
    <t>2-88</t>
    <phoneticPr fontId="1" type="noConversion"/>
  </si>
  <si>
    <t>010-8931-7421</t>
    <phoneticPr fontId="1" type="noConversion"/>
  </si>
  <si>
    <t>24. DB (10다1902, 62누4338)</t>
    <phoneticPr fontId="1" type="noConversion"/>
  </si>
  <si>
    <t>010-3921-1211</t>
    <phoneticPr fontId="1" type="noConversion"/>
  </si>
  <si>
    <t>4-75</t>
    <phoneticPr fontId="1" type="noConversion"/>
  </si>
  <si>
    <t>김동순</t>
    <phoneticPr fontId="1" type="noConversion"/>
  </si>
  <si>
    <t>010-5423-8574</t>
    <phoneticPr fontId="1" type="noConversion"/>
  </si>
  <si>
    <t>24. 캐롯 (29오6705)</t>
    <phoneticPr fontId="1" type="noConversion"/>
  </si>
  <si>
    <t>24. 캐롯 (58누4205)</t>
    <phoneticPr fontId="1" type="noConversion"/>
  </si>
  <si>
    <t>24. 삼성 (충남15고5641)</t>
    <phoneticPr fontId="1" type="noConversion"/>
  </si>
  <si>
    <t>3-45</t>
    <phoneticPr fontId="1" type="noConversion"/>
  </si>
  <si>
    <t>010-3265-7922</t>
    <phoneticPr fontId="1" type="noConversion"/>
  </si>
  <si>
    <t>23. KB (29서0853)</t>
    <phoneticPr fontId="1" type="noConversion"/>
  </si>
  <si>
    <t>4-18/4-69</t>
    <phoneticPr fontId="1" type="noConversion"/>
  </si>
  <si>
    <t>한재철</t>
    <phoneticPr fontId="1" type="noConversion"/>
  </si>
  <si>
    <t>010-5435-5136</t>
    <phoneticPr fontId="1" type="noConversion"/>
  </si>
  <si>
    <t>24. DB (250누5820)</t>
    <phoneticPr fontId="1" type="noConversion"/>
  </si>
  <si>
    <t>5-3</t>
  </si>
  <si>
    <t>이선아</t>
    <phoneticPr fontId="1" type="noConversion"/>
  </si>
  <si>
    <t>010-5710-8902</t>
    <phoneticPr fontId="1" type="noConversion"/>
  </si>
  <si>
    <t>24. 삼성 (34누7311)</t>
    <phoneticPr fontId="1" type="noConversion"/>
  </si>
  <si>
    <t>5-81</t>
    <phoneticPr fontId="1" type="noConversion"/>
  </si>
  <si>
    <t>이정임</t>
    <phoneticPr fontId="1" type="noConversion"/>
  </si>
  <si>
    <t xml:space="preserve">  010-8824-0733</t>
    <phoneticPr fontId="1" type="noConversion"/>
  </si>
  <si>
    <t xml:space="preserve">미라3길45 1층 개미촌 </t>
    <phoneticPr fontId="1" type="noConversion"/>
  </si>
  <si>
    <t>4월27일</t>
    <phoneticPr fontId="1" type="noConversion"/>
  </si>
  <si>
    <t>홍승훈</t>
    <phoneticPr fontId="1" type="noConversion"/>
  </si>
  <si>
    <t>010-2070-0739</t>
    <phoneticPr fontId="1" type="noConversion"/>
  </si>
  <si>
    <t>홍승원</t>
    <phoneticPr fontId="1" type="noConversion"/>
  </si>
  <si>
    <t>010-8808-0731</t>
    <phoneticPr fontId="1" type="noConversion"/>
  </si>
  <si>
    <t>23. 삼성 (91나2092)</t>
    <phoneticPr fontId="1" type="noConversion"/>
  </si>
  <si>
    <t>5-72</t>
    <phoneticPr fontId="1" type="noConversion"/>
  </si>
  <si>
    <t>04월 28일</t>
    <phoneticPr fontId="1" type="noConversion"/>
  </si>
  <si>
    <t>공명헌</t>
    <phoneticPr fontId="1" type="noConversion"/>
  </si>
  <si>
    <t>010-2708-2951</t>
    <phoneticPr fontId="1" type="noConversion"/>
  </si>
  <si>
    <t>평택시 이충동 674 201동 902호</t>
    <phoneticPr fontId="1" type="noConversion"/>
  </si>
  <si>
    <t>3-49</t>
    <phoneticPr fontId="1" type="noConversion"/>
  </si>
  <si>
    <t>010-3369-4720</t>
    <phoneticPr fontId="1" type="noConversion"/>
  </si>
  <si>
    <t>24. 메리츠 (68로6831)</t>
    <phoneticPr fontId="1" type="noConversion"/>
  </si>
  <si>
    <t>4-56</t>
    <phoneticPr fontId="1" type="noConversion"/>
  </si>
  <si>
    <t>최기원</t>
    <phoneticPr fontId="1" type="noConversion"/>
  </si>
  <si>
    <t>010-5116-0479</t>
    <phoneticPr fontId="1" type="noConversion"/>
  </si>
  <si>
    <t>24. 현대 (충남천안미6373)</t>
    <phoneticPr fontId="1" type="noConversion"/>
  </si>
  <si>
    <t>24. 삼성 (충남15고5315)</t>
    <phoneticPr fontId="1" type="noConversion"/>
  </si>
  <si>
    <t>24. 캐롯 (177나8620)</t>
    <phoneticPr fontId="1" type="noConversion"/>
  </si>
  <si>
    <t>3-29</t>
    <phoneticPr fontId="1" type="noConversion"/>
  </si>
  <si>
    <t>구윤관</t>
    <phoneticPr fontId="1" type="noConversion"/>
  </si>
  <si>
    <t>010-9409-3834</t>
    <phoneticPr fontId="1" type="noConversion"/>
  </si>
  <si>
    <t>23. 현대 (47어2290)</t>
    <phoneticPr fontId="1" type="noConversion"/>
  </si>
  <si>
    <t>구성훈</t>
    <phoneticPr fontId="1" type="noConversion"/>
  </si>
  <si>
    <t>구민정</t>
    <phoneticPr fontId="1" type="noConversion"/>
  </si>
  <si>
    <t>010-3650-1129</t>
    <phoneticPr fontId="1" type="noConversion"/>
  </si>
  <si>
    <t>24. 현대 (33소1965)</t>
    <phoneticPr fontId="1" type="noConversion"/>
  </si>
  <si>
    <t>2-53</t>
    <phoneticPr fontId="1" type="noConversion"/>
  </si>
  <si>
    <t>010-9099-5009</t>
    <phoneticPr fontId="1" type="noConversion"/>
  </si>
  <si>
    <t>24. 삼성 (123바4757)</t>
    <phoneticPr fontId="1" type="noConversion"/>
  </si>
  <si>
    <t>010-8741-1435</t>
    <phoneticPr fontId="1" type="noConversion"/>
  </si>
  <si>
    <t>010-8495-1435</t>
    <phoneticPr fontId="1" type="noConversion"/>
  </si>
  <si>
    <t>5-12</t>
  </si>
  <si>
    <t>신재문</t>
    <phoneticPr fontId="1" type="noConversion"/>
  </si>
  <si>
    <t>010-5034-4542</t>
    <phoneticPr fontId="1" type="noConversion"/>
  </si>
  <si>
    <t>임혜숙</t>
    <phoneticPr fontId="1" type="noConversion"/>
  </si>
  <si>
    <t>010-5487-3290</t>
    <phoneticPr fontId="1" type="noConversion"/>
  </si>
  <si>
    <t>24. KB (111누6076)</t>
    <phoneticPr fontId="1" type="noConversion"/>
  </si>
  <si>
    <t>신다은</t>
    <phoneticPr fontId="1" type="noConversion"/>
  </si>
  <si>
    <t>010-5675-4542</t>
    <phoneticPr fontId="1" type="noConversion"/>
  </si>
  <si>
    <t>신윤호</t>
    <phoneticPr fontId="1" type="noConversion"/>
  </si>
  <si>
    <t>신다민</t>
    <phoneticPr fontId="1" type="noConversion"/>
  </si>
  <si>
    <t>1-97</t>
    <phoneticPr fontId="1" type="noConversion"/>
  </si>
  <si>
    <t>010-3338-5674</t>
    <phoneticPr fontId="1" type="noConversion"/>
  </si>
  <si>
    <t>23. KB (07주4056)</t>
    <phoneticPr fontId="1" type="noConversion"/>
  </si>
  <si>
    <t>이하섭</t>
    <phoneticPr fontId="1" type="noConversion"/>
  </si>
  <si>
    <t>010-3913-8677</t>
    <phoneticPr fontId="1" type="noConversion"/>
  </si>
  <si>
    <t>3-91</t>
    <phoneticPr fontId="1" type="noConversion"/>
  </si>
  <si>
    <t>김지영(김지나)</t>
    <phoneticPr fontId="1" type="noConversion"/>
  </si>
  <si>
    <t>010-4293-1420</t>
    <phoneticPr fontId="1" type="noConversion"/>
  </si>
  <si>
    <t>24. KB (235거9686)</t>
    <phoneticPr fontId="1" type="noConversion"/>
  </si>
  <si>
    <t>정유영</t>
    <phoneticPr fontId="1" type="noConversion"/>
  </si>
  <si>
    <t>정현민</t>
    <phoneticPr fontId="1" type="noConversion"/>
  </si>
  <si>
    <t>정재민</t>
    <phoneticPr fontId="1" type="noConversion"/>
  </si>
  <si>
    <t>정아민</t>
    <phoneticPr fontId="1" type="noConversion"/>
  </si>
  <si>
    <t>1-129</t>
    <phoneticPr fontId="1" type="noConversion"/>
  </si>
  <si>
    <t>24. KB (울산동마0478)</t>
    <phoneticPr fontId="1" type="noConversion"/>
  </si>
  <si>
    <t>5-2</t>
    <phoneticPr fontId="1" type="noConversion"/>
  </si>
  <si>
    <t>최강민</t>
    <phoneticPr fontId="1" type="noConversion"/>
  </si>
  <si>
    <t>010-3045-7545</t>
    <phoneticPr fontId="1" type="noConversion"/>
  </si>
  <si>
    <t>23. 삼성 (36루5639, 37다6614)</t>
    <phoneticPr fontId="1" type="noConversion"/>
  </si>
  <si>
    <t>3-38</t>
    <phoneticPr fontId="1" type="noConversion"/>
  </si>
  <si>
    <t>010-3427-9875</t>
    <phoneticPr fontId="1" type="noConversion"/>
  </si>
  <si>
    <t>23. DB (11고6317, 63고3917)</t>
    <phoneticPr fontId="1" type="noConversion"/>
  </si>
  <si>
    <t>23. 한화 (26러1411,32주3236)</t>
    <phoneticPr fontId="1" type="noConversion"/>
  </si>
  <si>
    <t>3-23</t>
    <phoneticPr fontId="1" type="noConversion"/>
  </si>
  <si>
    <t>010-2693-1737</t>
    <phoneticPr fontId="1" type="noConversion"/>
  </si>
  <si>
    <t>24. 삼성 (49버3756)</t>
    <phoneticPr fontId="1" type="noConversion"/>
  </si>
  <si>
    <t>010-5967-1583</t>
    <phoneticPr fontId="1" type="noConversion"/>
  </si>
  <si>
    <t>3-64</t>
    <phoneticPr fontId="1" type="noConversion"/>
  </si>
  <si>
    <t>010-8803-0985</t>
    <phoneticPr fontId="1" type="noConversion"/>
  </si>
  <si>
    <t>24. 삼성 (57더2539)</t>
    <phoneticPr fontId="1" type="noConversion"/>
  </si>
  <si>
    <t>010-8853-3061</t>
    <phoneticPr fontId="1" type="noConversion"/>
  </si>
  <si>
    <t>5-13</t>
  </si>
  <si>
    <t>이철승</t>
    <phoneticPr fontId="1" type="noConversion"/>
  </si>
  <si>
    <t>010-5054-2285</t>
    <phoneticPr fontId="1" type="noConversion"/>
  </si>
  <si>
    <t>24. 메리츠 (26루3704, 07로2710)</t>
    <phoneticPr fontId="1" type="noConversion"/>
  </si>
  <si>
    <t>임혜경</t>
    <phoneticPr fontId="1" type="noConversion"/>
  </si>
  <si>
    <t>010-5041-9132</t>
    <phoneticPr fontId="1" type="noConversion"/>
  </si>
  <si>
    <t>1-145</t>
    <phoneticPr fontId="1" type="noConversion"/>
  </si>
  <si>
    <t>010-5007-1031</t>
    <phoneticPr fontId="1" type="noConversion"/>
  </si>
  <si>
    <t>23. 현대 (01거8198)</t>
    <phoneticPr fontId="1" type="noConversion"/>
  </si>
  <si>
    <t>010-8819-0820</t>
    <phoneticPr fontId="1" type="noConversion"/>
  </si>
  <si>
    <t>24. 삼성 (36라0870)</t>
    <phoneticPr fontId="1" type="noConversion"/>
  </si>
  <si>
    <t>4-21</t>
    <phoneticPr fontId="1" type="noConversion"/>
  </si>
  <si>
    <t>010-7921-9824</t>
    <phoneticPr fontId="1" type="noConversion"/>
  </si>
  <si>
    <t>1-104</t>
    <phoneticPr fontId="1" type="noConversion"/>
  </si>
  <si>
    <t>010-3355-4457</t>
    <phoneticPr fontId="1" type="noConversion"/>
  </si>
  <si>
    <t>010-2964-5353</t>
    <phoneticPr fontId="1" type="noConversion"/>
  </si>
  <si>
    <t>24. 삼성 (69나1622)</t>
    <phoneticPr fontId="1" type="noConversion"/>
  </si>
  <si>
    <t>200911_현대(15,280원)</t>
  </si>
  <si>
    <t>3-86</t>
    <phoneticPr fontId="1" type="noConversion"/>
  </si>
  <si>
    <t>010-9284-6306</t>
    <phoneticPr fontId="1" type="noConversion"/>
  </si>
  <si>
    <t>24. KB (08로7757)</t>
    <phoneticPr fontId="1" type="noConversion"/>
  </si>
  <si>
    <t>010-5263-4754</t>
    <phoneticPr fontId="1" type="noConversion"/>
  </si>
  <si>
    <t>24. 삼성 (31두0694)_다이렉트</t>
    <phoneticPr fontId="1" type="noConversion"/>
  </si>
  <si>
    <t>010-8852-0606</t>
    <phoneticPr fontId="1" type="noConversion"/>
  </si>
  <si>
    <t xml:space="preserve">5-73 </t>
    <phoneticPr fontId="1" type="noConversion"/>
  </si>
  <si>
    <t>태윤성</t>
    <phoneticPr fontId="1" type="noConversion"/>
  </si>
  <si>
    <t>010-9871-5581</t>
  </si>
  <si>
    <t>천안시 서북구 백석3로 70 314동1202호</t>
  </si>
  <si>
    <t>5/12(2대)</t>
    <phoneticPr fontId="1" type="noConversion"/>
  </si>
  <si>
    <t>이영란</t>
    <phoneticPr fontId="1" type="noConversion"/>
  </si>
  <si>
    <t>1-35</t>
    <phoneticPr fontId="1" type="noConversion"/>
  </si>
  <si>
    <t>010-6431-9526</t>
    <phoneticPr fontId="1" type="noConversion"/>
  </si>
  <si>
    <t>24. DB (65무9608)</t>
    <phoneticPr fontId="1" type="noConversion"/>
  </si>
  <si>
    <t>010-6421-9526</t>
    <phoneticPr fontId="1" type="noConversion"/>
  </si>
  <si>
    <t>송인국</t>
    <phoneticPr fontId="1" type="noConversion"/>
  </si>
  <si>
    <t>010-3422-6929</t>
    <phoneticPr fontId="1" type="noConversion"/>
  </si>
  <si>
    <t>1-102</t>
    <phoneticPr fontId="1" type="noConversion"/>
  </si>
  <si>
    <t>010-7142-8928</t>
    <phoneticPr fontId="1" type="noConversion"/>
  </si>
  <si>
    <t>24. 삼성 (13소2900)</t>
    <phoneticPr fontId="1" type="noConversion"/>
  </si>
  <si>
    <t>010-7143-8928</t>
    <phoneticPr fontId="1" type="noConversion"/>
  </si>
  <si>
    <t>803수4748</t>
    <phoneticPr fontId="1" type="noConversion"/>
  </si>
  <si>
    <t>이영애</t>
    <phoneticPr fontId="1" type="noConversion"/>
  </si>
  <si>
    <t>010-3119-8631</t>
    <phoneticPr fontId="1" type="noConversion"/>
  </si>
  <si>
    <t>23. DB (124어7273)
24. DB (09로5870)</t>
    <phoneticPr fontId="1" type="noConversion"/>
  </si>
  <si>
    <t>5-30</t>
  </si>
  <si>
    <t>이일한</t>
    <phoneticPr fontId="1" type="noConversion"/>
  </si>
  <si>
    <t>010-8716-8722</t>
    <phoneticPr fontId="1" type="noConversion"/>
  </si>
  <si>
    <t>24. 현대 (210고7261)</t>
    <phoneticPr fontId="1" type="noConversion"/>
  </si>
  <si>
    <t>AOKI RISA</t>
    <phoneticPr fontId="1" type="noConversion"/>
  </si>
  <si>
    <t>010-4182-8722</t>
    <phoneticPr fontId="1" type="noConversion"/>
  </si>
  <si>
    <t>이동현</t>
    <phoneticPr fontId="1" type="noConversion"/>
  </si>
  <si>
    <t>이한나</t>
    <phoneticPr fontId="1" type="noConversion"/>
  </si>
  <si>
    <t>이하늘</t>
    <phoneticPr fontId="1" type="noConversion"/>
  </si>
  <si>
    <t>1-21</t>
    <phoneticPr fontId="1" type="noConversion"/>
  </si>
  <si>
    <t>010-8806-4234</t>
    <phoneticPr fontId="1" type="noConversion"/>
  </si>
  <si>
    <t>24. KB (49서0314)_다이렉트</t>
    <phoneticPr fontId="1" type="noConversion"/>
  </si>
  <si>
    <t>210405_KB(23,690)</t>
    <phoneticPr fontId="1" type="noConversion"/>
  </si>
  <si>
    <t>아산 탕정면로37 삼성트라팰리스 203동 1003호</t>
    <phoneticPr fontId="1" type="noConversion"/>
  </si>
  <si>
    <t>010-8819-4547</t>
    <phoneticPr fontId="1" type="noConversion"/>
  </si>
  <si>
    <t>김현서</t>
    <phoneticPr fontId="1" type="noConversion"/>
  </si>
  <si>
    <t>김동우</t>
    <phoneticPr fontId="1" type="noConversion"/>
  </si>
  <si>
    <t>5-50</t>
    <phoneticPr fontId="1" type="noConversion"/>
  </si>
  <si>
    <t>최양덕</t>
    <phoneticPr fontId="1" type="noConversion"/>
  </si>
  <si>
    <t>010-5164-6838</t>
    <phoneticPr fontId="1" type="noConversion"/>
  </si>
  <si>
    <t>천안 구성동462-1 구성파크맨션101호</t>
    <phoneticPr fontId="1" type="noConversion"/>
  </si>
  <si>
    <t>5월22일</t>
    <phoneticPr fontId="1" type="noConversion"/>
  </si>
  <si>
    <t>박찬순</t>
    <phoneticPr fontId="1" type="noConversion"/>
  </si>
  <si>
    <t>010-5162-6838</t>
    <phoneticPr fontId="1" type="noConversion"/>
  </si>
  <si>
    <t>롯데캐슬@101동 904호</t>
    <phoneticPr fontId="1" type="noConversion"/>
  </si>
  <si>
    <t>김혁준</t>
    <phoneticPr fontId="1" type="noConversion"/>
  </si>
  <si>
    <t>010-5379-6838</t>
    <phoneticPr fontId="1" type="noConversion"/>
  </si>
  <si>
    <t>김규선</t>
    <phoneticPr fontId="1" type="noConversion"/>
  </si>
  <si>
    <t>010-8236-6838</t>
    <phoneticPr fontId="1" type="noConversion"/>
  </si>
  <si>
    <t>김송희</t>
    <phoneticPr fontId="1" type="noConversion"/>
  </si>
  <si>
    <t>010-4002-6838</t>
    <phoneticPr fontId="1" type="noConversion"/>
  </si>
  <si>
    <t>신림동 1462-40 402호</t>
    <phoneticPr fontId="1" type="noConversion"/>
  </si>
  <si>
    <t>1-73</t>
    <phoneticPr fontId="1" type="noConversion"/>
  </si>
  <si>
    <t>010-4338-4661</t>
    <phoneticPr fontId="1" type="noConversion"/>
  </si>
  <si>
    <t>24. 삼성 (27우3013)</t>
    <phoneticPr fontId="1" type="noConversion"/>
  </si>
  <si>
    <t>010-4373-4122</t>
    <phoneticPr fontId="1" type="noConversion"/>
  </si>
  <si>
    <t>23. 삼성 (398너9272)</t>
    <phoneticPr fontId="1" type="noConversion"/>
  </si>
  <si>
    <t>이원희</t>
    <phoneticPr fontId="1" type="noConversion"/>
  </si>
  <si>
    <t>010-9480-1399</t>
    <phoneticPr fontId="1" type="noConversion"/>
  </si>
  <si>
    <t>4-24</t>
    <phoneticPr fontId="1" type="noConversion"/>
  </si>
  <si>
    <t>010-5580-8537</t>
    <phoneticPr fontId="1" type="noConversion"/>
  </si>
  <si>
    <t>24. 현대 (54러1165, 28로9159, 08구3211)</t>
    <phoneticPr fontId="1" type="noConversion"/>
  </si>
  <si>
    <t>010-5380-8537</t>
    <phoneticPr fontId="1" type="noConversion"/>
  </si>
  <si>
    <t>김덕호</t>
    <phoneticPr fontId="1" type="noConversion"/>
  </si>
  <si>
    <t>010-3405-9766</t>
    <phoneticPr fontId="1" type="noConversion"/>
  </si>
  <si>
    <t>24. DB (138무7993)</t>
    <phoneticPr fontId="1" type="noConversion"/>
  </si>
  <si>
    <t>4-97</t>
    <phoneticPr fontId="1" type="noConversion"/>
  </si>
  <si>
    <t>김영화</t>
    <phoneticPr fontId="1" type="noConversion"/>
  </si>
  <si>
    <t>010-3955-3308</t>
    <phoneticPr fontId="1" type="noConversion"/>
  </si>
  <si>
    <t>24. 삼성 (823고7577)</t>
    <phoneticPr fontId="1" type="noConversion"/>
  </si>
  <si>
    <t>옥숙희</t>
    <phoneticPr fontId="1" type="noConversion"/>
  </si>
  <si>
    <t>010-8474-1360</t>
    <phoneticPr fontId="1" type="noConversion"/>
  </si>
  <si>
    <t>3-16</t>
    <phoneticPr fontId="1" type="noConversion"/>
  </si>
  <si>
    <t>010-3660-6001</t>
    <phoneticPr fontId="1" type="noConversion"/>
  </si>
  <si>
    <t>010-6532-1554</t>
    <phoneticPr fontId="1" type="noConversion"/>
  </si>
  <si>
    <t>24. 현대 (123두3135)</t>
    <phoneticPr fontId="1" type="noConversion"/>
  </si>
  <si>
    <t>010-8596-1562</t>
    <phoneticPr fontId="1" type="noConversion"/>
  </si>
  <si>
    <t>010-3164-1554</t>
    <phoneticPr fontId="1" type="noConversion"/>
  </si>
  <si>
    <t>김미라</t>
    <phoneticPr fontId="1" type="noConversion"/>
  </si>
  <si>
    <t>010-6557-9513</t>
    <phoneticPr fontId="1" type="noConversion"/>
  </si>
  <si>
    <t>24. 현대 (13누7735)</t>
    <phoneticPr fontId="1" type="noConversion"/>
  </si>
  <si>
    <t>010-6543-4720</t>
    <phoneticPr fontId="1" type="noConversion"/>
  </si>
  <si>
    <t>24. 현대 (04노8583)</t>
    <phoneticPr fontId="1" type="noConversion"/>
  </si>
  <si>
    <t>010-9548-1335</t>
    <phoneticPr fontId="1" type="noConversion"/>
  </si>
  <si>
    <t>3-9</t>
    <phoneticPr fontId="1" type="noConversion"/>
  </si>
  <si>
    <t>고인철</t>
    <phoneticPr fontId="1" type="noConversion"/>
  </si>
  <si>
    <t>010-6764-3117</t>
    <phoneticPr fontId="1" type="noConversion"/>
  </si>
  <si>
    <t>24. DB (02서 7168)</t>
    <phoneticPr fontId="1" type="noConversion"/>
  </si>
  <si>
    <t>고지원</t>
    <phoneticPr fontId="1" type="noConversion"/>
  </si>
  <si>
    <t>고재원</t>
    <phoneticPr fontId="1" type="noConversion"/>
  </si>
  <si>
    <t>24. KB (138거4172)</t>
    <phoneticPr fontId="1" type="noConversion"/>
  </si>
  <si>
    <t>24. 현대 (18루6803)</t>
    <phoneticPr fontId="1" type="noConversion"/>
  </si>
  <si>
    <t>3-100</t>
    <phoneticPr fontId="1" type="noConversion"/>
  </si>
  <si>
    <t>010-8823-4345</t>
    <phoneticPr fontId="1" type="noConversion"/>
  </si>
  <si>
    <t>010-4787-4345</t>
    <phoneticPr fontId="1" type="noConversion"/>
  </si>
  <si>
    <t>24. 현대 (104버8699)</t>
    <phoneticPr fontId="1" type="noConversion"/>
  </si>
  <si>
    <t>김신혜</t>
  </si>
  <si>
    <t>010-3977-3099</t>
    <phoneticPr fontId="1" type="noConversion"/>
  </si>
  <si>
    <t>010-6440-4345</t>
    <phoneticPr fontId="1" type="noConversion"/>
  </si>
  <si>
    <t>3-57</t>
    <phoneticPr fontId="1" type="noConversion"/>
  </si>
  <si>
    <t>차순자</t>
    <phoneticPr fontId="1" type="noConversion"/>
  </si>
  <si>
    <t>010-4850-6695</t>
    <phoneticPr fontId="1" type="noConversion"/>
  </si>
  <si>
    <t>24. 메리츠 (13소2989)</t>
    <phoneticPr fontId="1" type="noConversion"/>
  </si>
  <si>
    <t>최교상</t>
    <phoneticPr fontId="1" type="noConversion"/>
  </si>
  <si>
    <t>010-9375-7754</t>
    <phoneticPr fontId="1" type="noConversion"/>
  </si>
  <si>
    <t>조석진</t>
    <phoneticPr fontId="1" type="noConversion"/>
  </si>
  <si>
    <t>황해숙</t>
    <phoneticPr fontId="1" type="noConversion"/>
  </si>
  <si>
    <t>23. DB (부산29두2832)
24. DB (20가7514)</t>
    <phoneticPr fontId="1" type="noConversion"/>
  </si>
  <si>
    <t>1-5</t>
    <phoneticPr fontId="1" type="noConversion"/>
  </si>
  <si>
    <t>010-4736-5001</t>
    <phoneticPr fontId="1" type="noConversion"/>
  </si>
  <si>
    <t>24. DB (45주2145)</t>
    <phoneticPr fontId="1" type="noConversion"/>
  </si>
  <si>
    <t>011-1785-5313</t>
    <phoneticPr fontId="1" type="noConversion"/>
  </si>
  <si>
    <t>24. KB (49더9363, 11무4663)</t>
    <phoneticPr fontId="1" type="noConversion"/>
  </si>
  <si>
    <t>010-4666-1660</t>
    <phoneticPr fontId="1" type="noConversion"/>
  </si>
  <si>
    <t>울산동구 서부로50 지웰시티자이105동 2202호</t>
    <phoneticPr fontId="1" type="noConversion"/>
  </si>
  <si>
    <t>24. DB (67오0710)</t>
    <phoneticPr fontId="1" type="noConversion"/>
  </si>
  <si>
    <t>4-20</t>
    <phoneticPr fontId="1" type="noConversion"/>
  </si>
  <si>
    <t>010-8242-2421</t>
    <phoneticPr fontId="1" type="noConversion"/>
  </si>
  <si>
    <t>24. 삼성 (충남15고6169)</t>
    <phoneticPr fontId="1" type="noConversion"/>
  </si>
  <si>
    <t>010-2772-7730</t>
    <phoneticPr fontId="1" type="noConversion"/>
  </si>
  <si>
    <t>24. KB (83노4255)</t>
    <phoneticPr fontId="1" type="noConversion"/>
  </si>
  <si>
    <t xml:space="preserve">  </t>
    <phoneticPr fontId="1" type="noConversion"/>
  </si>
  <si>
    <t>5-53</t>
    <phoneticPr fontId="1" type="noConversion"/>
  </si>
  <si>
    <t>김유정</t>
    <phoneticPr fontId="1" type="noConversion"/>
  </si>
  <si>
    <t>010-4749-3084</t>
    <phoneticPr fontId="1" type="noConversion"/>
  </si>
  <si>
    <t>두정역 푸르지오 107동 503호</t>
    <phoneticPr fontId="1" type="noConversion"/>
  </si>
  <si>
    <t>방가은</t>
    <phoneticPr fontId="1" type="noConversion"/>
  </si>
  <si>
    <t>6월4일</t>
    <phoneticPr fontId="1" type="noConversion"/>
  </si>
  <si>
    <t>방창렬</t>
    <phoneticPr fontId="1" type="noConversion"/>
  </si>
  <si>
    <t>010-3344-3221</t>
  </si>
  <si>
    <t>1-109</t>
    <phoneticPr fontId="1" type="noConversion"/>
  </si>
  <si>
    <t>010-8995-4196</t>
    <phoneticPr fontId="1" type="noConversion"/>
  </si>
  <si>
    <t>24. 삼성 (02구5124)</t>
    <phoneticPr fontId="1" type="noConversion"/>
  </si>
  <si>
    <t>3-89</t>
    <phoneticPr fontId="1" type="noConversion"/>
  </si>
  <si>
    <t>010-8608-0082</t>
    <phoneticPr fontId="1" type="noConversion"/>
  </si>
  <si>
    <t>23. 현대 (11우2086)</t>
    <phoneticPr fontId="1" type="noConversion"/>
  </si>
  <si>
    <t>010-9335-1879</t>
    <phoneticPr fontId="1" type="noConversion"/>
  </si>
  <si>
    <t>3-27</t>
    <phoneticPr fontId="1" type="noConversion"/>
  </si>
  <si>
    <t>010-9339-5141</t>
    <phoneticPr fontId="1" type="noConversion"/>
  </si>
  <si>
    <t>23. DB (54모6961)</t>
    <phoneticPr fontId="1" type="noConversion"/>
  </si>
  <si>
    <t>010-9188-2903</t>
    <phoneticPr fontId="1" type="noConversion"/>
  </si>
  <si>
    <t>010-7704-4328</t>
    <phoneticPr fontId="1" type="noConversion"/>
  </si>
  <si>
    <t>3-54</t>
    <phoneticPr fontId="1" type="noConversion"/>
  </si>
  <si>
    <t>010-4139-5369</t>
    <phoneticPr fontId="1" type="noConversion"/>
  </si>
  <si>
    <t>24. 현대 (111고2357)</t>
    <phoneticPr fontId="1" type="noConversion"/>
  </si>
  <si>
    <t>010-5423-0578</t>
    <phoneticPr fontId="1" type="noConversion"/>
  </si>
  <si>
    <t>010-4143-5369</t>
    <phoneticPr fontId="1" type="noConversion"/>
  </si>
  <si>
    <t>010-5350-0578</t>
    <phoneticPr fontId="1" type="noConversion"/>
  </si>
  <si>
    <t>4-48</t>
    <phoneticPr fontId="1" type="noConversion"/>
  </si>
  <si>
    <t>010-5574-0229</t>
    <phoneticPr fontId="1" type="noConversion"/>
  </si>
  <si>
    <t>24. 삼성 (11구2836)</t>
    <phoneticPr fontId="1" type="noConversion"/>
  </si>
  <si>
    <t>김미경</t>
    <phoneticPr fontId="1" type="noConversion"/>
  </si>
  <si>
    <t>010-5620-0324</t>
    <phoneticPr fontId="1" type="noConversion"/>
  </si>
  <si>
    <t>24. 캐롯 (29수4153)</t>
    <phoneticPr fontId="1" type="noConversion"/>
  </si>
  <si>
    <t>5-80</t>
    <phoneticPr fontId="1" type="noConversion"/>
  </si>
  <si>
    <t>이영옥</t>
    <phoneticPr fontId="1" type="noConversion"/>
  </si>
  <si>
    <t>010-8001-2251</t>
    <phoneticPr fontId="1" type="noConversion"/>
  </si>
  <si>
    <t>배방읍 배방로 131 한라비발디101-702</t>
    <phoneticPr fontId="1" type="noConversion"/>
  </si>
  <si>
    <t>박성호</t>
    <phoneticPr fontId="1" type="noConversion"/>
  </si>
  <si>
    <t>010-4501-2251</t>
    <phoneticPr fontId="1" type="noConversion"/>
  </si>
  <si>
    <t>010-8805-5792</t>
    <phoneticPr fontId="1" type="noConversion"/>
  </si>
  <si>
    <t>24. DB (62두9685)</t>
    <phoneticPr fontId="1" type="noConversion"/>
  </si>
  <si>
    <t>010-5401-2421</t>
    <phoneticPr fontId="1" type="noConversion"/>
  </si>
  <si>
    <t>4-96</t>
    <phoneticPr fontId="1" type="noConversion"/>
  </si>
  <si>
    <t>하미숙</t>
    <phoneticPr fontId="1" type="noConversion"/>
  </si>
  <si>
    <t>010-8762-6236</t>
    <phoneticPr fontId="1" type="noConversion"/>
  </si>
  <si>
    <t>23. 메리츠 (193조7711)</t>
    <phoneticPr fontId="1" type="noConversion"/>
  </si>
  <si>
    <t>이진호</t>
    <phoneticPr fontId="1" type="noConversion"/>
  </si>
  <si>
    <t>010-9149-6236</t>
    <phoneticPr fontId="1" type="noConversion"/>
  </si>
  <si>
    <t>이서안</t>
    <phoneticPr fontId="1" type="noConversion"/>
  </si>
  <si>
    <t>이서준</t>
    <phoneticPr fontId="1" type="noConversion"/>
  </si>
  <si>
    <t>23. KB (서울강북파6049)</t>
    <phoneticPr fontId="1" type="noConversion"/>
  </si>
  <si>
    <t>3-96</t>
    <phoneticPr fontId="1" type="noConversion"/>
  </si>
  <si>
    <t>이용준</t>
    <phoneticPr fontId="1" type="noConversion"/>
  </si>
  <si>
    <t>010-6221-3674</t>
    <phoneticPr fontId="1" type="noConversion"/>
  </si>
  <si>
    <t>23. 삼성 (63어9609, 56로4775)</t>
    <phoneticPr fontId="1" type="noConversion"/>
  </si>
  <si>
    <t>정상영</t>
    <phoneticPr fontId="1" type="noConversion"/>
  </si>
  <si>
    <t>김성남</t>
    <phoneticPr fontId="1" type="noConversion"/>
  </si>
  <si>
    <t>23. 캐롯 (148무8006)</t>
    <phoneticPr fontId="1" type="noConversion"/>
  </si>
  <si>
    <t>1-110</t>
    <phoneticPr fontId="1" type="noConversion"/>
  </si>
  <si>
    <t>23. KB (93머5617)</t>
    <phoneticPr fontId="1" type="noConversion"/>
  </si>
  <si>
    <t>010-2078-4480</t>
    <phoneticPr fontId="1" type="noConversion"/>
  </si>
  <si>
    <t>23. DB (64머3939)</t>
    <phoneticPr fontId="1" type="noConversion"/>
  </si>
  <si>
    <t>23. DB (34버6474)</t>
    <phoneticPr fontId="1" type="noConversion"/>
  </si>
  <si>
    <t>이하정</t>
    <phoneticPr fontId="1" type="noConversion"/>
  </si>
  <si>
    <t>010-9133-7904</t>
    <phoneticPr fontId="1" type="noConversion"/>
  </si>
  <si>
    <t>24. KB (86나8342)</t>
    <phoneticPr fontId="1" type="noConversion"/>
  </si>
  <si>
    <t>23. 현대 (55저8756)</t>
    <phoneticPr fontId="1" type="noConversion"/>
  </si>
  <si>
    <t xml:space="preserve"> 6월28일메리츠 (139거3231)/ 6월22일 현대해상다이렉트</t>
    <phoneticPr fontId="1" type="noConversion"/>
  </si>
  <si>
    <t>010-2520-5003</t>
    <phoneticPr fontId="1" type="noConversion"/>
  </si>
  <si>
    <t>23. 삼성 (09모4861)</t>
    <phoneticPr fontId="1" type="noConversion"/>
  </si>
  <si>
    <t>010-7545-0717</t>
    <phoneticPr fontId="1" type="noConversion"/>
  </si>
  <si>
    <t>24. 캐롯 (59소9131)</t>
    <phoneticPr fontId="1" type="noConversion"/>
  </si>
  <si>
    <t>4-57</t>
    <phoneticPr fontId="1" type="noConversion"/>
  </si>
  <si>
    <t>010-9519-1919</t>
    <phoneticPr fontId="1" type="noConversion"/>
  </si>
  <si>
    <t>24. 삼성 (289구2926)</t>
    <phoneticPr fontId="1" type="noConversion"/>
  </si>
  <si>
    <t>010-3477-9062</t>
    <phoneticPr fontId="1" type="noConversion"/>
  </si>
  <si>
    <t>23. 삼성 (54누3298)</t>
    <phoneticPr fontId="1" type="noConversion"/>
  </si>
  <si>
    <t>010-8612-9062</t>
    <phoneticPr fontId="1" type="noConversion"/>
  </si>
  <si>
    <t>1-101</t>
    <phoneticPr fontId="1" type="noConversion"/>
  </si>
  <si>
    <t>010-5138-5495</t>
    <phoneticPr fontId="1" type="noConversion"/>
  </si>
  <si>
    <t>23. DB (17도1651, 57무7351)</t>
    <phoneticPr fontId="1" type="noConversion"/>
  </si>
  <si>
    <t>010-3004-7298</t>
    <phoneticPr fontId="1" type="noConversion"/>
  </si>
  <si>
    <t>010-4944-3319</t>
    <phoneticPr fontId="1" type="noConversion"/>
  </si>
  <si>
    <t>21. 삼성 (14라5362)</t>
    <phoneticPr fontId="1" type="noConversion"/>
  </si>
  <si>
    <t>23. DB (16보0693)</t>
    <phoneticPr fontId="1" type="noConversion"/>
  </si>
  <si>
    <t>김진경</t>
    <phoneticPr fontId="1" type="noConversion"/>
  </si>
  <si>
    <t>010-6828-1667</t>
    <phoneticPr fontId="1" type="noConversion"/>
  </si>
  <si>
    <t>최서진</t>
    <phoneticPr fontId="1" type="noConversion"/>
  </si>
  <si>
    <t>3-98</t>
  </si>
  <si>
    <t>24. 흥국 (64오 5553)</t>
    <phoneticPr fontId="1" type="noConversion"/>
  </si>
  <si>
    <t>010-5758-3369</t>
    <phoneticPr fontId="1" type="noConversion"/>
  </si>
  <si>
    <t>1-15</t>
    <phoneticPr fontId="1" type="noConversion"/>
  </si>
  <si>
    <t>010-2021-6370</t>
    <phoneticPr fontId="1" type="noConversion"/>
  </si>
  <si>
    <t>010-7434-6370</t>
    <phoneticPr fontId="1" type="noConversion"/>
  </si>
  <si>
    <t>23. 메리츠 (2227저9296)</t>
    <phoneticPr fontId="1" type="noConversion"/>
  </si>
  <si>
    <t>010-5170-6370</t>
    <phoneticPr fontId="1" type="noConversion"/>
  </si>
  <si>
    <t>이종상</t>
    <phoneticPr fontId="1" type="noConversion"/>
  </si>
  <si>
    <t>현대(140다6636)</t>
    <phoneticPr fontId="1" type="noConversion"/>
  </si>
  <si>
    <t>010-4022-0369</t>
    <phoneticPr fontId="1" type="noConversion"/>
  </si>
  <si>
    <t>23. 캐롯 (285마8921)</t>
    <phoneticPr fontId="1" type="noConversion"/>
  </si>
  <si>
    <t>010-9848-3236</t>
    <phoneticPr fontId="1" type="noConversion"/>
  </si>
  <si>
    <t>1-31</t>
    <phoneticPr fontId="1" type="noConversion"/>
  </si>
  <si>
    <t>010-3159-3773</t>
    <phoneticPr fontId="1" type="noConversion"/>
  </si>
  <si>
    <t>23. 삼성 (40어4913)</t>
    <phoneticPr fontId="1" type="noConversion"/>
  </si>
  <si>
    <t>23. 메리츠 (70어6587)</t>
    <phoneticPr fontId="1" type="noConversion"/>
  </si>
  <si>
    <t>23. 삼성 (28서9335)</t>
    <phoneticPr fontId="1" type="noConversion"/>
  </si>
  <si>
    <t>4-92</t>
    <phoneticPr fontId="1" type="noConversion"/>
  </si>
  <si>
    <t>임오식(최선자)</t>
    <phoneticPr fontId="1" type="noConversion"/>
  </si>
  <si>
    <t>010-8992-4608</t>
    <phoneticPr fontId="1" type="noConversion"/>
  </si>
  <si>
    <t>23. 삼성 (충남02로7307)</t>
    <phoneticPr fontId="1" type="noConversion"/>
  </si>
  <si>
    <t>1-87</t>
    <phoneticPr fontId="1" type="noConversion"/>
  </si>
  <si>
    <t>23. DB (47구6624)</t>
    <phoneticPr fontId="1" type="noConversion"/>
  </si>
  <si>
    <t>010-9107-3590</t>
    <phoneticPr fontId="1" type="noConversion"/>
  </si>
  <si>
    <t>23. 현대 (충남아산나5880)</t>
    <phoneticPr fontId="1" type="noConversion"/>
  </si>
  <si>
    <t>1-54</t>
    <phoneticPr fontId="1" type="noConversion"/>
  </si>
  <si>
    <t>010-4560-7153</t>
    <phoneticPr fontId="1" type="noConversion"/>
  </si>
  <si>
    <t>23. 캐롯 ( 317로9958)</t>
    <phoneticPr fontId="1" type="noConversion"/>
  </si>
  <si>
    <t>23. KB (충남80배1143)</t>
    <phoneticPr fontId="1" type="noConversion"/>
  </si>
  <si>
    <t>5-54</t>
    <phoneticPr fontId="1" type="noConversion"/>
  </si>
  <si>
    <t>7월18일</t>
    <phoneticPr fontId="1" type="noConversion"/>
  </si>
  <si>
    <t>김영호</t>
    <phoneticPr fontId="1" type="noConversion"/>
  </si>
  <si>
    <t>010-2724-4397</t>
    <phoneticPr fontId="1" type="noConversion"/>
  </si>
  <si>
    <t>두정역푸르지오@110동 1403호</t>
    <phoneticPr fontId="1" type="noConversion"/>
  </si>
  <si>
    <t>신정미</t>
    <phoneticPr fontId="1" type="noConversion"/>
  </si>
  <si>
    <t>010-9990-4397</t>
    <phoneticPr fontId="1" type="noConversion"/>
  </si>
  <si>
    <t>김옥진</t>
    <phoneticPr fontId="1" type="noConversion"/>
  </si>
  <si>
    <t>010-9160-0327</t>
    <phoneticPr fontId="1" type="noConversion"/>
  </si>
  <si>
    <t>서북구365 대우1차@109동 2304호</t>
    <phoneticPr fontId="1" type="noConversion"/>
  </si>
  <si>
    <t>신무웅</t>
    <phoneticPr fontId="1" type="noConversion"/>
  </si>
  <si>
    <t>010-4226-0065</t>
    <phoneticPr fontId="1" type="noConversion"/>
  </si>
  <si>
    <t>김예나</t>
    <phoneticPr fontId="1" type="noConversion"/>
  </si>
  <si>
    <t>김예찬</t>
    <phoneticPr fontId="1" type="noConversion"/>
  </si>
  <si>
    <t>1-69</t>
    <phoneticPr fontId="1" type="noConversion"/>
  </si>
  <si>
    <t>010-3033-6851</t>
    <phoneticPr fontId="1" type="noConversion"/>
  </si>
  <si>
    <t>23. TheK (32고3794)</t>
    <phoneticPr fontId="1" type="noConversion"/>
  </si>
  <si>
    <t>불당26로99 705동 1603호</t>
    <phoneticPr fontId="1" type="noConversion"/>
  </si>
  <si>
    <t>010-8938-6851</t>
    <phoneticPr fontId="1" type="noConversion"/>
  </si>
  <si>
    <t>MATSUOKEIKO</t>
    <phoneticPr fontId="1" type="noConversion"/>
  </si>
  <si>
    <t>010-5530-6851</t>
    <phoneticPr fontId="1" type="noConversion"/>
  </si>
  <si>
    <t>4-16</t>
    <phoneticPr fontId="1" type="noConversion"/>
  </si>
  <si>
    <t>010-8885-0677</t>
    <phoneticPr fontId="1" type="noConversion"/>
  </si>
  <si>
    <t>23. 메리츠 (282수6432)</t>
    <phoneticPr fontId="1" type="noConversion"/>
  </si>
  <si>
    <t>010-6301-4962</t>
    <phoneticPr fontId="1" type="noConversion"/>
  </si>
  <si>
    <t>4-15</t>
    <phoneticPr fontId="1" type="noConversion"/>
  </si>
  <si>
    <t>010-8816-8427</t>
    <phoneticPr fontId="1" type="noConversion"/>
  </si>
  <si>
    <t>22. 한화 (46무9927)</t>
    <phoneticPr fontId="1" type="noConversion"/>
  </si>
  <si>
    <t>010-2507-8427</t>
    <phoneticPr fontId="1" type="noConversion"/>
  </si>
  <si>
    <t>010-5453-8427</t>
    <phoneticPr fontId="1" type="noConversion"/>
  </si>
  <si>
    <t>4-53</t>
    <phoneticPr fontId="1" type="noConversion"/>
  </si>
  <si>
    <t>010-6228-8212</t>
    <phoneticPr fontId="1" type="noConversion"/>
  </si>
  <si>
    <t>23. 현대 (167누4329)</t>
    <phoneticPr fontId="1" type="noConversion"/>
  </si>
  <si>
    <t>010-3562-8212</t>
    <phoneticPr fontId="1" type="noConversion"/>
  </si>
  <si>
    <t>010-4998-8220</t>
    <phoneticPr fontId="1" type="noConversion"/>
  </si>
  <si>
    <t>010-6481-8212</t>
    <phoneticPr fontId="1" type="noConversion"/>
  </si>
  <si>
    <t>010-9334-8212</t>
    <phoneticPr fontId="1" type="noConversion"/>
  </si>
  <si>
    <t>010-7650-7761</t>
    <phoneticPr fontId="1" type="noConversion"/>
  </si>
  <si>
    <t>3-82</t>
    <phoneticPr fontId="1" type="noConversion"/>
  </si>
  <si>
    <t>010-5385-5219</t>
    <phoneticPr fontId="1" type="noConversion"/>
  </si>
  <si>
    <t>23. 삼성 (43로3758)</t>
    <phoneticPr fontId="1" type="noConversion"/>
  </si>
  <si>
    <t>5-4</t>
  </si>
  <si>
    <t>김창용</t>
    <phoneticPr fontId="1" type="noConversion"/>
  </si>
  <si>
    <t>010-7257-1662</t>
    <phoneticPr fontId="1" type="noConversion"/>
  </si>
  <si>
    <t>23. KB (56어5319)</t>
    <phoneticPr fontId="1" type="noConversion"/>
  </si>
  <si>
    <t>박경자</t>
    <phoneticPr fontId="1" type="noConversion"/>
  </si>
  <si>
    <t>010-4401-1662</t>
    <phoneticPr fontId="1" type="noConversion"/>
  </si>
  <si>
    <t>1-95</t>
    <phoneticPr fontId="1" type="noConversion"/>
  </si>
  <si>
    <t>010-6636-7087</t>
    <phoneticPr fontId="1" type="noConversion"/>
  </si>
  <si>
    <t>23. 삼성 (58우1241)</t>
    <phoneticPr fontId="1" type="noConversion"/>
  </si>
  <si>
    <t>010-4403-7087</t>
    <phoneticPr fontId="1" type="noConversion"/>
  </si>
  <si>
    <t>2-100</t>
    <phoneticPr fontId="1" type="noConversion"/>
  </si>
  <si>
    <t>010-4526-2797</t>
    <phoneticPr fontId="1" type="noConversion"/>
  </si>
  <si>
    <t>23. KB (13,보9625)</t>
    <phoneticPr fontId="1" type="noConversion"/>
  </si>
  <si>
    <t>010-5454-3706</t>
    <phoneticPr fontId="1" type="noConversion"/>
  </si>
  <si>
    <t>230802_메리츠(11,170원)</t>
    <phoneticPr fontId="1" type="noConversion"/>
  </si>
  <si>
    <t>23. DB (132도8973)</t>
    <phoneticPr fontId="1" type="noConversion"/>
  </si>
  <si>
    <t>23. 한화 (50무2919)</t>
    <phoneticPr fontId="1" type="noConversion"/>
  </si>
  <si>
    <t>3-7</t>
    <phoneticPr fontId="1" type="noConversion"/>
  </si>
  <si>
    <t>010-4409-9949</t>
    <phoneticPr fontId="1" type="noConversion"/>
  </si>
  <si>
    <t>23. 삼성 (36노 2448, 58노8717)</t>
    <phoneticPr fontId="1" type="noConversion"/>
  </si>
  <si>
    <t>010-4469-9949</t>
    <phoneticPr fontId="1" type="noConversion"/>
  </si>
  <si>
    <t>010-4499-7672</t>
    <phoneticPr fontId="1" type="noConversion"/>
  </si>
  <si>
    <t>3-99</t>
    <phoneticPr fontId="1" type="noConversion"/>
  </si>
  <si>
    <t>010-6222-9962</t>
    <phoneticPr fontId="1" type="noConversion"/>
  </si>
  <si>
    <t>24.한화(139소1894, 46거5951)</t>
    <phoneticPr fontId="1" type="noConversion"/>
  </si>
  <si>
    <t>010-9420-9962</t>
    <phoneticPr fontId="1" type="noConversion"/>
  </si>
  <si>
    <t>010-9410-0284</t>
    <phoneticPr fontId="1" type="noConversion"/>
  </si>
  <si>
    <t>서국원</t>
    <phoneticPr fontId="1" type="noConversion"/>
  </si>
  <si>
    <t>010-2868-3699</t>
    <phoneticPr fontId="1" type="noConversion"/>
  </si>
  <si>
    <t>현대(178소6657,39저5729)</t>
    <phoneticPr fontId="1" type="noConversion"/>
  </si>
  <si>
    <t>23. 현대 (337마4025)</t>
    <phoneticPr fontId="1" type="noConversion"/>
  </si>
  <si>
    <t>1-96</t>
    <phoneticPr fontId="1" type="noConversion"/>
  </si>
  <si>
    <t>010-6406-9415</t>
    <phoneticPr fontId="1" type="noConversion"/>
  </si>
  <si>
    <t>23. KB (62저0527)</t>
    <phoneticPr fontId="1" type="noConversion"/>
  </si>
  <si>
    <t>010-5392-4865</t>
    <phoneticPr fontId="1" type="noConversion"/>
  </si>
  <si>
    <t>한들물빛3로14</t>
  </si>
  <si>
    <t>예미지  102동  2401호</t>
  </si>
  <si>
    <t>010-3130-7274</t>
    <phoneticPr fontId="1" type="noConversion"/>
  </si>
  <si>
    <t>010-2971-2922</t>
  </si>
  <si>
    <t>23. 현대 (115두6422)</t>
    <phoneticPr fontId="1" type="noConversion"/>
  </si>
  <si>
    <t>1-14</t>
    <phoneticPr fontId="1" type="noConversion"/>
  </si>
  <si>
    <t>010-4758-0201</t>
    <phoneticPr fontId="1" type="noConversion"/>
  </si>
  <si>
    <t>23. 삼성 (55저3044)</t>
    <phoneticPr fontId="1" type="noConversion"/>
  </si>
  <si>
    <t>010-3279-6122</t>
    <phoneticPr fontId="1" type="noConversion"/>
  </si>
  <si>
    <t>23. 흥국 (160무8762)</t>
    <phoneticPr fontId="1" type="noConversion"/>
  </si>
  <si>
    <t>010-7578-5020</t>
    <phoneticPr fontId="1" type="noConversion"/>
  </si>
  <si>
    <t>010-2483-8475</t>
    <phoneticPr fontId="1" type="noConversion"/>
  </si>
  <si>
    <t>4-35</t>
    <phoneticPr fontId="1" type="noConversion"/>
  </si>
  <si>
    <t>010-4015-9316</t>
    <phoneticPr fontId="1" type="noConversion"/>
  </si>
  <si>
    <t>23. DB (38마4277, 07서3943)</t>
    <phoneticPr fontId="1" type="noConversion"/>
  </si>
  <si>
    <t>010-6323-5348</t>
    <phoneticPr fontId="1" type="noConversion"/>
  </si>
  <si>
    <t>2-42</t>
    <phoneticPr fontId="1" type="noConversion"/>
  </si>
  <si>
    <t>010-2499-4279</t>
    <phoneticPr fontId="1" type="noConversion"/>
  </si>
  <si>
    <t>23. DB (11어0442)</t>
    <phoneticPr fontId="1" type="noConversion"/>
  </si>
  <si>
    <t>010-2861-8261</t>
    <phoneticPr fontId="1" type="noConversion"/>
  </si>
  <si>
    <t>23. KB (94러8999)</t>
    <phoneticPr fontId="1" type="noConversion"/>
  </si>
  <si>
    <t>2-76</t>
    <phoneticPr fontId="1" type="noConversion"/>
  </si>
  <si>
    <t>010-5520-8136</t>
    <phoneticPr fontId="1" type="noConversion"/>
  </si>
  <si>
    <t>23. 삼성 (16저1686)</t>
    <phoneticPr fontId="1" type="noConversion"/>
  </si>
  <si>
    <t>010-8325-2797</t>
    <phoneticPr fontId="1" type="noConversion"/>
  </si>
  <si>
    <t>4-34</t>
    <phoneticPr fontId="1" type="noConversion"/>
  </si>
  <si>
    <t>010-9960-6782</t>
    <phoneticPr fontId="1" type="noConversion"/>
  </si>
  <si>
    <t>23. DB (95오1119)</t>
    <phoneticPr fontId="1" type="noConversion"/>
  </si>
  <si>
    <t>010-4753-2421</t>
    <phoneticPr fontId="1" type="noConversion"/>
  </si>
  <si>
    <t>23. 한화 (238도2287)</t>
    <phoneticPr fontId="1" type="noConversion"/>
  </si>
  <si>
    <t>230327_한화(26,282)</t>
    <phoneticPr fontId="1" type="noConversion"/>
  </si>
  <si>
    <t>010-6518-0613</t>
    <phoneticPr fontId="1" type="noConversion"/>
  </si>
  <si>
    <t>23. 현대 (27마7805)</t>
    <phoneticPr fontId="1" type="noConversion"/>
  </si>
  <si>
    <t>5-59</t>
    <phoneticPr fontId="1" type="noConversion"/>
  </si>
  <si>
    <t>7월20일</t>
    <phoneticPr fontId="1" type="noConversion"/>
  </si>
  <si>
    <t>김대진</t>
    <phoneticPr fontId="1" type="noConversion"/>
  </si>
  <si>
    <t>010-3706-6736</t>
    <phoneticPr fontId="1" type="noConversion"/>
  </si>
  <si>
    <t>서북구 성성6로 68, 302동 3002호</t>
  </si>
  <si>
    <t>5-20</t>
  </si>
  <si>
    <t>김장호</t>
    <phoneticPr fontId="1" type="noConversion"/>
  </si>
  <si>
    <t>010-4393-4945</t>
    <phoneticPr fontId="1" type="noConversion"/>
  </si>
  <si>
    <t>23. KB (18버3869)</t>
    <phoneticPr fontId="1" type="noConversion"/>
  </si>
  <si>
    <t>23. KB 충남아산바6623</t>
    <phoneticPr fontId="1" type="noConversion"/>
  </si>
  <si>
    <t>4-6</t>
    <phoneticPr fontId="1" type="noConversion"/>
  </si>
  <si>
    <t>010-3880-6599</t>
    <phoneticPr fontId="1" type="noConversion"/>
  </si>
  <si>
    <t>23. 삼성 (27노0449, 97다5604, 25소3593, 
23수8521)</t>
    <phoneticPr fontId="1" type="noConversion"/>
  </si>
  <si>
    <t>진희중</t>
    <phoneticPr fontId="1" type="noConversion"/>
  </si>
  <si>
    <t>010-6775-6599</t>
    <phoneticPr fontId="1" type="noConversion"/>
  </si>
  <si>
    <t>010-8643-6599</t>
    <phoneticPr fontId="1" type="noConversion"/>
  </si>
  <si>
    <t>1-146</t>
    <phoneticPr fontId="1" type="noConversion"/>
  </si>
  <si>
    <t>010-2661-1453</t>
    <phoneticPr fontId="1" type="noConversion"/>
  </si>
  <si>
    <t>3-31</t>
    <phoneticPr fontId="1" type="noConversion"/>
  </si>
  <si>
    <t>010-5219-7749</t>
    <phoneticPr fontId="1" type="noConversion"/>
  </si>
  <si>
    <t>23. KB (29오4327)</t>
    <phoneticPr fontId="1" type="noConversion"/>
  </si>
  <si>
    <t>010-8522-9214</t>
    <phoneticPr fontId="1" type="noConversion"/>
  </si>
  <si>
    <t>23. KB (169로8500)</t>
    <phoneticPr fontId="1" type="noConversion"/>
  </si>
  <si>
    <t>김형성</t>
    <phoneticPr fontId="1" type="noConversion"/>
  </si>
  <si>
    <t>010-3408-6902</t>
    <phoneticPr fontId="1" type="noConversion"/>
  </si>
  <si>
    <t>교직원공제회</t>
    <phoneticPr fontId="1" type="noConversion"/>
  </si>
  <si>
    <t>1-93</t>
    <phoneticPr fontId="1" type="noConversion"/>
  </si>
  <si>
    <t>010-3372-5494</t>
    <phoneticPr fontId="1" type="noConversion"/>
  </si>
  <si>
    <t>23. 현대 (02거1049)</t>
  </si>
  <si>
    <t>010-5115-5494</t>
    <phoneticPr fontId="1" type="noConversion"/>
  </si>
  <si>
    <t>5-82</t>
    <phoneticPr fontId="1" type="noConversion"/>
  </si>
  <si>
    <t>7월24일</t>
    <phoneticPr fontId="1" type="noConversion"/>
  </si>
  <si>
    <t>손번영</t>
    <phoneticPr fontId="1" type="noConversion"/>
  </si>
  <si>
    <t>010-9422-9631</t>
    <phoneticPr fontId="1" type="noConversion"/>
  </si>
  <si>
    <t>탕정면 선문로 385 홍익@ 103-702</t>
    <phoneticPr fontId="1" type="noConversion"/>
  </si>
  <si>
    <t>나형임</t>
    <phoneticPr fontId="1" type="noConversion"/>
  </si>
  <si>
    <t>010-2806-9632</t>
    <phoneticPr fontId="1" type="noConversion"/>
  </si>
  <si>
    <t>h147258*</t>
    <phoneticPr fontId="1" type="noConversion"/>
  </si>
  <si>
    <t>010-9426-0241</t>
    <phoneticPr fontId="1" type="noConversion"/>
  </si>
  <si>
    <t>23. 현대 (30고4165)</t>
    <phoneticPr fontId="1" type="noConversion"/>
  </si>
  <si>
    <t>010-9197-7730</t>
    <phoneticPr fontId="1" type="noConversion"/>
  </si>
  <si>
    <t>010-4634-7730</t>
    <phoneticPr fontId="1" type="noConversion"/>
  </si>
  <si>
    <t>4-59</t>
    <phoneticPr fontId="1" type="noConversion"/>
  </si>
  <si>
    <t>010-3957-7777</t>
    <phoneticPr fontId="1" type="noConversion"/>
  </si>
  <si>
    <t>23. DB (02로3196)</t>
    <phoneticPr fontId="1" type="noConversion"/>
  </si>
  <si>
    <t>1-74</t>
    <phoneticPr fontId="1" type="noConversion"/>
  </si>
  <si>
    <t>016-463-8233</t>
    <phoneticPr fontId="1" type="noConversion"/>
  </si>
  <si>
    <t>24. 삼성 802다2228 / 24. 삼성 183루5190</t>
    <phoneticPr fontId="1" type="noConversion"/>
  </si>
  <si>
    <t>5-14</t>
  </si>
  <si>
    <t>고성완</t>
    <phoneticPr fontId="1" type="noConversion"/>
  </si>
  <si>
    <t>010-6396-1301</t>
    <phoneticPr fontId="1" type="noConversion"/>
  </si>
  <si>
    <t>23. 현대 (75저8707)</t>
    <phoneticPr fontId="1" type="noConversion"/>
  </si>
  <si>
    <t>안정희</t>
    <phoneticPr fontId="1" type="noConversion"/>
  </si>
  <si>
    <t>010-2726-7695</t>
    <phoneticPr fontId="1" type="noConversion"/>
  </si>
  <si>
    <t>23. 현대 (54주5555)</t>
    <phoneticPr fontId="1" type="noConversion"/>
  </si>
  <si>
    <t>4-38</t>
    <phoneticPr fontId="1" type="noConversion"/>
  </si>
  <si>
    <t>010-2363-8437</t>
    <phoneticPr fontId="1" type="noConversion"/>
  </si>
  <si>
    <t>23. KB (55더5348)</t>
    <phoneticPr fontId="1" type="noConversion"/>
  </si>
  <si>
    <t>010-4363-8437</t>
    <phoneticPr fontId="1" type="noConversion"/>
  </si>
  <si>
    <t>3-87</t>
    <phoneticPr fontId="1" type="noConversion"/>
  </si>
  <si>
    <t>010-6558-9235</t>
    <phoneticPr fontId="1" type="noConversion"/>
  </si>
  <si>
    <t>23. 삼성 (110로1021)</t>
    <phoneticPr fontId="1" type="noConversion"/>
  </si>
  <si>
    <t>010-8838-6599</t>
    <phoneticPr fontId="1" type="noConversion"/>
  </si>
  <si>
    <t>4-82</t>
    <phoneticPr fontId="1" type="noConversion"/>
  </si>
  <si>
    <t>조흥식</t>
    <phoneticPr fontId="1" type="noConversion"/>
  </si>
  <si>
    <t>23. 현대 (72구2892)</t>
    <phoneticPr fontId="1" type="noConversion"/>
  </si>
  <si>
    <t>010-6323-9436</t>
    <phoneticPr fontId="1" type="noConversion"/>
  </si>
  <si>
    <t>23. 삼성 (28구7665)</t>
    <phoneticPr fontId="1" type="noConversion"/>
  </si>
  <si>
    <t>4-23</t>
    <phoneticPr fontId="1" type="noConversion"/>
  </si>
  <si>
    <t>오해진</t>
    <phoneticPr fontId="1" type="noConversion"/>
  </si>
  <si>
    <t>23. KB (42노1000)</t>
    <phoneticPr fontId="1" type="noConversion"/>
  </si>
  <si>
    <t>정아름</t>
    <phoneticPr fontId="1" type="noConversion"/>
  </si>
  <si>
    <t>정아라</t>
    <phoneticPr fontId="1" type="noConversion"/>
  </si>
  <si>
    <t>23. 한화 (16거1105)</t>
    <phoneticPr fontId="1" type="noConversion"/>
  </si>
  <si>
    <t>3-34</t>
    <phoneticPr fontId="1" type="noConversion"/>
  </si>
  <si>
    <t>010-7544-7087</t>
    <phoneticPr fontId="1" type="noConversion"/>
  </si>
  <si>
    <t>23. DB (06두0742)</t>
    <phoneticPr fontId="1" type="noConversion"/>
  </si>
  <si>
    <t>3-18</t>
    <phoneticPr fontId="1" type="noConversion"/>
  </si>
  <si>
    <t>황현철</t>
    <phoneticPr fontId="1" type="noConversion"/>
  </si>
  <si>
    <t>23. AXA (40라5030)</t>
    <phoneticPr fontId="1" type="noConversion"/>
  </si>
  <si>
    <t>신일혜</t>
    <phoneticPr fontId="1" type="noConversion"/>
  </si>
  <si>
    <t>010-6486-7386</t>
    <phoneticPr fontId="1" type="noConversion"/>
  </si>
  <si>
    <t>황유빈</t>
    <phoneticPr fontId="1" type="noConversion"/>
  </si>
  <si>
    <t>황도영</t>
    <phoneticPr fontId="1" type="noConversion"/>
  </si>
  <si>
    <t>23. KB (02다2764)</t>
    <phoneticPr fontId="1" type="noConversion"/>
  </si>
  <si>
    <t>23. DB (32수3573)</t>
    <phoneticPr fontId="1" type="noConversion"/>
  </si>
  <si>
    <t>23. KB (61러7765)</t>
    <phoneticPr fontId="1" type="noConversion"/>
  </si>
  <si>
    <t>5-28</t>
  </si>
  <si>
    <t>김성수</t>
    <phoneticPr fontId="1" type="noConversion"/>
  </si>
  <si>
    <t>010-4753-3067</t>
    <phoneticPr fontId="1" type="noConversion"/>
  </si>
  <si>
    <t>230802_메리츠(35,100원)</t>
    <phoneticPr fontId="1" type="noConversion"/>
  </si>
  <si>
    <t>230802_삼성(75,979원)</t>
    <phoneticPr fontId="1" type="noConversion"/>
  </si>
  <si>
    <t>유영순</t>
    <phoneticPr fontId="1" type="noConversion"/>
  </si>
  <si>
    <t>010-3035-8762</t>
    <phoneticPr fontId="1" type="noConversion"/>
  </si>
  <si>
    <t>23. KB (95수4393)</t>
    <phoneticPr fontId="1" type="noConversion"/>
  </si>
  <si>
    <t>230808_메리츠(35,530원)</t>
    <phoneticPr fontId="1" type="noConversion"/>
  </si>
  <si>
    <t>230808_삼성(49,520원)</t>
    <phoneticPr fontId="1" type="noConversion"/>
  </si>
  <si>
    <t>23. 삼성 (37다5443)</t>
    <phoneticPr fontId="1" type="noConversion"/>
  </si>
  <si>
    <t>010-9395-2028</t>
    <phoneticPr fontId="1" type="noConversion"/>
  </si>
  <si>
    <t>5-85</t>
    <phoneticPr fontId="1" type="noConversion"/>
  </si>
  <si>
    <t>삼성화재(93오4896)</t>
    <phoneticPr fontId="1" type="noConversion"/>
  </si>
  <si>
    <t>채미진</t>
    <phoneticPr fontId="1" type="noConversion"/>
  </si>
  <si>
    <t>010-2744-1725</t>
    <phoneticPr fontId="1" type="noConversion"/>
  </si>
  <si>
    <t>최흥수</t>
    <phoneticPr fontId="1" type="noConversion"/>
  </si>
  <si>
    <t>010-2689-8269</t>
    <phoneticPr fontId="1" type="noConversion"/>
  </si>
  <si>
    <t>23. 현대 (KMHF141CBKA264808000)</t>
    <phoneticPr fontId="1" type="noConversion"/>
  </si>
  <si>
    <t>임오식</t>
    <phoneticPr fontId="1" type="noConversion"/>
  </si>
  <si>
    <t>23. 현대 (81모0928)</t>
    <phoneticPr fontId="1" type="noConversion"/>
  </si>
  <si>
    <t>3-44</t>
    <phoneticPr fontId="1" type="noConversion"/>
  </si>
  <si>
    <t>010-4767-1118</t>
    <phoneticPr fontId="1" type="noConversion"/>
  </si>
  <si>
    <t>23. 삼성 (11저7600)</t>
    <phoneticPr fontId="1" type="noConversion"/>
  </si>
  <si>
    <t>010-8748-3933</t>
    <phoneticPr fontId="1" type="noConversion"/>
  </si>
  <si>
    <t>김용희</t>
    <phoneticPr fontId="1" type="noConversion"/>
  </si>
  <si>
    <t>010-8923-7295</t>
    <phoneticPr fontId="1" type="noConversion"/>
  </si>
  <si>
    <t>봉서산샛길 65 414동 306호</t>
    <phoneticPr fontId="1" type="noConversion"/>
  </si>
  <si>
    <t>23. DB (51구2928)</t>
    <phoneticPr fontId="1" type="noConversion"/>
  </si>
  <si>
    <t>24. 현대 (75누4147)</t>
    <phoneticPr fontId="1" type="noConversion"/>
  </si>
  <si>
    <t>1-3</t>
    <phoneticPr fontId="1" type="noConversion"/>
  </si>
  <si>
    <t>010-3271-6672</t>
    <phoneticPr fontId="1" type="noConversion"/>
  </si>
  <si>
    <t>23. 메리츠 (32무5856)</t>
    <phoneticPr fontId="1" type="noConversion"/>
  </si>
  <si>
    <t>4-72</t>
    <phoneticPr fontId="1" type="noConversion"/>
  </si>
  <si>
    <t>010-4359-6938</t>
    <phoneticPr fontId="1" type="noConversion"/>
  </si>
  <si>
    <t>23. The K (09노5393)</t>
    <phoneticPr fontId="1" type="noConversion"/>
  </si>
  <si>
    <t>010-4043-1499</t>
    <phoneticPr fontId="1" type="noConversion"/>
  </si>
  <si>
    <t>23. DB (33누6416)</t>
    <phoneticPr fontId="1" type="noConversion"/>
  </si>
  <si>
    <t>김준범</t>
    <phoneticPr fontId="1" type="noConversion"/>
  </si>
  <si>
    <t>010-2774-6809</t>
    <phoneticPr fontId="1" type="noConversion"/>
  </si>
  <si>
    <t>23. KB (25주1578)_다이렉트</t>
    <phoneticPr fontId="1" type="noConversion"/>
  </si>
  <si>
    <t>070919_한화(121,640)</t>
    <phoneticPr fontId="1" type="noConversion"/>
  </si>
  <si>
    <t>3-90</t>
    <phoneticPr fontId="1" type="noConversion"/>
  </si>
  <si>
    <t>이원준</t>
    <phoneticPr fontId="1" type="noConversion"/>
  </si>
  <si>
    <t>010-5035-2602</t>
    <phoneticPr fontId="1" type="noConversion"/>
  </si>
  <si>
    <t>23. 삼성 (174소2571)</t>
    <phoneticPr fontId="1" type="noConversion"/>
  </si>
  <si>
    <t>심재희</t>
    <phoneticPr fontId="1" type="noConversion"/>
  </si>
  <si>
    <t>010-4807-4690</t>
    <phoneticPr fontId="1" type="noConversion"/>
  </si>
  <si>
    <t>1-116</t>
    <phoneticPr fontId="1" type="noConversion"/>
  </si>
  <si>
    <t>010-3812-9803</t>
    <phoneticPr fontId="1" type="noConversion"/>
  </si>
  <si>
    <t>23. AXA (18두8993, 19보7235)_다이렉트</t>
    <phoneticPr fontId="1" type="noConversion"/>
  </si>
  <si>
    <t>190709_AXA(10,850원)</t>
    <phoneticPr fontId="1" type="noConversion"/>
  </si>
  <si>
    <t>010-2678-9803</t>
    <phoneticPr fontId="1" type="noConversion"/>
  </si>
  <si>
    <t>010-8758-5317</t>
    <phoneticPr fontId="1" type="noConversion"/>
  </si>
  <si>
    <t>1-61</t>
    <phoneticPr fontId="1" type="noConversion"/>
  </si>
  <si>
    <t>010-2785-8508</t>
    <phoneticPr fontId="1" type="noConversion"/>
  </si>
  <si>
    <t>23. 현대 (50고6243, 02주8691)_다이렉트</t>
    <phoneticPr fontId="1" type="noConversion"/>
  </si>
  <si>
    <t>200902_현대(22,570원)</t>
    <phoneticPr fontId="1" type="noConversion"/>
  </si>
  <si>
    <t>010-6202-5579</t>
    <phoneticPr fontId="1" type="noConversion"/>
  </si>
  <si>
    <t>312-86-67698</t>
    <phoneticPr fontId="1" type="noConversion"/>
  </si>
  <si>
    <t>1-2</t>
    <phoneticPr fontId="1" type="noConversion"/>
  </si>
  <si>
    <t>010-4151-7935</t>
    <phoneticPr fontId="1" type="noConversion"/>
  </si>
  <si>
    <t>23. 메리츠 (13루80554)</t>
    <phoneticPr fontId="1" type="noConversion"/>
  </si>
  <si>
    <t>23. DB (29고7375)</t>
    <phoneticPr fontId="1" type="noConversion"/>
  </si>
  <si>
    <t>201106_DB(13,950원)</t>
    <phoneticPr fontId="1" type="noConversion"/>
  </si>
  <si>
    <t>23. DB (충남15고6168)</t>
    <phoneticPr fontId="1" type="noConversion"/>
  </si>
  <si>
    <t>정호성</t>
    <phoneticPr fontId="1" type="noConversion"/>
  </si>
  <si>
    <t>23. KB (69보1615)</t>
    <phoneticPr fontId="1" type="noConversion"/>
  </si>
  <si>
    <t>101011_한화(96,620원)
221017_삼성(24,125원)</t>
    <phoneticPr fontId="1" type="noConversion"/>
  </si>
  <si>
    <t>정현철</t>
    <phoneticPr fontId="1" type="noConversion"/>
  </si>
  <si>
    <t>23. DB (92도6484)</t>
    <phoneticPr fontId="1" type="noConversion"/>
  </si>
  <si>
    <t>4-80</t>
    <phoneticPr fontId="1" type="noConversion"/>
  </si>
  <si>
    <t>박희준</t>
    <phoneticPr fontId="1" type="noConversion"/>
  </si>
  <si>
    <t>010-2077-8174</t>
    <phoneticPr fontId="1" type="noConversion"/>
  </si>
  <si>
    <t>23. 삼성 (37무0631)</t>
    <phoneticPr fontId="1" type="noConversion"/>
  </si>
  <si>
    <t>박재식</t>
    <phoneticPr fontId="1" type="noConversion"/>
  </si>
  <si>
    <t>010-3302-8136</t>
    <phoneticPr fontId="1" type="noConversion"/>
  </si>
  <si>
    <t>김은미</t>
    <phoneticPr fontId="1" type="noConversion"/>
  </si>
  <si>
    <t>010-2376-8174</t>
    <phoneticPr fontId="1" type="noConversion"/>
  </si>
  <si>
    <t>23. KB (경기15고7602)</t>
    <phoneticPr fontId="1" type="noConversion"/>
  </si>
  <si>
    <t>23. DB (61모0992, 01루0501)</t>
    <phoneticPr fontId="1" type="noConversion"/>
  </si>
  <si>
    <t>211126_삼성(30,093)</t>
    <phoneticPr fontId="1" type="noConversion"/>
  </si>
  <si>
    <t>010-4584-9629</t>
    <phoneticPr fontId="1" type="noConversion"/>
  </si>
  <si>
    <t>010-9015-7887</t>
    <phoneticPr fontId="1" type="noConversion"/>
  </si>
  <si>
    <t>맹승후</t>
    <phoneticPr fontId="1" type="noConversion"/>
  </si>
  <si>
    <t>맹소연</t>
    <phoneticPr fontId="1" type="noConversion"/>
  </si>
  <si>
    <t>010-4445-1470</t>
    <phoneticPr fontId="1" type="noConversion"/>
  </si>
  <si>
    <t>23. DB (64노3128)</t>
    <phoneticPr fontId="1" type="noConversion"/>
  </si>
  <si>
    <t>220902_DB(12,210)
190726_현대(21,000)</t>
    <phoneticPr fontId="1" type="noConversion"/>
  </si>
  <si>
    <t>010-5216-2398</t>
    <phoneticPr fontId="1" type="noConversion"/>
  </si>
  <si>
    <t>2-29</t>
    <phoneticPr fontId="1" type="noConversion"/>
  </si>
  <si>
    <t>조춘일</t>
    <phoneticPr fontId="1" type="noConversion"/>
  </si>
  <si>
    <t>010-7205-7080</t>
    <phoneticPr fontId="1" type="noConversion"/>
  </si>
  <si>
    <t>23. DB (충남80배1487)</t>
    <phoneticPr fontId="1" type="noConversion"/>
  </si>
  <si>
    <t>박정미</t>
    <phoneticPr fontId="1" type="noConversion"/>
  </si>
  <si>
    <t>010-4193-9100</t>
    <phoneticPr fontId="1" type="noConversion"/>
  </si>
  <si>
    <t>조성도</t>
    <phoneticPr fontId="1" type="noConversion"/>
  </si>
  <si>
    <t>조은비</t>
    <phoneticPr fontId="1" type="noConversion"/>
  </si>
  <si>
    <t>010-5530-0118</t>
    <phoneticPr fontId="1" type="noConversion"/>
  </si>
  <si>
    <t>3-65/4-71</t>
    <phoneticPr fontId="1" type="noConversion"/>
  </si>
  <si>
    <t>이상호</t>
    <phoneticPr fontId="1" type="noConversion"/>
  </si>
  <si>
    <t>010-2616-2355</t>
    <phoneticPr fontId="1" type="noConversion"/>
  </si>
  <si>
    <t>23. DB (부산중사2698)</t>
    <phoneticPr fontId="1" type="noConversion"/>
  </si>
  <si>
    <t>010-2883-4210</t>
    <phoneticPr fontId="1" type="noConversion"/>
  </si>
  <si>
    <t>010-3857-4210</t>
    <phoneticPr fontId="1" type="noConversion"/>
  </si>
  <si>
    <t>09월 05일</t>
    <phoneticPr fontId="1" type="noConversion"/>
  </si>
  <si>
    <t>21다8779 / KNACJ811BET081332업무용승용소형A2(800cc초과</t>
    <phoneticPr fontId="1" type="noConversion"/>
  </si>
  <si>
    <t>5-84</t>
    <phoneticPr fontId="1" type="noConversion"/>
  </si>
  <si>
    <t>울산 남구 두왕로 190번길 75,503호</t>
    <phoneticPr fontId="1" type="noConversion"/>
  </si>
  <si>
    <t>방옥남</t>
    <phoneticPr fontId="1" type="noConversion"/>
  </si>
  <si>
    <t>010-3285-1766</t>
    <phoneticPr fontId="1" type="noConversion"/>
  </si>
  <si>
    <t>현대해상(32루0117)</t>
    <phoneticPr fontId="1" type="noConversion"/>
  </si>
  <si>
    <t>3-101</t>
    <phoneticPr fontId="1" type="noConversion"/>
  </si>
  <si>
    <t>010-2704-7297</t>
    <phoneticPr fontId="1" type="noConversion"/>
  </si>
  <si>
    <t>23. DB (160저6918)_다이렉트</t>
    <phoneticPr fontId="1" type="noConversion"/>
  </si>
  <si>
    <t>221115_DB(13,260원)</t>
    <phoneticPr fontId="1" type="noConversion"/>
  </si>
  <si>
    <t>010-4820-4139</t>
    <phoneticPr fontId="1" type="noConversion"/>
  </si>
  <si>
    <t>23. DB (139두9507)_다이렉트</t>
    <phoneticPr fontId="1" type="noConversion"/>
  </si>
  <si>
    <t>210405_KB(23,690원)</t>
    <phoneticPr fontId="1" type="noConversion"/>
  </si>
  <si>
    <t>5-78</t>
    <phoneticPr fontId="1" type="noConversion"/>
  </si>
  <si>
    <t>신지민</t>
    <phoneticPr fontId="1" type="noConversion"/>
  </si>
  <si>
    <t>010-4942-9490</t>
    <phoneticPr fontId="1" type="noConversion"/>
  </si>
  <si>
    <t>창원 성산구 외동반림로 219현대@104-205</t>
    <phoneticPr fontId="1" type="noConversion"/>
  </si>
  <si>
    <t>신민재</t>
    <phoneticPr fontId="1" type="noConversion"/>
  </si>
  <si>
    <t>010-5613-5920</t>
  </si>
  <si>
    <t>천안시 서북구 불당동 불당 25로8 303동2002호</t>
  </si>
  <si>
    <t>구혜경</t>
    <phoneticPr fontId="1" type="noConversion"/>
  </si>
  <si>
    <t>010-7345-9998</t>
    <phoneticPr fontId="1" type="noConversion"/>
  </si>
  <si>
    <t>신용호</t>
    <phoneticPr fontId="1" type="noConversion"/>
  </si>
  <si>
    <t>010-6243-9490</t>
    <phoneticPr fontId="1" type="noConversion"/>
  </si>
  <si>
    <t>23. 삼성 (42고0255)</t>
    <phoneticPr fontId="1" type="noConversion"/>
  </si>
  <si>
    <t>220412_메리츠(29,200원)</t>
    <phoneticPr fontId="1" type="noConversion"/>
  </si>
  <si>
    <t>김세연</t>
    <phoneticPr fontId="1" type="noConversion"/>
  </si>
  <si>
    <t>김소연</t>
    <phoneticPr fontId="1" type="noConversion"/>
  </si>
  <si>
    <t>김아연</t>
    <phoneticPr fontId="1" type="noConversion"/>
  </si>
  <si>
    <t>1-129/4-61</t>
    <phoneticPr fontId="1" type="noConversion"/>
  </si>
  <si>
    <t>010-7979-2705</t>
    <phoneticPr fontId="1" type="noConversion"/>
  </si>
  <si>
    <t>23. 메리츠 (11루9384)</t>
    <phoneticPr fontId="1" type="noConversion"/>
  </si>
  <si>
    <t>200907_현대(27,610원)</t>
    <phoneticPr fontId="1" type="noConversion"/>
  </si>
  <si>
    <t>5-11</t>
  </si>
  <si>
    <t>허경순</t>
    <phoneticPr fontId="1" type="noConversion"/>
  </si>
  <si>
    <t>010-8576-5912</t>
    <phoneticPr fontId="1" type="noConversion"/>
  </si>
  <si>
    <t>22. 현대 (19두5006)</t>
    <phoneticPr fontId="1" type="noConversion"/>
  </si>
  <si>
    <t>230626_현대(25,000원)</t>
    <phoneticPr fontId="1" type="noConversion"/>
  </si>
  <si>
    <t>230703_삼성(92,180원)</t>
    <phoneticPr fontId="1" type="noConversion"/>
  </si>
  <si>
    <t>청주시 흥덕구 신기로 101</t>
    <phoneticPr fontId="1" type="noConversion"/>
  </si>
  <si>
    <t>남선우</t>
    <phoneticPr fontId="1" type="noConversion"/>
  </si>
  <si>
    <t>010-4723-6120</t>
    <phoneticPr fontId="1" type="noConversion"/>
  </si>
  <si>
    <t>23. KB (31버8120)_다이렉트</t>
    <phoneticPr fontId="1" type="noConversion"/>
  </si>
  <si>
    <t>200911_현대(15,280원)</t>
    <phoneticPr fontId="1" type="noConversion"/>
  </si>
  <si>
    <t>23. KB (123서8448)_다이렉트</t>
    <phoneticPr fontId="1" type="noConversion"/>
  </si>
  <si>
    <t>210707_KB(28,000원)
081127_흥국(55,879원)</t>
    <phoneticPr fontId="1" type="noConversion"/>
  </si>
  <si>
    <t>230526_삼성(42,655원)</t>
    <phoneticPr fontId="1" type="noConversion"/>
  </si>
  <si>
    <t>4-39</t>
    <phoneticPr fontId="1" type="noConversion"/>
  </si>
  <si>
    <t>010-8715-0470</t>
    <phoneticPr fontId="1" type="noConversion"/>
  </si>
  <si>
    <t>23. DB (158주7560)_다이렉트</t>
    <phoneticPr fontId="1" type="noConversion"/>
  </si>
  <si>
    <t>010-8462-3452</t>
    <phoneticPr fontId="1" type="noConversion"/>
  </si>
  <si>
    <t>010-8709-3455</t>
    <phoneticPr fontId="1" type="noConversion"/>
  </si>
  <si>
    <t>010-8577-5225</t>
    <phoneticPr fontId="1" type="noConversion"/>
  </si>
  <si>
    <t>23. 메리츠 (42고0220)</t>
    <phoneticPr fontId="1" type="noConversion"/>
  </si>
  <si>
    <t>190710_메리츠(32,590원)</t>
    <phoneticPr fontId="1" type="noConversion"/>
  </si>
  <si>
    <t>23. DB (145무8711)_다이렉트</t>
    <phoneticPr fontId="1" type="noConversion"/>
  </si>
  <si>
    <t>200508_DB(49,686원)</t>
    <phoneticPr fontId="1" type="noConversion"/>
  </si>
  <si>
    <t>박선규</t>
    <phoneticPr fontId="1" type="noConversion"/>
  </si>
  <si>
    <t>23. 삼성 (308누1741, 85보1100, 90마0240)_다이렉트</t>
    <phoneticPr fontId="1" type="noConversion"/>
  </si>
  <si>
    <t>조홍식</t>
    <phoneticPr fontId="1" type="noConversion"/>
  </si>
  <si>
    <t>23. KB (21서6072, 40어7575, 97모5340)</t>
    <phoneticPr fontId="1" type="noConversion"/>
  </si>
  <si>
    <t>200603_메리츠(70,460원)</t>
    <phoneticPr fontId="1" type="noConversion"/>
  </si>
  <si>
    <t>5-76</t>
    <phoneticPr fontId="1" type="noConversion"/>
  </si>
  <si>
    <t>9/24(2대)</t>
    <phoneticPr fontId="1" type="noConversion"/>
  </si>
  <si>
    <t>임재은</t>
    <phoneticPr fontId="1" type="noConversion"/>
  </si>
  <si>
    <t>010-8807-9723</t>
    <phoneticPr fontId="1" type="noConversion"/>
  </si>
  <si>
    <t>010-3387-2524</t>
    <phoneticPr fontId="1" type="noConversion"/>
  </si>
  <si>
    <t>23. 삼성 (11부4347)_다이렉트</t>
    <phoneticPr fontId="1" type="noConversion"/>
  </si>
  <si>
    <t>220925_삼성(금액미표시)</t>
    <phoneticPr fontId="1" type="noConversion"/>
  </si>
  <si>
    <t>010-9024-6515</t>
    <phoneticPr fontId="1" type="noConversion"/>
  </si>
  <si>
    <t>4-99</t>
    <phoneticPr fontId="1" type="noConversion"/>
  </si>
  <si>
    <t>김민희</t>
    <phoneticPr fontId="1" type="noConversion"/>
  </si>
  <si>
    <t>010-5484-5579</t>
    <phoneticPr fontId="1" type="noConversion"/>
  </si>
  <si>
    <t>23. 삼성 (41구3603)_다이렉트</t>
    <phoneticPr fontId="1" type="noConversion"/>
  </si>
  <si>
    <t>230609_메리츠(18,890원)</t>
    <phoneticPr fontId="1" type="noConversion"/>
  </si>
  <si>
    <t>이재만</t>
    <phoneticPr fontId="1" type="noConversion"/>
  </si>
  <si>
    <t>010-3093-5579</t>
    <phoneticPr fontId="1" type="noConversion"/>
  </si>
  <si>
    <t>23. 메리츠 (92고2818)</t>
    <phoneticPr fontId="1" type="noConversion"/>
  </si>
  <si>
    <t>220520_현대(62,610원)</t>
    <phoneticPr fontId="1" type="noConversion"/>
  </si>
  <si>
    <t>23. 삼성 (21모0935, 01조5381)_다이렉트</t>
    <phoneticPr fontId="1" type="noConversion"/>
  </si>
  <si>
    <t>22. KB (64아4392)</t>
    <phoneticPr fontId="1" type="noConversion"/>
  </si>
  <si>
    <t>2-73</t>
    <phoneticPr fontId="1" type="noConversion"/>
  </si>
  <si>
    <t>010-8603-0102</t>
    <phoneticPr fontId="1" type="noConversion"/>
  </si>
  <si>
    <t>23. DB (64모1079, 13오3703)</t>
    <phoneticPr fontId="1" type="noConversion"/>
  </si>
  <si>
    <t>230112_현대(10,240원)</t>
    <phoneticPr fontId="1" type="noConversion"/>
  </si>
  <si>
    <t>5-86</t>
    <phoneticPr fontId="1" type="noConversion"/>
  </si>
  <si>
    <t>10월04일</t>
    <phoneticPr fontId="1" type="noConversion"/>
  </si>
  <si>
    <t>이상오</t>
    <phoneticPr fontId="1" type="noConversion"/>
  </si>
  <si>
    <t>010-2488-5681</t>
    <phoneticPr fontId="1" type="noConversion"/>
  </si>
  <si>
    <t>메리츠화재(다이렉트)</t>
    <phoneticPr fontId="1" type="noConversion"/>
  </si>
  <si>
    <t>대전 동구 동대전로46번길 30</t>
  </si>
  <si>
    <t>안미숙</t>
    <phoneticPr fontId="1" type="noConversion"/>
  </si>
  <si>
    <t>010-8488-5681</t>
    <phoneticPr fontId="1" type="noConversion"/>
  </si>
  <si>
    <t xml:space="preserve">105-2601호 </t>
  </si>
  <si>
    <t>5-19</t>
  </si>
  <si>
    <t>임민정</t>
    <phoneticPr fontId="1" type="noConversion"/>
  </si>
  <si>
    <t>010-3357-0602</t>
    <phoneticPr fontId="1" type="noConversion"/>
  </si>
  <si>
    <t>DB(114모6551)</t>
    <phoneticPr fontId="1" type="noConversion"/>
  </si>
  <si>
    <t>이윤하</t>
    <phoneticPr fontId="1" type="noConversion"/>
  </si>
  <si>
    <t>1-67</t>
    <phoneticPr fontId="1" type="noConversion"/>
  </si>
  <si>
    <t>010-7166-0004</t>
    <phoneticPr fontId="1" type="noConversion"/>
  </si>
  <si>
    <t>23. 삼성 (26수5170, 224오2131)</t>
    <phoneticPr fontId="1" type="noConversion"/>
  </si>
  <si>
    <t>221222_DB(20,410원)</t>
    <phoneticPr fontId="1" type="noConversion"/>
  </si>
  <si>
    <t>010-4666-3063</t>
    <phoneticPr fontId="1" type="noConversion"/>
  </si>
  <si>
    <t>221219_DB(26,800원)</t>
    <phoneticPr fontId="1" type="noConversion"/>
  </si>
  <si>
    <t>이경순</t>
    <phoneticPr fontId="1" type="noConversion"/>
  </si>
  <si>
    <t>010-3194-3377</t>
    <phoneticPr fontId="1" type="noConversion"/>
  </si>
  <si>
    <t>유안라</t>
    <phoneticPr fontId="1" type="noConversion"/>
  </si>
  <si>
    <t>010-9016-9555</t>
    <phoneticPr fontId="1" type="noConversion"/>
  </si>
  <si>
    <t>23. 삼성 (114오5601, 360두5480, 48버3739)</t>
    <phoneticPr fontId="1" type="noConversion"/>
  </si>
  <si>
    <t>24.현대(충남아산나4553)_다이렉트</t>
    <phoneticPr fontId="1" type="noConversion"/>
  </si>
  <si>
    <t>090202_현대(226,410원)</t>
    <phoneticPr fontId="1" type="noConversion"/>
  </si>
  <si>
    <t>24. DB (67누6311, 39머0284)</t>
    <phoneticPr fontId="1" type="noConversion"/>
  </si>
  <si>
    <t>230526_현대(44,320원)</t>
    <phoneticPr fontId="1" type="noConversion"/>
  </si>
  <si>
    <t>23. 현대 (충남아산나4553)_다이렉트</t>
    <phoneticPr fontId="1" type="noConversion"/>
  </si>
  <si>
    <t>191107_메리츠(12,530원)</t>
    <phoneticPr fontId="1" type="noConversion"/>
  </si>
  <si>
    <t>23. 삼성(183루5190)</t>
    <phoneticPr fontId="1" type="noConversion"/>
  </si>
  <si>
    <t>3-61</t>
    <phoneticPr fontId="1" type="noConversion"/>
  </si>
  <si>
    <t>010-8803-2365</t>
    <phoneticPr fontId="1" type="noConversion"/>
  </si>
  <si>
    <t>23. 캐롯 (66루9400)</t>
    <phoneticPr fontId="1" type="noConversion"/>
  </si>
  <si>
    <t>170217_메리츠(11,520원)</t>
    <phoneticPr fontId="1" type="noConversion"/>
  </si>
  <si>
    <t>김미연</t>
    <phoneticPr fontId="1" type="noConversion"/>
  </si>
  <si>
    <t>010-9989-5524</t>
    <phoneticPr fontId="1" type="noConversion"/>
  </si>
  <si>
    <t>010-7158-8161</t>
    <phoneticPr fontId="1" type="noConversion"/>
  </si>
  <si>
    <t>23. 삼성 (47도2615)_다이렉트</t>
    <phoneticPr fontId="1" type="noConversion"/>
  </si>
  <si>
    <t>220823_현대(20,480원)</t>
    <phoneticPr fontId="1" type="noConversion"/>
  </si>
  <si>
    <t>010-4418-1127</t>
    <phoneticPr fontId="1" type="noConversion"/>
  </si>
  <si>
    <t>010-5122-1780</t>
    <phoneticPr fontId="1" type="noConversion"/>
  </si>
  <si>
    <t>23. KB (135두5522)_다이렉트</t>
    <phoneticPr fontId="1" type="noConversion"/>
  </si>
  <si>
    <t>230413_DB(20,700원)</t>
    <phoneticPr fontId="1" type="noConversion"/>
  </si>
  <si>
    <t>010-8281-8296</t>
    <phoneticPr fontId="1" type="noConversion"/>
  </si>
  <si>
    <t>23. 현대 (08서0292)_다이렉트</t>
    <phoneticPr fontId="1" type="noConversion"/>
  </si>
  <si>
    <t>190516_메리츠(36,610원)</t>
    <phoneticPr fontId="1" type="noConversion"/>
  </si>
  <si>
    <t>010-4195-6660</t>
    <phoneticPr fontId="1" type="noConversion"/>
  </si>
  <si>
    <t>010-2528-6556</t>
    <phoneticPr fontId="1" type="noConversion"/>
  </si>
  <si>
    <t>23. DB (50너0771)</t>
    <phoneticPr fontId="1" type="noConversion"/>
  </si>
  <si>
    <t>1-105</t>
    <phoneticPr fontId="1" type="noConversion"/>
  </si>
  <si>
    <t>010-8109-0019</t>
    <phoneticPr fontId="1" type="noConversion"/>
  </si>
  <si>
    <t>23. DB (57라1547)</t>
    <phoneticPr fontId="1" type="noConversion"/>
  </si>
  <si>
    <t>4-5</t>
    <phoneticPr fontId="1" type="noConversion"/>
  </si>
  <si>
    <t>23. DB (24고7119)</t>
    <phoneticPr fontId="1" type="noConversion"/>
  </si>
  <si>
    <t>010-5142-6759</t>
    <phoneticPr fontId="1" type="noConversion"/>
  </si>
  <si>
    <t>23. 삼성 (59조0211)</t>
    <phoneticPr fontId="1" type="noConversion"/>
  </si>
  <si>
    <t>4-81</t>
    <phoneticPr fontId="1" type="noConversion"/>
  </si>
  <si>
    <t>최효정</t>
    <phoneticPr fontId="1" type="noConversion"/>
  </si>
  <si>
    <t>010-6406-3242</t>
    <phoneticPr fontId="1" type="noConversion"/>
  </si>
  <si>
    <t>22. DB (52다3768)</t>
    <phoneticPr fontId="1" type="noConversion"/>
  </si>
  <si>
    <t>정영준</t>
    <phoneticPr fontId="1" type="noConversion"/>
  </si>
  <si>
    <t>정석민</t>
    <phoneticPr fontId="1" type="noConversion"/>
  </si>
  <si>
    <t>정은혜</t>
    <phoneticPr fontId="1" type="noConversion"/>
  </si>
  <si>
    <t>정정환</t>
    <phoneticPr fontId="1" type="noConversion"/>
  </si>
  <si>
    <t>4-18</t>
    <phoneticPr fontId="1" type="noConversion"/>
  </si>
  <si>
    <t>010-4119-6318</t>
    <phoneticPr fontId="1" type="noConversion"/>
  </si>
  <si>
    <t>23. 현대 (58주1285)</t>
    <phoneticPr fontId="1" type="noConversion"/>
  </si>
  <si>
    <t>한결</t>
  </si>
  <si>
    <t>010-7183-9240</t>
    <phoneticPr fontId="1" type="noConversion"/>
  </si>
  <si>
    <t>23. 현대 (26더7808)</t>
    <phoneticPr fontId="1" type="noConversion"/>
  </si>
  <si>
    <t>010-4406-9240</t>
    <phoneticPr fontId="1" type="noConversion"/>
  </si>
  <si>
    <t>1-134</t>
    <phoneticPr fontId="1" type="noConversion"/>
  </si>
  <si>
    <t>010-2396-9602</t>
    <phoneticPr fontId="1" type="noConversion"/>
  </si>
  <si>
    <t>23.삼성 (307서7476, 68두9325)</t>
    <phoneticPr fontId="1" type="noConversion"/>
  </si>
  <si>
    <t>010-3645-9602</t>
    <phoneticPr fontId="1" type="noConversion"/>
  </si>
  <si>
    <t>010-9191-9602</t>
    <phoneticPr fontId="1" type="noConversion"/>
  </si>
  <si>
    <t>010-3717-7153</t>
    <phoneticPr fontId="1" type="noConversion"/>
  </si>
  <si>
    <t>23. KB (09나5191)_다이렉트</t>
    <phoneticPr fontId="1" type="noConversion"/>
  </si>
  <si>
    <t>230127_DB(33,780원)
100524_메리츠(157,400원)</t>
    <phoneticPr fontId="1" type="noConversion"/>
  </si>
  <si>
    <t>010-9329-7153</t>
    <phoneticPr fontId="1" type="noConversion"/>
  </si>
  <si>
    <t>2-82</t>
    <phoneticPr fontId="1" type="noConversion"/>
  </si>
  <si>
    <t>010-3511-4892</t>
    <phoneticPr fontId="1" type="noConversion"/>
  </si>
  <si>
    <t>23. DB (26머3873, 284라7798)</t>
    <phoneticPr fontId="1" type="noConversion"/>
  </si>
  <si>
    <t>010-3520-4892</t>
    <phoneticPr fontId="1" type="noConversion"/>
  </si>
  <si>
    <t>010-3302-4892</t>
    <phoneticPr fontId="1" type="noConversion"/>
  </si>
  <si>
    <t>010-8892-4892</t>
    <phoneticPr fontId="1" type="noConversion"/>
  </si>
  <si>
    <t>5-25</t>
  </si>
  <si>
    <t>김상윤</t>
    <phoneticPr fontId="1" type="noConversion"/>
  </si>
  <si>
    <t>010-2267-1662</t>
    <phoneticPr fontId="1" type="noConversion"/>
  </si>
  <si>
    <t>현대(398다1634)</t>
    <phoneticPr fontId="1" type="noConversion"/>
  </si>
  <si>
    <t>5-33</t>
  </si>
  <si>
    <t>권오랑</t>
    <phoneticPr fontId="1" type="noConversion"/>
  </si>
  <si>
    <t>010-9753-0499</t>
    <phoneticPr fontId="1" type="noConversion"/>
  </si>
  <si>
    <t>5-36</t>
  </si>
  <si>
    <t>박영주</t>
    <phoneticPr fontId="1" type="noConversion"/>
  </si>
  <si>
    <t>010-4178-2723</t>
    <phoneticPr fontId="1" type="noConversion"/>
  </si>
  <si>
    <t>삼성(55저8142)</t>
    <phoneticPr fontId="1" type="noConversion"/>
  </si>
  <si>
    <t>한순선</t>
    <phoneticPr fontId="1" type="noConversion"/>
  </si>
  <si>
    <t>010-5137-8161</t>
    <phoneticPr fontId="1" type="noConversion"/>
  </si>
  <si>
    <t>24. DB (70수9769)</t>
    <phoneticPr fontId="1" type="noConversion"/>
  </si>
  <si>
    <t>3-93 / 4-41</t>
    <phoneticPr fontId="1" type="noConversion"/>
  </si>
  <si>
    <t>010-8796-5121</t>
    <phoneticPr fontId="1" type="noConversion"/>
  </si>
  <si>
    <t>23. KB (충남천안라2047)</t>
    <phoneticPr fontId="1" type="noConversion"/>
  </si>
  <si>
    <t>성남면 대흥2길45로</t>
  </si>
  <si>
    <t>진병노</t>
    <phoneticPr fontId="1" type="noConversion"/>
  </si>
  <si>
    <t>010-4122-2569</t>
    <phoneticPr fontId="1" type="noConversion"/>
  </si>
  <si>
    <t>원재선</t>
    <phoneticPr fontId="1" type="noConversion"/>
  </si>
  <si>
    <t>010-2234-5353</t>
    <phoneticPr fontId="1" type="noConversion"/>
  </si>
  <si>
    <t>원태경</t>
    <phoneticPr fontId="1" type="noConversion"/>
  </si>
  <si>
    <t>010-5099-5121</t>
    <phoneticPr fontId="1" type="noConversion"/>
  </si>
  <si>
    <t>1-37</t>
    <phoneticPr fontId="1" type="noConversion"/>
  </si>
  <si>
    <t>23. DB (24주9720)</t>
    <phoneticPr fontId="1" type="noConversion"/>
  </si>
  <si>
    <t>010-8529-7946</t>
    <phoneticPr fontId="1" type="noConversion"/>
  </si>
  <si>
    <t>1-146 / 
2-45</t>
    <phoneticPr fontId="1" type="noConversion"/>
  </si>
  <si>
    <t>010-8777-1453</t>
    <phoneticPr fontId="1" type="noConversion"/>
  </si>
  <si>
    <t>22. KB (충남30마3592)</t>
    <phoneticPr fontId="1" type="noConversion"/>
  </si>
  <si>
    <t>김태환</t>
    <phoneticPr fontId="1" type="noConversion"/>
  </si>
  <si>
    <t>010-9428-8011</t>
    <phoneticPr fontId="1" type="noConversion"/>
  </si>
  <si>
    <t>천안시 동남구 봉명4길 29 봉서산아이파크 107동 202호</t>
  </si>
  <si>
    <t>010-4033-1453</t>
    <phoneticPr fontId="1" type="noConversion"/>
  </si>
  <si>
    <t>445-87-01483</t>
  </si>
  <si>
    <t>3-88</t>
    <phoneticPr fontId="1" type="noConversion"/>
  </si>
  <si>
    <t>010-4945-2879</t>
    <phoneticPr fontId="1" type="noConversion"/>
  </si>
  <si>
    <t>23. 삼성 (42조2778, 11조1811)</t>
    <phoneticPr fontId="1" type="noConversion"/>
  </si>
  <si>
    <t>010-2968-2864</t>
    <phoneticPr fontId="1" type="noConversion"/>
  </si>
  <si>
    <t>4-29</t>
    <phoneticPr fontId="1" type="noConversion"/>
  </si>
  <si>
    <t>010-2067-3128</t>
    <phoneticPr fontId="1" type="noConversion"/>
  </si>
  <si>
    <t>010-6728-1223</t>
    <phoneticPr fontId="1" type="noConversion"/>
  </si>
  <si>
    <t>23. 현대 (55머8445)</t>
    <phoneticPr fontId="1" type="noConversion"/>
  </si>
  <si>
    <t>23. TheK (126다1730)</t>
    <phoneticPr fontId="1" type="noConversion"/>
  </si>
  <si>
    <t>1-156</t>
    <phoneticPr fontId="1" type="noConversion"/>
  </si>
  <si>
    <t>010-8905-2819</t>
    <phoneticPr fontId="1" type="noConversion"/>
  </si>
  <si>
    <t>010-9465-2819</t>
    <phoneticPr fontId="1" type="noConversion"/>
  </si>
  <si>
    <t>230809_삼성(53,697원)</t>
    <phoneticPr fontId="1" type="noConversion"/>
  </si>
  <si>
    <t>2-85</t>
    <phoneticPr fontId="1" type="noConversion"/>
  </si>
  <si>
    <t>010-4515-4062</t>
    <phoneticPr fontId="1" type="noConversion"/>
  </si>
  <si>
    <t>23. AXA (68더3533)</t>
    <phoneticPr fontId="1" type="noConversion"/>
  </si>
  <si>
    <t>010-3374-3368</t>
    <phoneticPr fontId="1" type="noConversion"/>
  </si>
  <si>
    <t>이예승</t>
    <phoneticPr fontId="1" type="noConversion"/>
  </si>
  <si>
    <t>23. KB (33루9197)</t>
    <phoneticPr fontId="1" type="noConversion"/>
  </si>
  <si>
    <t>010-5441-2052</t>
    <phoneticPr fontId="1" type="noConversion"/>
  </si>
  <si>
    <t>김동옥</t>
    <phoneticPr fontId="1" type="noConversion"/>
  </si>
  <si>
    <t>11월2일</t>
    <phoneticPr fontId="1" type="noConversion"/>
  </si>
  <si>
    <t>5-29</t>
  </si>
  <si>
    <t>민점례</t>
    <phoneticPr fontId="1" type="noConversion"/>
  </si>
  <si>
    <t>010-6679-5460</t>
    <phoneticPr fontId="1" type="noConversion"/>
  </si>
  <si>
    <t>230801_삼성(40,284원)</t>
    <phoneticPr fontId="1" type="noConversion"/>
  </si>
  <si>
    <t>권병수</t>
    <phoneticPr fontId="1" type="noConversion"/>
  </si>
  <si>
    <t>010-2514-0012</t>
    <phoneticPr fontId="1" type="noConversion"/>
  </si>
  <si>
    <t>23. 현대 (36수0381)</t>
    <phoneticPr fontId="1" type="noConversion"/>
  </si>
  <si>
    <t>1-48</t>
    <phoneticPr fontId="1" type="noConversion"/>
  </si>
  <si>
    <t>010-6346-8722</t>
    <phoneticPr fontId="1" type="noConversion"/>
  </si>
  <si>
    <t>23. 캐롯 (75라3280)</t>
    <phoneticPr fontId="1" type="noConversion"/>
  </si>
  <si>
    <t>010-6326-8722</t>
    <phoneticPr fontId="1" type="noConversion"/>
  </si>
  <si>
    <t>최성순</t>
    <phoneticPr fontId="1" type="noConversion"/>
  </si>
  <si>
    <t>010-6230-8722</t>
    <phoneticPr fontId="1" type="noConversion"/>
  </si>
  <si>
    <t>이종길</t>
    <phoneticPr fontId="1" type="noConversion"/>
  </si>
  <si>
    <t>010-7137-8722</t>
    <phoneticPr fontId="1" type="noConversion"/>
  </si>
  <si>
    <t>23. 삼성 (217누7698,28구7737)</t>
    <phoneticPr fontId="1" type="noConversion"/>
  </si>
  <si>
    <t>23. 삼성(12머0289)</t>
    <phoneticPr fontId="1" type="noConversion"/>
  </si>
  <si>
    <t>23. KB (경기15고7629)</t>
    <phoneticPr fontId="1" type="noConversion"/>
  </si>
  <si>
    <t>23. DB (47고1625)</t>
    <phoneticPr fontId="1" type="noConversion"/>
  </si>
  <si>
    <t>010-4442-5549</t>
    <phoneticPr fontId="1" type="noConversion"/>
  </si>
  <si>
    <t>23. DB (55머3688)</t>
    <phoneticPr fontId="1" type="noConversion"/>
  </si>
  <si>
    <t>010-4854-5549</t>
    <phoneticPr fontId="1" type="noConversion"/>
  </si>
  <si>
    <t>23. 삼성 (84주5408)</t>
    <phoneticPr fontId="1" type="noConversion"/>
  </si>
  <si>
    <t>23. 현대 (119라1463)</t>
    <phoneticPr fontId="1" type="noConversion"/>
  </si>
  <si>
    <t>3-40</t>
    <phoneticPr fontId="1" type="noConversion"/>
  </si>
  <si>
    <t>010-9036-2903</t>
    <phoneticPr fontId="1" type="noConversion"/>
  </si>
  <si>
    <t>23. DB (37도7382, 95주1612, 97저7718)</t>
    <phoneticPr fontId="1" type="noConversion"/>
  </si>
  <si>
    <t>010-9060-2792</t>
    <phoneticPr fontId="1" type="noConversion"/>
  </si>
  <si>
    <t>010-7126-1630</t>
    <phoneticPr fontId="1" type="noConversion"/>
  </si>
  <si>
    <t>22. 삼성 (393보6887)</t>
    <phoneticPr fontId="1" type="noConversion"/>
  </si>
  <si>
    <t>3-30</t>
    <phoneticPr fontId="1" type="noConversion"/>
  </si>
  <si>
    <t>010-6309-1551</t>
    <phoneticPr fontId="1" type="noConversion"/>
  </si>
  <si>
    <t>23. DB (256너1910)</t>
    <phoneticPr fontId="1" type="noConversion"/>
  </si>
  <si>
    <t>23. DB (177노8583)</t>
    <phoneticPr fontId="1" type="noConversion"/>
  </si>
  <si>
    <t>23. DB (36두0248)</t>
    <phoneticPr fontId="1" type="noConversion"/>
  </si>
  <si>
    <t>3-56</t>
    <phoneticPr fontId="1" type="noConversion"/>
  </si>
  <si>
    <t>010-6625-8274</t>
    <phoneticPr fontId="1" type="noConversion"/>
  </si>
  <si>
    <t>010-9478-4921</t>
    <phoneticPr fontId="1" type="noConversion"/>
  </si>
  <si>
    <t>22. 현대 (12보3036)</t>
    <phoneticPr fontId="1" type="noConversion"/>
  </si>
  <si>
    <t>윤창인</t>
    <phoneticPr fontId="1" type="noConversion"/>
  </si>
  <si>
    <t>010-5437-2314</t>
    <phoneticPr fontId="1" type="noConversion"/>
  </si>
  <si>
    <t>230807_삼성(40,013원)</t>
    <phoneticPr fontId="1" type="noConversion"/>
  </si>
  <si>
    <t>김상순</t>
    <phoneticPr fontId="1" type="noConversion"/>
  </si>
  <si>
    <t>010-2335-6733</t>
    <phoneticPr fontId="1" type="noConversion"/>
  </si>
  <si>
    <t>230804_삼성(33,578원)</t>
    <phoneticPr fontId="1" type="noConversion"/>
  </si>
  <si>
    <t>11월13일</t>
    <phoneticPr fontId="1" type="noConversion"/>
  </si>
  <si>
    <t>윤은희</t>
    <phoneticPr fontId="1" type="noConversion"/>
  </si>
  <si>
    <t>010-8800-5587</t>
    <phoneticPr fontId="1" type="noConversion"/>
  </si>
  <si>
    <t>KB 63오2475</t>
    <phoneticPr fontId="1" type="noConversion"/>
  </si>
  <si>
    <t>230623 메리츠(36,580원)</t>
    <phoneticPr fontId="1" type="noConversion"/>
  </si>
  <si>
    <t>230623 삼성(36,913원)</t>
    <phoneticPr fontId="1" type="noConversion"/>
  </si>
  <si>
    <t>12월15일</t>
    <phoneticPr fontId="1" type="noConversion"/>
  </si>
  <si>
    <t>박현태</t>
    <phoneticPr fontId="1" type="noConversion"/>
  </si>
  <si>
    <t>010-5125-0166</t>
    <phoneticPr fontId="1" type="noConversion"/>
  </si>
  <si>
    <t xml:space="preserve"> 현대119서 4236 / 18주1145</t>
    <phoneticPr fontId="1" type="noConversion"/>
  </si>
  <si>
    <t>박종진</t>
    <phoneticPr fontId="1" type="noConversion"/>
  </si>
  <si>
    <t>010-8819-0165</t>
    <phoneticPr fontId="1" type="noConversion"/>
  </si>
  <si>
    <t>오금순</t>
    <phoneticPr fontId="1" type="noConversion"/>
  </si>
  <si>
    <t>010-8963-0168</t>
    <phoneticPr fontId="1" type="noConversion"/>
  </si>
  <si>
    <t>박준우</t>
    <phoneticPr fontId="1" type="noConversion"/>
  </si>
  <si>
    <t>23. 삼성 (817루6405, 94거3557, 166더2577)
23. 현대 (05부9517)</t>
    <phoneticPr fontId="1" type="noConversion"/>
  </si>
  <si>
    <t>1-103</t>
    <phoneticPr fontId="1" type="noConversion"/>
  </si>
  <si>
    <t>010-3224-7902</t>
    <phoneticPr fontId="1" type="noConversion"/>
  </si>
  <si>
    <t>23. 삼성 (22머6251)</t>
    <phoneticPr fontId="1" type="noConversion"/>
  </si>
  <si>
    <t>010-2405-8574</t>
    <phoneticPr fontId="1" type="noConversion"/>
  </si>
  <si>
    <t>3-4</t>
    <phoneticPr fontId="1" type="noConversion"/>
  </si>
  <si>
    <t>010-7705-8782</t>
    <phoneticPr fontId="1" type="noConversion"/>
  </si>
  <si>
    <t>23. 삼성 (32버9169)</t>
    <phoneticPr fontId="1" type="noConversion"/>
  </si>
  <si>
    <t>010-5003-8782</t>
    <phoneticPr fontId="1" type="noConversion"/>
  </si>
  <si>
    <t>23. 한화 (02버0659)</t>
    <phoneticPr fontId="1" type="noConversion"/>
  </si>
  <si>
    <t>23. DB (경기15고7422)</t>
    <phoneticPr fontId="1" type="noConversion"/>
  </si>
  <si>
    <t>23. KB (82도 2440)</t>
    <phoneticPr fontId="1" type="noConversion"/>
  </si>
  <si>
    <t xml:space="preserve">23. 메리츠 (247구6239) </t>
    <phoneticPr fontId="1" type="noConversion"/>
  </si>
  <si>
    <t>23. 삼성 (경기15고6874)</t>
    <phoneticPr fontId="1" type="noConversion"/>
  </si>
  <si>
    <t>23. DB (70루1875)</t>
    <phoneticPr fontId="1" type="noConversion"/>
  </si>
  <si>
    <t>김미진</t>
    <phoneticPr fontId="1" type="noConversion"/>
  </si>
  <si>
    <t>010-9427-6630</t>
    <phoneticPr fontId="1" type="noConversion"/>
  </si>
  <si>
    <t>230824_메리츠(12,760원)</t>
    <phoneticPr fontId="1" type="noConversion"/>
  </si>
  <si>
    <t>11월18일</t>
    <phoneticPr fontId="1" type="noConversion"/>
  </si>
  <si>
    <t>DB 229라7792</t>
    <phoneticPr fontId="1" type="noConversion"/>
  </si>
  <si>
    <t>박지원</t>
    <phoneticPr fontId="1" type="noConversion"/>
  </si>
  <si>
    <t>박지산</t>
    <phoneticPr fontId="1" type="noConversion"/>
  </si>
  <si>
    <t>010-9213-6632</t>
    <phoneticPr fontId="1" type="noConversion"/>
  </si>
  <si>
    <t>230824_메리츠(20,580원)</t>
    <phoneticPr fontId="1" type="noConversion"/>
  </si>
  <si>
    <t>아산시 북수로 116 자이2차@106동 1103호</t>
    <phoneticPr fontId="1" type="noConversion"/>
  </si>
  <si>
    <t>4-10</t>
    <phoneticPr fontId="1" type="noConversion"/>
  </si>
  <si>
    <t>010-6551-2028</t>
    <phoneticPr fontId="1" type="noConversion"/>
  </si>
  <si>
    <t>23. AXA (10보9532)</t>
    <phoneticPr fontId="1" type="noConversion"/>
  </si>
  <si>
    <t>010-7908-7300</t>
    <phoneticPr fontId="1" type="noConversion"/>
  </si>
  <si>
    <t>23. 현대 (07두0707)</t>
    <phoneticPr fontId="1" type="noConversion"/>
  </si>
  <si>
    <t>010-4877-2705</t>
    <phoneticPr fontId="1" type="noConversion"/>
  </si>
  <si>
    <t>김기우</t>
    <phoneticPr fontId="1" type="noConversion"/>
  </si>
  <si>
    <t>010-8995-5927</t>
    <phoneticPr fontId="1" type="noConversion"/>
  </si>
  <si>
    <t>23. 삼성 (68나5728)</t>
    <phoneticPr fontId="1" type="noConversion"/>
  </si>
  <si>
    <t>23. 삼성 (266조5955)</t>
    <phoneticPr fontId="1" type="noConversion"/>
  </si>
  <si>
    <t>23. DB (06다7446)</t>
    <phoneticPr fontId="1" type="noConversion"/>
  </si>
  <si>
    <t>1-4</t>
    <phoneticPr fontId="1" type="noConversion"/>
  </si>
  <si>
    <t>010-8741-8662</t>
    <phoneticPr fontId="1" type="noConversion"/>
  </si>
  <si>
    <t>23. DB (34수2466, 159라1414)</t>
    <phoneticPr fontId="1" type="noConversion"/>
  </si>
  <si>
    <t>010-8860-0820</t>
    <phoneticPr fontId="1" type="noConversion"/>
  </si>
  <si>
    <t>4-49</t>
    <phoneticPr fontId="1" type="noConversion"/>
  </si>
  <si>
    <t>010-6420-3113</t>
    <phoneticPr fontId="1" type="noConversion"/>
  </si>
  <si>
    <t>23. DB (234가6537)</t>
    <phoneticPr fontId="1" type="noConversion"/>
  </si>
  <si>
    <t>2-69</t>
    <phoneticPr fontId="1" type="noConversion"/>
  </si>
  <si>
    <t>010-9989-7309</t>
    <phoneticPr fontId="1" type="noConversion"/>
  </si>
  <si>
    <t>23. The K (57수3635)</t>
    <phoneticPr fontId="1" type="noConversion"/>
  </si>
  <si>
    <t>4-67</t>
    <phoneticPr fontId="1" type="noConversion"/>
  </si>
  <si>
    <t>조현구</t>
    <phoneticPr fontId="1" type="noConversion"/>
  </si>
  <si>
    <t>010-2246-9774</t>
    <phoneticPr fontId="1" type="noConversion"/>
  </si>
  <si>
    <t>23. 삼성 (32두6894)</t>
    <phoneticPr fontId="1" type="noConversion"/>
  </si>
  <si>
    <t>3-42</t>
    <phoneticPr fontId="1" type="noConversion"/>
  </si>
  <si>
    <t>010-4488-7074</t>
    <phoneticPr fontId="1" type="noConversion"/>
  </si>
  <si>
    <t>23. DB (357마2475, 51라6646)</t>
    <phoneticPr fontId="1" type="noConversion"/>
  </si>
  <si>
    <t>010-6248-1693</t>
    <phoneticPr fontId="1" type="noConversion"/>
  </si>
  <si>
    <t>010-4145-3291</t>
    <phoneticPr fontId="1" type="noConversion"/>
  </si>
  <si>
    <t>23. DB (179모3223)</t>
    <phoneticPr fontId="1" type="noConversion"/>
  </si>
  <si>
    <t>23. KB (55오3973)</t>
    <phoneticPr fontId="1" type="noConversion"/>
  </si>
  <si>
    <t>3-36</t>
    <phoneticPr fontId="1" type="noConversion"/>
  </si>
  <si>
    <t>11월 28일</t>
    <phoneticPr fontId="1" type="noConversion"/>
  </si>
  <si>
    <t>010-8246-2833</t>
    <phoneticPr fontId="1" type="noConversion"/>
  </si>
  <si>
    <t>23. 삼성 (22너0720, 15로9450)</t>
    <phoneticPr fontId="1" type="noConversion"/>
  </si>
  <si>
    <t>010-8803-6974</t>
    <phoneticPr fontId="1" type="noConversion"/>
  </si>
  <si>
    <t>4-70</t>
    <phoneticPr fontId="1" type="noConversion"/>
  </si>
  <si>
    <t>010-2718-5601</t>
    <phoneticPr fontId="1" type="noConversion"/>
  </si>
  <si>
    <t>23. DB (40머8145)</t>
    <phoneticPr fontId="1" type="noConversion"/>
  </si>
  <si>
    <t>23. AXA (충남70나8375)</t>
    <phoneticPr fontId="1" type="noConversion"/>
  </si>
  <si>
    <t>23. 현대 (71로9954)</t>
    <phoneticPr fontId="1" type="noConversion"/>
  </si>
  <si>
    <t>23. DB (237구9411)</t>
    <phoneticPr fontId="1" type="noConversion"/>
  </si>
  <si>
    <t>23. DB (395수3902)</t>
    <phoneticPr fontId="1" type="noConversion"/>
  </si>
  <si>
    <t>23. 삼성 (56수3814)</t>
    <phoneticPr fontId="1" type="noConversion"/>
  </si>
  <si>
    <t>12월3일</t>
    <phoneticPr fontId="1" type="noConversion"/>
  </si>
  <si>
    <t>010-9485-8647</t>
    <phoneticPr fontId="1" type="noConversion"/>
  </si>
  <si>
    <t>23. DB (76어0277)</t>
    <phoneticPr fontId="1" type="noConversion"/>
  </si>
  <si>
    <t>010-2162-8647</t>
    <phoneticPr fontId="1" type="noConversion"/>
  </si>
  <si>
    <t>010-6368-8647</t>
    <phoneticPr fontId="1" type="noConversion"/>
  </si>
  <si>
    <t>5-62</t>
    <phoneticPr fontId="1" type="noConversion"/>
  </si>
  <si>
    <t>전선경</t>
    <phoneticPr fontId="1" type="noConversion"/>
  </si>
  <si>
    <t>010-5451-2920</t>
    <phoneticPr fontId="1" type="noConversion"/>
  </si>
  <si>
    <t>불당19로 95 린스트라하우스 1단지</t>
  </si>
  <si>
    <t>박규리</t>
    <phoneticPr fontId="1" type="noConversion"/>
  </si>
  <si>
    <t>104-703호</t>
  </si>
  <si>
    <t>박지우</t>
    <phoneticPr fontId="1" type="noConversion"/>
  </si>
  <si>
    <t>12월7일</t>
    <phoneticPr fontId="1" type="noConversion"/>
  </si>
  <si>
    <t>박병섭(배우자)</t>
    <phoneticPr fontId="1" type="noConversion"/>
  </si>
  <si>
    <t xml:space="preserve"> 010-5465-0600</t>
    <phoneticPr fontId="1" type="noConversion"/>
  </si>
  <si>
    <t>장미자(전선경모)</t>
    <phoneticPr fontId="1" type="noConversion"/>
  </si>
  <si>
    <t xml:space="preserve"> 010-2533-2920</t>
    <phoneticPr fontId="1" type="noConversion"/>
  </si>
  <si>
    <t>9월12일/23일</t>
    <phoneticPr fontId="1" type="noConversion"/>
  </si>
  <si>
    <t>전상배(부)</t>
    <phoneticPr fontId="1" type="noConversion"/>
  </si>
  <si>
    <t xml:space="preserve"> 010-8800-9959</t>
    <phoneticPr fontId="1" type="noConversion"/>
  </si>
  <si>
    <t>일반상가화재보험(단기),승강기보험</t>
    <phoneticPr fontId="1" type="noConversion"/>
  </si>
  <si>
    <t>010-8972-7982</t>
    <phoneticPr fontId="1" type="noConversion"/>
  </si>
  <si>
    <t>23. 캐롯 (13루0567)</t>
    <phoneticPr fontId="1" type="noConversion"/>
  </si>
  <si>
    <t>23. 삼성 ( 충남아산하9219 )</t>
    <phoneticPr fontId="1" type="noConversion"/>
  </si>
  <si>
    <t>5-39</t>
    <phoneticPr fontId="1" type="noConversion"/>
  </si>
  <si>
    <t>김인호</t>
    <phoneticPr fontId="1" type="noConversion"/>
  </si>
  <si>
    <t>010-7564-7563</t>
    <phoneticPr fontId="1" type="noConversion"/>
  </si>
  <si>
    <t>23. 삼성다이렉트(2대)</t>
    <phoneticPr fontId="1" type="noConversion"/>
  </si>
  <si>
    <t>아산시 배방읍 북수로 183롯데캐슬@ 109동 1502호</t>
    <phoneticPr fontId="1" type="noConversion"/>
  </si>
  <si>
    <t>지미선</t>
    <phoneticPr fontId="1" type="noConversion"/>
  </si>
  <si>
    <t>010-5447-7563</t>
    <phoneticPr fontId="1" type="noConversion"/>
  </si>
  <si>
    <t>23. DB ( 충남천안가2473 )</t>
    <phoneticPr fontId="1" type="noConversion"/>
  </si>
  <si>
    <t>23. DB ( 31오5752 )</t>
    <phoneticPr fontId="1" type="noConversion"/>
  </si>
  <si>
    <t>송영은</t>
    <phoneticPr fontId="1" type="noConversion"/>
  </si>
  <si>
    <t>23. 현대 (16더5204)</t>
    <phoneticPr fontId="1" type="noConversion"/>
  </si>
  <si>
    <t>23. 삼성 (123도5670)</t>
    <phoneticPr fontId="1" type="noConversion"/>
  </si>
  <si>
    <t>23. DB (충남아산바3932)</t>
    <phoneticPr fontId="1" type="noConversion"/>
  </si>
  <si>
    <t>23. 현대 (237구9406)</t>
    <phoneticPr fontId="1" type="noConversion"/>
  </si>
  <si>
    <t>주식회사카혼스포츠</t>
    <phoneticPr fontId="1" type="noConversion"/>
  </si>
  <si>
    <t>115두 6422(폭스바겐제타1.4)TSI PRESTIGE</t>
    <phoneticPr fontId="1" type="noConversion"/>
  </si>
  <si>
    <t>5-5</t>
  </si>
  <si>
    <t>류윤숙</t>
    <phoneticPr fontId="1" type="noConversion"/>
  </si>
  <si>
    <t>010-2100-0459</t>
    <phoneticPr fontId="1" type="noConversion"/>
  </si>
  <si>
    <t>23. 현대 (285루8247)</t>
    <phoneticPr fontId="1" type="noConversion"/>
  </si>
  <si>
    <t>박훈배</t>
    <phoneticPr fontId="1" type="noConversion"/>
  </si>
  <si>
    <t>010-2845-2347</t>
    <phoneticPr fontId="1" type="noConversion"/>
  </si>
  <si>
    <t>23. 메리츠 (경남80배5555)</t>
    <phoneticPr fontId="1" type="noConversion"/>
  </si>
  <si>
    <t>4-14</t>
    <phoneticPr fontId="1" type="noConversion"/>
  </si>
  <si>
    <t>23. 삼성 (94도9734)</t>
    <phoneticPr fontId="1" type="noConversion"/>
  </si>
  <si>
    <t>오금례</t>
    <phoneticPr fontId="1" type="noConversion"/>
  </si>
  <si>
    <t>23. KB (34가5133)</t>
    <phoneticPr fontId="1" type="noConversion"/>
  </si>
  <si>
    <t>4-26</t>
    <phoneticPr fontId="1" type="noConversion"/>
  </si>
  <si>
    <t>LEE JONG SOOK</t>
    <phoneticPr fontId="1" type="noConversion"/>
  </si>
  <si>
    <t>010-2915-7827</t>
    <phoneticPr fontId="1" type="noConversion"/>
  </si>
  <si>
    <t>23. DB (146거7364)</t>
    <phoneticPr fontId="1" type="noConversion"/>
  </si>
  <si>
    <t>23. 삼성 (178두7958)</t>
    <phoneticPr fontId="1" type="noConversion"/>
  </si>
  <si>
    <t>010-8914-3045</t>
    <phoneticPr fontId="1" type="noConversion"/>
  </si>
  <si>
    <t>4-25</t>
    <phoneticPr fontId="1" type="noConversion"/>
  </si>
  <si>
    <t>010-2580-6536</t>
    <phoneticPr fontId="1" type="noConversion"/>
  </si>
  <si>
    <t>23. KB (339도6363)</t>
    <phoneticPr fontId="1" type="noConversion"/>
  </si>
  <si>
    <t>010-5540-5647</t>
    <phoneticPr fontId="1" type="noConversion"/>
  </si>
  <si>
    <t>23. 한화 (224로6774)</t>
    <phoneticPr fontId="1" type="noConversion"/>
  </si>
  <si>
    <t>23. 현대 (710라7358)</t>
    <phoneticPr fontId="1" type="noConversion"/>
  </si>
  <si>
    <t>23. KB (97고1968)</t>
    <phoneticPr fontId="1" type="noConversion"/>
  </si>
  <si>
    <t>세종시 조치원 도원로16</t>
  </si>
  <si>
    <t>010-8953-5335</t>
    <phoneticPr fontId="1" type="noConversion"/>
  </si>
  <si>
    <t>자이아파트 116동603호</t>
  </si>
  <si>
    <t>010-4414-6213</t>
    <phoneticPr fontId="1" type="noConversion"/>
  </si>
  <si>
    <t>23. 현대 (11소7480, 96가0233)</t>
    <phoneticPr fontId="1" type="noConversion"/>
  </si>
  <si>
    <t>김덕임</t>
    <phoneticPr fontId="1" type="noConversion"/>
  </si>
  <si>
    <t>010-2041-2971</t>
    <phoneticPr fontId="1" type="noConversion"/>
  </si>
  <si>
    <t>4-77</t>
    <phoneticPr fontId="1" type="noConversion"/>
  </si>
  <si>
    <t>010-2804-9317</t>
    <phoneticPr fontId="1" type="noConversion"/>
  </si>
  <si>
    <t>23. KB (50노9200, 90저2030)</t>
    <phoneticPr fontId="1" type="noConversion"/>
  </si>
  <si>
    <t>5-5</t>
    <phoneticPr fontId="1" type="noConversion"/>
  </si>
  <si>
    <t>23. 현대 (56너5158)</t>
    <phoneticPr fontId="1" type="noConversion"/>
  </si>
  <si>
    <t>5-55</t>
    <phoneticPr fontId="1" type="noConversion"/>
  </si>
  <si>
    <t>장옥</t>
    <phoneticPr fontId="1" type="noConversion"/>
  </si>
  <si>
    <t>010-5612-2101</t>
    <phoneticPr fontId="1" type="noConversion"/>
  </si>
  <si>
    <t>박영진</t>
    <phoneticPr fontId="1" type="noConversion"/>
  </si>
  <si>
    <t>010-4595-2101</t>
    <phoneticPr fontId="1" type="noConversion"/>
  </si>
  <si>
    <t>롯데캐슬@113-901</t>
    <phoneticPr fontId="1" type="noConversion"/>
  </si>
  <si>
    <t>박종수</t>
    <phoneticPr fontId="1" type="noConversion"/>
  </si>
  <si>
    <t>010-3220-2101</t>
    <phoneticPr fontId="1" type="noConversion"/>
  </si>
  <si>
    <t>윤태건</t>
    <phoneticPr fontId="1" type="noConversion"/>
  </si>
  <si>
    <t>5-34</t>
  </si>
  <si>
    <t>김정운</t>
    <phoneticPr fontId="1" type="noConversion"/>
  </si>
  <si>
    <t>010-3109-1801</t>
    <phoneticPr fontId="1" type="noConversion"/>
  </si>
  <si>
    <t>230829_삼성(27,993원)</t>
  </si>
  <si>
    <t>오정우</t>
    <phoneticPr fontId="1" type="noConversion"/>
  </si>
  <si>
    <t>010-4560-6915</t>
    <phoneticPr fontId="1" type="noConversion"/>
  </si>
  <si>
    <t>DB(66보2178,91거5693)</t>
    <phoneticPr fontId="1" type="noConversion"/>
  </si>
  <si>
    <t>230829_삼성(42,851원)</t>
  </si>
  <si>
    <t>오동환</t>
    <phoneticPr fontId="1" type="noConversion"/>
  </si>
  <si>
    <t>010-6559-9764</t>
    <phoneticPr fontId="1" type="noConversion"/>
  </si>
  <si>
    <t>삼성(328주1732)</t>
    <phoneticPr fontId="1" type="noConversion"/>
  </si>
  <si>
    <t xml:space="preserve">김시복 </t>
    <phoneticPr fontId="1" type="noConversion"/>
  </si>
  <si>
    <t>010-8753-1205</t>
    <phoneticPr fontId="1" type="noConversion"/>
  </si>
  <si>
    <t>현대(11저7408,65나8261)</t>
  </si>
  <si>
    <t>230818_메리츠(14,000원)</t>
    <phoneticPr fontId="1" type="noConversion"/>
  </si>
  <si>
    <t>5-35</t>
  </si>
  <si>
    <t>KB(충남천안마0967)오토바이</t>
    <phoneticPr fontId="1" type="noConversion"/>
  </si>
  <si>
    <t>김다민</t>
    <phoneticPr fontId="1" type="noConversion"/>
  </si>
  <si>
    <t>010-5018-7321</t>
    <phoneticPr fontId="1" type="noConversion"/>
  </si>
  <si>
    <t>230818_메리츠(14,420원)</t>
    <phoneticPr fontId="1" type="noConversion"/>
  </si>
  <si>
    <t>5-37</t>
  </si>
  <si>
    <t>전병만</t>
    <phoneticPr fontId="1" type="noConversion"/>
  </si>
  <si>
    <t>010-8120-5686</t>
    <phoneticPr fontId="1" type="noConversion"/>
  </si>
  <si>
    <t>현대(45너4755)</t>
    <phoneticPr fontId="1" type="noConversion"/>
  </si>
  <si>
    <t>230825_메리츠(34,740원)</t>
    <phoneticPr fontId="1" type="noConversion"/>
  </si>
  <si>
    <t>롯데캐슬 109-1502</t>
  </si>
  <si>
    <t>삼성(06더5006)</t>
    <phoneticPr fontId="1" type="noConversion"/>
  </si>
  <si>
    <t>전명길</t>
    <phoneticPr fontId="1" type="noConversion"/>
  </si>
  <si>
    <t>010-9647-5689</t>
    <phoneticPr fontId="1" type="noConversion"/>
  </si>
  <si>
    <t>박현숙</t>
    <phoneticPr fontId="1" type="noConversion"/>
  </si>
  <si>
    <t>삼성(64어9355)</t>
    <phoneticPr fontId="1" type="noConversion"/>
  </si>
  <si>
    <t>5-41</t>
    <phoneticPr fontId="1" type="noConversion"/>
  </si>
  <si>
    <t>유미현</t>
    <phoneticPr fontId="1" type="noConversion"/>
  </si>
  <si>
    <t>010-7101-6702</t>
    <phoneticPr fontId="1" type="noConversion"/>
  </si>
  <si>
    <t>DB(11두8823)</t>
    <phoneticPr fontId="1" type="noConversion"/>
  </si>
  <si>
    <t>충북 진천군 덕산읍 이덕로 730-5번지</t>
    <phoneticPr fontId="1" type="noConversion"/>
  </si>
  <si>
    <t>5-42</t>
    <phoneticPr fontId="1" type="noConversion"/>
  </si>
  <si>
    <t>김금란</t>
    <phoneticPr fontId="1" type="noConversion"/>
  </si>
  <si>
    <t>010-9282-7725</t>
    <phoneticPr fontId="1" type="noConversion"/>
  </si>
  <si>
    <t>아산시 배방읍 롯데캐슬@ 112동 1102호</t>
    <phoneticPr fontId="1" type="noConversion"/>
  </si>
  <si>
    <t>김근영</t>
    <phoneticPr fontId="1" type="noConversion"/>
  </si>
  <si>
    <t>010-5528-1031</t>
    <phoneticPr fontId="1" type="noConversion"/>
  </si>
  <si>
    <t>현대(61어7321)</t>
    <phoneticPr fontId="1" type="noConversion"/>
  </si>
  <si>
    <t>5-43</t>
    <phoneticPr fontId="1" type="noConversion"/>
  </si>
  <si>
    <t xml:space="preserve"> 황보영 </t>
    <phoneticPr fontId="1" type="noConversion"/>
  </si>
  <si>
    <t>010-4645-8297</t>
  </si>
  <si>
    <t>아산시 배방읍 롯데캐슬 112-102</t>
    <phoneticPr fontId="1" type="noConversion"/>
  </si>
  <si>
    <t xml:space="preserve">이덕원 </t>
    <phoneticPr fontId="1" type="noConversion"/>
  </si>
  <si>
    <t>010-5458-8297</t>
    <phoneticPr fontId="1" type="noConversion"/>
  </si>
  <si>
    <t>DB(310서5076,170어8178)</t>
    <phoneticPr fontId="1" type="noConversion"/>
  </si>
  <si>
    <t>DB(006다9295)덤프트럭</t>
    <phoneticPr fontId="1" type="noConversion"/>
  </si>
  <si>
    <t>DB(006나9271)덤프트럭</t>
    <phoneticPr fontId="1" type="noConversion"/>
  </si>
  <si>
    <t>현대(377우8534)</t>
    <phoneticPr fontId="1" type="noConversion"/>
  </si>
  <si>
    <t>5-46</t>
    <phoneticPr fontId="1" type="noConversion"/>
  </si>
  <si>
    <t>송봉근(부동산컨설)</t>
    <phoneticPr fontId="1" type="noConversion"/>
  </si>
  <si>
    <t>010-5408-5183</t>
  </si>
  <si>
    <t>KB(58루6699)</t>
    <phoneticPr fontId="1" type="noConversion"/>
  </si>
  <si>
    <t>롯데캐슬 112-902</t>
    <phoneticPr fontId="1" type="noConversion"/>
  </si>
  <si>
    <t>최옥자(식당운영)</t>
    <phoneticPr fontId="1" type="noConversion"/>
  </si>
  <si>
    <t>010-4156-5183</t>
  </si>
  <si>
    <t>롯데캐슬 112-902</t>
  </si>
  <si>
    <t>5-57</t>
    <phoneticPr fontId="1" type="noConversion"/>
  </si>
  <si>
    <t>02-539-7285</t>
    <phoneticPr fontId="1" type="noConversion"/>
  </si>
  <si>
    <t>서북구봉서산샛길65 주공9단비414-306</t>
    <phoneticPr fontId="1" type="noConversion"/>
  </si>
  <si>
    <t>5-60</t>
    <phoneticPr fontId="1" type="noConversion"/>
  </si>
  <si>
    <t>박신원</t>
    <phoneticPr fontId="1" type="noConversion"/>
  </si>
  <si>
    <t>010-6798-0926</t>
    <phoneticPr fontId="1" type="noConversion"/>
  </si>
  <si>
    <t xml:space="preserve">충남 천안시 서북구 두정동 586-1 304호 </t>
  </si>
  <si>
    <t>박동호</t>
    <phoneticPr fontId="1" type="noConversion"/>
  </si>
  <si>
    <t>010-3461-4060</t>
    <phoneticPr fontId="1" type="noConversion"/>
  </si>
  <si>
    <t>충남 아산시 배방읍 배방로 58-44 (공수리, 아산배방 우방아이유쉘 2차) 212동 403호</t>
    <phoneticPr fontId="1" type="noConversion"/>
  </si>
  <si>
    <t>박성희</t>
    <phoneticPr fontId="1" type="noConversion"/>
  </si>
  <si>
    <t>010-3606-9722</t>
    <phoneticPr fontId="1" type="noConversion"/>
  </si>
  <si>
    <t>아산 권곡로 14번길 23-1 101호</t>
    <phoneticPr fontId="1" type="noConversion"/>
  </si>
  <si>
    <t>송은경</t>
    <phoneticPr fontId="1" type="noConversion"/>
  </si>
  <si>
    <t>010-8523-9721</t>
    <phoneticPr fontId="1" type="noConversion"/>
  </si>
  <si>
    <t>한화(24마5946))</t>
    <phoneticPr fontId="1" type="noConversion"/>
  </si>
  <si>
    <t>한화(28도7707)</t>
    <phoneticPr fontId="1" type="noConversion"/>
  </si>
  <si>
    <t>한화(303저6816)</t>
    <phoneticPr fontId="1" type="noConversion"/>
  </si>
  <si>
    <t>한화(146러7899)</t>
    <phoneticPr fontId="1" type="noConversion"/>
  </si>
  <si>
    <t>이성일</t>
    <phoneticPr fontId="1" type="noConversion"/>
  </si>
  <si>
    <t>010-8331-2660</t>
    <phoneticPr fontId="1" type="noConversion"/>
  </si>
  <si>
    <t>한화(808주5714)</t>
    <phoneticPr fontId="1" type="noConversion"/>
  </si>
  <si>
    <t>신촌4로신방초원@108-803</t>
    <phoneticPr fontId="1" type="noConversion"/>
  </si>
  <si>
    <t>5-61</t>
    <phoneticPr fontId="1" type="noConversion"/>
  </si>
  <si>
    <t>DB(52무5250)</t>
    <phoneticPr fontId="1" type="noConversion"/>
  </si>
  <si>
    <t>QUAN YULAN</t>
    <phoneticPr fontId="1" type="noConversion"/>
  </si>
  <si>
    <t>010-5649-2660</t>
    <phoneticPr fontId="1" type="noConversion"/>
  </si>
  <si>
    <t>이준석LI JUNXI</t>
    <phoneticPr fontId="1" type="noConversion"/>
  </si>
  <si>
    <t>010-5852-6126</t>
    <phoneticPr fontId="1" type="noConversion"/>
  </si>
  <si>
    <t>이가연 LI JIAYAN</t>
    <phoneticPr fontId="1" type="noConversion"/>
  </si>
  <si>
    <t>5-68</t>
    <phoneticPr fontId="1" type="noConversion"/>
  </si>
  <si>
    <t>조은희</t>
    <phoneticPr fontId="1" type="noConversion"/>
  </si>
  <si>
    <t>010-5915-0543</t>
    <phoneticPr fontId="1" type="noConversion"/>
  </si>
  <si>
    <t>DB(396고5570)</t>
    <phoneticPr fontId="1" type="noConversion"/>
  </si>
  <si>
    <t>천안시 동남구 청수8로 72 707동 1702호</t>
    <phoneticPr fontId="1" type="noConversion"/>
  </si>
  <si>
    <t>김용석</t>
    <phoneticPr fontId="1" type="noConversion"/>
  </si>
  <si>
    <t>010-2492-3005</t>
    <phoneticPr fontId="1" type="noConversion"/>
  </si>
  <si>
    <t>김민재</t>
    <phoneticPr fontId="1" type="noConversion"/>
  </si>
  <si>
    <t>010-4110-0544</t>
    <phoneticPr fontId="1" type="noConversion"/>
  </si>
  <si>
    <t>010-3762-4908</t>
    <phoneticPr fontId="1" type="noConversion"/>
  </si>
  <si>
    <t>5-77</t>
    <phoneticPr fontId="1" type="noConversion"/>
  </si>
  <si>
    <t>김선주</t>
    <phoneticPr fontId="1" type="noConversion"/>
  </si>
  <si>
    <t>010-7330-2480</t>
    <phoneticPr fontId="1" type="noConversion"/>
  </si>
  <si>
    <t>1-58</t>
    <phoneticPr fontId="1" type="noConversion"/>
  </si>
  <si>
    <t>010-8640-3371</t>
    <phoneticPr fontId="1" type="noConversion"/>
  </si>
  <si>
    <t>탕정면 갈산샛들로67 호반2차 116-603</t>
    <phoneticPr fontId="1" type="noConversion"/>
  </si>
  <si>
    <t>고남성</t>
    <phoneticPr fontId="1" type="noConversion"/>
  </si>
  <si>
    <t>전북 김제시 공덕면 공덕8길 411</t>
  </si>
  <si>
    <t>자료없음</t>
    <phoneticPr fontId="1" type="noConversion"/>
  </si>
  <si>
    <t>1-68 / 3-71</t>
    <phoneticPr fontId="1" type="noConversion"/>
  </si>
  <si>
    <t>010-2678-3205</t>
    <phoneticPr fontId="1" type="noConversion"/>
  </si>
  <si>
    <t>010-9031-4208</t>
    <phoneticPr fontId="1" type="noConversion"/>
  </si>
  <si>
    <t>1-77</t>
    <phoneticPr fontId="1" type="noConversion"/>
  </si>
  <si>
    <t>010-3414-6755</t>
    <phoneticPr fontId="1" type="noConversion"/>
  </si>
  <si>
    <t>1-81</t>
    <phoneticPr fontId="1" type="noConversion"/>
  </si>
  <si>
    <t>010-4858-7724</t>
    <phoneticPr fontId="1" type="noConversion"/>
  </si>
  <si>
    <t>010-4560-7724</t>
    <phoneticPr fontId="1" type="noConversion"/>
  </si>
  <si>
    <t>010-9371-5494</t>
    <phoneticPr fontId="1" type="noConversion"/>
  </si>
  <si>
    <t>010-9369-5494</t>
    <phoneticPr fontId="1" type="noConversion"/>
  </si>
  <si>
    <t>010-4670-0144</t>
    <phoneticPr fontId="1" type="noConversion"/>
  </si>
  <si>
    <t>강원도 영월군 동강로1323-13</t>
    <phoneticPr fontId="1" type="noConversion"/>
  </si>
  <si>
    <t>010-5746-5395</t>
    <phoneticPr fontId="1" type="noConversion"/>
  </si>
  <si>
    <t>010-2599-9803</t>
    <phoneticPr fontId="1" type="noConversion"/>
  </si>
  <si>
    <t>010-9377-8782</t>
    <phoneticPr fontId="1" type="noConversion"/>
  </si>
  <si>
    <t>010-2997-5234</t>
    <phoneticPr fontId="1" type="noConversion"/>
  </si>
  <si>
    <t>1-135</t>
    <phoneticPr fontId="1" type="noConversion"/>
  </si>
  <si>
    <t>2-84</t>
    <phoneticPr fontId="1" type="noConversion"/>
  </si>
  <si>
    <t>010-8261-5457</t>
    <phoneticPr fontId="1" type="noConversion"/>
  </si>
  <si>
    <t>서울 은평구연서로3길27-5</t>
    <phoneticPr fontId="1" type="noConversion"/>
  </si>
  <si>
    <t>허소유</t>
    <phoneticPr fontId="1" type="noConversion"/>
  </si>
  <si>
    <t>010-2212-0809</t>
    <phoneticPr fontId="1" type="noConversion"/>
  </si>
  <si>
    <t>010-5186-6568</t>
    <phoneticPr fontId="1" type="noConversion"/>
  </si>
  <si>
    <t>010-4287-7087</t>
    <phoneticPr fontId="1" type="noConversion"/>
  </si>
  <si>
    <t>010-9214-0105</t>
    <phoneticPr fontId="1" type="noConversion"/>
  </si>
  <si>
    <t>010-6356-4699</t>
    <phoneticPr fontId="1" type="noConversion"/>
  </si>
  <si>
    <t>3-1</t>
    <phoneticPr fontId="1" type="noConversion"/>
  </si>
  <si>
    <t>010-3027-6731</t>
    <phoneticPr fontId="1" type="noConversion"/>
  </si>
  <si>
    <t>010-3174-7700</t>
    <phoneticPr fontId="1" type="noConversion"/>
  </si>
  <si>
    <t>3-19</t>
    <phoneticPr fontId="1" type="noConversion"/>
  </si>
  <si>
    <t>010-6784-2237</t>
    <phoneticPr fontId="1" type="noConversion"/>
  </si>
  <si>
    <t>3-21</t>
    <phoneticPr fontId="1" type="noConversion"/>
  </si>
  <si>
    <t>010-5004-5923</t>
    <phoneticPr fontId="1" type="noConversion"/>
  </si>
  <si>
    <t>3-39</t>
    <phoneticPr fontId="1" type="noConversion"/>
  </si>
  <si>
    <t>010-3349-8215</t>
    <phoneticPr fontId="1" type="noConversion"/>
  </si>
  <si>
    <t>3-48</t>
    <phoneticPr fontId="1" type="noConversion"/>
  </si>
  <si>
    <t>010-5236-2384</t>
    <phoneticPr fontId="1" type="noConversion"/>
  </si>
  <si>
    <t>010-5455-4921</t>
    <phoneticPr fontId="1" type="noConversion"/>
  </si>
  <si>
    <t>3-50</t>
    <phoneticPr fontId="1" type="noConversion"/>
  </si>
  <si>
    <t>010-4904-5448</t>
    <phoneticPr fontId="1" type="noConversion"/>
  </si>
  <si>
    <t>010-4600-5448</t>
    <phoneticPr fontId="1" type="noConversion"/>
  </si>
  <si>
    <t>3-52</t>
    <phoneticPr fontId="1" type="noConversion"/>
  </si>
  <si>
    <t>010-2044-6665</t>
    <phoneticPr fontId="1" type="noConversion"/>
  </si>
  <si>
    <t>3-55</t>
    <phoneticPr fontId="1" type="noConversion"/>
  </si>
  <si>
    <t>010-5187-2425</t>
    <phoneticPr fontId="1" type="noConversion"/>
  </si>
  <si>
    <t>3-59</t>
    <phoneticPr fontId="1" type="noConversion"/>
  </si>
  <si>
    <t>010-6438-8274</t>
    <phoneticPr fontId="1" type="noConversion"/>
  </si>
  <si>
    <t>3-66</t>
    <phoneticPr fontId="1" type="noConversion"/>
  </si>
  <si>
    <t>010-5050-6053</t>
    <phoneticPr fontId="1" type="noConversion"/>
  </si>
  <si>
    <t>010-5305-6053</t>
    <phoneticPr fontId="1" type="noConversion"/>
  </si>
  <si>
    <t>3-73</t>
    <phoneticPr fontId="1" type="noConversion"/>
  </si>
  <si>
    <t>010-9241-2006</t>
    <phoneticPr fontId="1" type="noConversion"/>
  </si>
  <si>
    <t>010-4434-9004</t>
    <phoneticPr fontId="1" type="noConversion"/>
  </si>
  <si>
    <t>3-75</t>
    <phoneticPr fontId="1" type="noConversion"/>
  </si>
  <si>
    <t>010-9217-8304</t>
    <phoneticPr fontId="1" type="noConversion"/>
  </si>
  <si>
    <t>010-2603-8304</t>
    <phoneticPr fontId="1" type="noConversion"/>
  </si>
  <si>
    <t>3-85</t>
    <phoneticPr fontId="1" type="noConversion"/>
  </si>
  <si>
    <t>010-2593-5871</t>
    <phoneticPr fontId="1" type="noConversion"/>
  </si>
  <si>
    <t>010-8821-5422</t>
    <phoneticPr fontId="1" type="noConversion"/>
  </si>
  <si>
    <t>4-12</t>
    <phoneticPr fontId="1" type="noConversion"/>
  </si>
  <si>
    <t>4-17</t>
    <phoneticPr fontId="1" type="noConversion"/>
  </si>
  <si>
    <t>010-9032-2422</t>
    <phoneticPr fontId="1" type="noConversion"/>
  </si>
  <si>
    <t>010-6565-9472</t>
    <phoneticPr fontId="1" type="noConversion"/>
  </si>
  <si>
    <t>4-28</t>
    <phoneticPr fontId="1" type="noConversion"/>
  </si>
  <si>
    <t>010-3297-9892</t>
    <phoneticPr fontId="1" type="noConversion"/>
  </si>
  <si>
    <t>4-46</t>
    <phoneticPr fontId="1" type="noConversion"/>
  </si>
  <si>
    <t>010-7999-4960</t>
    <phoneticPr fontId="1" type="noConversion"/>
  </si>
  <si>
    <t>유희성</t>
    <phoneticPr fontId="1" type="noConversion"/>
  </si>
  <si>
    <t>010-8633-4943</t>
    <phoneticPr fontId="1" type="noConversion"/>
  </si>
  <si>
    <t>유창규</t>
    <phoneticPr fontId="1" type="noConversion"/>
  </si>
  <si>
    <t>4-50</t>
    <phoneticPr fontId="1" type="noConversion"/>
  </si>
  <si>
    <t>010-8804-8705</t>
    <phoneticPr fontId="1" type="noConversion"/>
  </si>
  <si>
    <t>4-52</t>
    <phoneticPr fontId="1" type="noConversion"/>
  </si>
  <si>
    <t>010-7418-6737</t>
    <phoneticPr fontId="1" type="noConversion"/>
  </si>
  <si>
    <t>010-5664-3393</t>
    <phoneticPr fontId="1" type="noConversion"/>
  </si>
  <si>
    <t>박윤우</t>
    <phoneticPr fontId="1" type="noConversion"/>
  </si>
  <si>
    <t>4-54</t>
    <phoneticPr fontId="1" type="noConversion"/>
  </si>
  <si>
    <t>010-5637-4625</t>
    <phoneticPr fontId="1" type="noConversion"/>
  </si>
  <si>
    <t>4-58</t>
    <phoneticPr fontId="1" type="noConversion"/>
  </si>
  <si>
    <t xml:space="preserve"> </t>
    <phoneticPr fontId="1" type="noConversion"/>
  </si>
  <si>
    <t>010-8233-0084</t>
    <phoneticPr fontId="1" type="noConversion"/>
  </si>
  <si>
    <t>3-37</t>
    <phoneticPr fontId="1" type="noConversion"/>
  </si>
  <si>
    <t>박미희</t>
    <phoneticPr fontId="1" type="noConversion"/>
  </si>
  <si>
    <t>정춘자</t>
    <phoneticPr fontId="1" type="noConversion"/>
  </si>
  <si>
    <t>오진두</t>
    <phoneticPr fontId="1" type="noConversion"/>
  </si>
  <si>
    <t>010-5340-3667</t>
    <phoneticPr fontId="1" type="noConversion"/>
  </si>
  <si>
    <t>010-88003-2365</t>
    <phoneticPr fontId="1" type="noConversion"/>
  </si>
  <si>
    <t>3-63</t>
    <phoneticPr fontId="1" type="noConversion"/>
  </si>
  <si>
    <t>최동수</t>
    <phoneticPr fontId="1" type="noConversion"/>
  </si>
  <si>
    <t>010-3194-4106</t>
    <phoneticPr fontId="1" type="noConversion"/>
  </si>
  <si>
    <t>최민수</t>
    <phoneticPr fontId="1" type="noConversion"/>
  </si>
  <si>
    <t>이희수</t>
    <phoneticPr fontId="1" type="noConversion"/>
  </si>
  <si>
    <t>신영순</t>
    <phoneticPr fontId="1" type="noConversion"/>
  </si>
  <si>
    <t>010-3327-7810</t>
    <phoneticPr fontId="1" type="noConversion"/>
  </si>
  <si>
    <t>3-67</t>
    <phoneticPr fontId="1" type="noConversion"/>
  </si>
  <si>
    <t>김종숙</t>
    <phoneticPr fontId="1" type="noConversion"/>
  </si>
  <si>
    <t>010-8997-5608</t>
    <phoneticPr fontId="1" type="noConversion"/>
  </si>
  <si>
    <t>3-70</t>
    <phoneticPr fontId="1" type="noConversion"/>
  </si>
  <si>
    <t>박도식</t>
    <phoneticPr fontId="1" type="noConversion"/>
  </si>
  <si>
    <t>010-2647-9182</t>
    <phoneticPr fontId="1" type="noConversion"/>
  </si>
  <si>
    <t>3-80</t>
    <phoneticPr fontId="1" type="noConversion"/>
  </si>
  <si>
    <t>송성은</t>
    <phoneticPr fontId="1" type="noConversion"/>
  </si>
  <si>
    <t>송종임</t>
    <phoneticPr fontId="1" type="noConversion"/>
  </si>
  <si>
    <t>010-2080-5428</t>
    <phoneticPr fontId="1" type="noConversion"/>
  </si>
  <si>
    <t>박건율</t>
    <phoneticPr fontId="1" type="noConversion"/>
  </si>
  <si>
    <t>3-95</t>
    <phoneticPr fontId="1" type="noConversion"/>
  </si>
  <si>
    <t>흥현분</t>
    <phoneticPr fontId="1" type="noConversion"/>
  </si>
  <si>
    <t>010-5055-8623</t>
    <phoneticPr fontId="1" type="noConversion"/>
  </si>
  <si>
    <t>3-13</t>
    <phoneticPr fontId="1" type="noConversion"/>
  </si>
  <si>
    <t>김현민</t>
    <phoneticPr fontId="1" type="noConversion"/>
  </si>
  <si>
    <t>010-2887-2002</t>
    <phoneticPr fontId="1" type="noConversion"/>
  </si>
  <si>
    <t>제선명</t>
    <phoneticPr fontId="1" type="noConversion"/>
  </si>
  <si>
    <t>3-14</t>
    <phoneticPr fontId="1" type="noConversion"/>
  </si>
  <si>
    <t>김수정</t>
    <phoneticPr fontId="1" type="noConversion"/>
  </si>
  <si>
    <t>010-9026-5420</t>
    <phoneticPr fontId="1" type="noConversion"/>
  </si>
  <si>
    <t>3-15</t>
    <phoneticPr fontId="1" type="noConversion"/>
  </si>
  <si>
    <t>권다연</t>
    <phoneticPr fontId="1" type="noConversion"/>
  </si>
  <si>
    <t>고옥자</t>
    <phoneticPr fontId="1" type="noConversion"/>
  </si>
  <si>
    <t>3-22</t>
    <phoneticPr fontId="1" type="noConversion"/>
  </si>
  <si>
    <t>조형준</t>
    <phoneticPr fontId="1" type="noConversion"/>
  </si>
  <si>
    <t>주영미</t>
    <phoneticPr fontId="1" type="noConversion"/>
  </si>
  <si>
    <t>010-5636-0153</t>
    <phoneticPr fontId="1" type="noConversion"/>
  </si>
  <si>
    <t>강원희</t>
    <phoneticPr fontId="1" type="noConversion"/>
  </si>
  <si>
    <t>은유</t>
    <phoneticPr fontId="1" type="noConversion"/>
  </si>
  <si>
    <t>4-2</t>
    <phoneticPr fontId="1" type="noConversion"/>
  </si>
  <si>
    <t>엄영섭</t>
    <phoneticPr fontId="1" type="noConversion"/>
  </si>
  <si>
    <t>010-9402-0875</t>
    <phoneticPr fontId="1" type="noConversion"/>
  </si>
  <si>
    <t>곽진선</t>
    <phoneticPr fontId="1" type="noConversion"/>
  </si>
  <si>
    <t>010-3826-0357</t>
    <phoneticPr fontId="1" type="noConversion"/>
  </si>
  <si>
    <t>4-22</t>
    <phoneticPr fontId="1" type="noConversion"/>
  </si>
  <si>
    <t>정순예</t>
    <phoneticPr fontId="1" type="noConversion"/>
  </si>
  <si>
    <t>강정모</t>
    <phoneticPr fontId="1" type="noConversion"/>
  </si>
  <si>
    <t>강경모</t>
    <phoneticPr fontId="1" type="noConversion"/>
  </si>
  <si>
    <t>4-31</t>
    <phoneticPr fontId="1" type="noConversion"/>
  </si>
  <si>
    <t>기신서</t>
    <phoneticPr fontId="1" type="noConversion"/>
  </si>
  <si>
    <t>문금례</t>
    <phoneticPr fontId="1" type="noConversion"/>
  </si>
  <si>
    <t>4-32</t>
    <phoneticPr fontId="1" type="noConversion"/>
  </si>
  <si>
    <t>김기숙</t>
    <phoneticPr fontId="1" type="noConversion"/>
  </si>
  <si>
    <t>공율</t>
    <phoneticPr fontId="1" type="noConversion"/>
  </si>
  <si>
    <t>공혁</t>
    <phoneticPr fontId="1" type="noConversion"/>
  </si>
  <si>
    <t>4-40</t>
    <phoneticPr fontId="1" type="noConversion"/>
  </si>
  <si>
    <t>김현정</t>
    <phoneticPr fontId="1" type="noConversion"/>
  </si>
  <si>
    <t>010-4728-0486</t>
    <phoneticPr fontId="1" type="noConversion"/>
  </si>
  <si>
    <t>4-61</t>
    <phoneticPr fontId="1" type="noConversion"/>
  </si>
  <si>
    <t>유소영</t>
    <phoneticPr fontId="1" type="noConversion"/>
  </si>
  <si>
    <t>010-9511-5960</t>
    <phoneticPr fontId="1" type="noConversion"/>
  </si>
  <si>
    <t>4-66</t>
    <phoneticPr fontId="1" type="noConversion"/>
  </si>
  <si>
    <t>강대섭</t>
    <phoneticPr fontId="1" type="noConversion"/>
  </si>
  <si>
    <t>010-9389-8133</t>
    <phoneticPr fontId="1" type="noConversion"/>
  </si>
  <si>
    <t>장소영</t>
    <phoneticPr fontId="1" type="noConversion"/>
  </si>
  <si>
    <t>010-9552-7321</t>
    <phoneticPr fontId="1" type="noConversion"/>
  </si>
  <si>
    <t>4-74</t>
    <phoneticPr fontId="1" type="noConversion"/>
  </si>
  <si>
    <t>유을순</t>
    <phoneticPr fontId="1" type="noConversion"/>
  </si>
  <si>
    <t>010-9496-5679</t>
    <phoneticPr fontId="1" type="noConversion"/>
  </si>
  <si>
    <t>4-78</t>
    <phoneticPr fontId="1" type="noConversion"/>
  </si>
  <si>
    <t>조병환</t>
    <phoneticPr fontId="1" type="noConversion"/>
  </si>
  <si>
    <t>010-5422-7474</t>
    <phoneticPr fontId="1" type="noConversion"/>
  </si>
  <si>
    <t>4-84</t>
    <phoneticPr fontId="1" type="noConversion"/>
  </si>
  <si>
    <t>김영민</t>
    <phoneticPr fontId="1" type="noConversion"/>
  </si>
  <si>
    <t>010-5002-6155</t>
    <phoneticPr fontId="1" type="noConversion"/>
  </si>
  <si>
    <t>4-88</t>
    <phoneticPr fontId="1" type="noConversion"/>
  </si>
  <si>
    <t>유인하</t>
    <phoneticPr fontId="1" type="noConversion"/>
  </si>
  <si>
    <t>010-2064-2644</t>
    <phoneticPr fontId="1" type="noConversion"/>
  </si>
  <si>
    <t>최선자</t>
    <phoneticPr fontId="1" type="noConversion"/>
  </si>
  <si>
    <t>010-6411-4608</t>
    <phoneticPr fontId="1" type="noConversion"/>
  </si>
  <si>
    <t>010-5808-4608</t>
    <phoneticPr fontId="1" type="noConversion"/>
  </si>
  <si>
    <t>임수연</t>
    <phoneticPr fontId="1" type="noConversion"/>
  </si>
  <si>
    <t>010-4630-4608</t>
    <phoneticPr fontId="1" type="noConversion"/>
  </si>
  <si>
    <t>임주환</t>
    <phoneticPr fontId="1" type="noConversion"/>
  </si>
  <si>
    <t>4-93</t>
    <phoneticPr fontId="1" type="noConversion"/>
  </si>
  <si>
    <t>최은주</t>
    <phoneticPr fontId="1" type="noConversion"/>
  </si>
  <si>
    <t>010-4461-1123</t>
    <phoneticPr fontId="1" type="noConversion"/>
  </si>
  <si>
    <t>홍경숙</t>
    <phoneticPr fontId="1" type="noConversion"/>
  </si>
  <si>
    <t>010-3450-8693</t>
    <phoneticPr fontId="1" type="noConversion"/>
  </si>
  <si>
    <t>5-8</t>
    <phoneticPr fontId="1" type="noConversion"/>
  </si>
  <si>
    <t>이광열</t>
    <phoneticPr fontId="1" type="noConversion"/>
  </si>
  <si>
    <t>010-4693-1430</t>
    <phoneticPr fontId="1" type="noConversion"/>
  </si>
  <si>
    <t>5-10</t>
  </si>
  <si>
    <t>김경환</t>
    <phoneticPr fontId="1" type="noConversion"/>
  </si>
  <si>
    <t>010-5251-1972</t>
    <phoneticPr fontId="1" type="noConversion"/>
  </si>
  <si>
    <t>5-16</t>
  </si>
  <si>
    <t>허용순</t>
    <phoneticPr fontId="1" type="noConversion"/>
  </si>
  <si>
    <t>010-8573-1982</t>
    <phoneticPr fontId="1" type="noConversion"/>
  </si>
  <si>
    <t>5-18</t>
  </si>
  <si>
    <t>임미랑</t>
    <phoneticPr fontId="1" type="noConversion"/>
  </si>
  <si>
    <t>010-5154-6623</t>
    <phoneticPr fontId="1" type="noConversion"/>
  </si>
  <si>
    <t>5-23</t>
  </si>
  <si>
    <t>010-5782-3565</t>
    <phoneticPr fontId="1" type="noConversion"/>
  </si>
  <si>
    <t>010-3996-0729</t>
    <phoneticPr fontId="1" type="noConversion"/>
  </si>
  <si>
    <t>5-38</t>
    <phoneticPr fontId="1" type="noConversion"/>
  </si>
  <si>
    <t>김효수</t>
    <phoneticPr fontId="1" type="noConversion"/>
  </si>
  <si>
    <t>010-9192-1623</t>
    <phoneticPr fontId="1" type="noConversion"/>
  </si>
  <si>
    <t>아산시 배방읍 호서로 자이1차@ 101동 603호</t>
    <phoneticPr fontId="1" type="noConversion"/>
  </si>
  <si>
    <t>5-40</t>
    <phoneticPr fontId="1" type="noConversion"/>
  </si>
  <si>
    <t>최나영</t>
    <phoneticPr fontId="1" type="noConversion"/>
  </si>
  <si>
    <t>010-2527-7428</t>
    <phoneticPr fontId="1" type="noConversion"/>
  </si>
  <si>
    <t>230907_  kb건강(89.300원)</t>
    <phoneticPr fontId="1" type="noConversion"/>
  </si>
  <si>
    <t>아산시 배방읍 북수로116배방자이2차@106동 401호</t>
    <phoneticPr fontId="1" type="noConversion"/>
  </si>
  <si>
    <t>5-44</t>
    <phoneticPr fontId="1" type="noConversion"/>
  </si>
  <si>
    <t>010-5305-7063</t>
    <phoneticPr fontId="1" type="noConversion"/>
  </si>
  <si>
    <t>서북구 백석동 1090 다온하우스 204호</t>
    <phoneticPr fontId="1" type="noConversion"/>
  </si>
  <si>
    <t>5-45</t>
    <phoneticPr fontId="1" type="noConversion"/>
  </si>
  <si>
    <t>이슬기</t>
    <phoneticPr fontId="1" type="noConversion"/>
  </si>
  <si>
    <t>010-8719-6380</t>
    <phoneticPr fontId="1" type="noConversion"/>
  </si>
  <si>
    <t>서울구로구개봉동365-18 201호</t>
    <phoneticPr fontId="1" type="noConversion"/>
  </si>
  <si>
    <t>5-52</t>
    <phoneticPr fontId="1" type="noConversion"/>
  </si>
  <si>
    <t>정용자</t>
    <phoneticPr fontId="1" type="noConversion"/>
  </si>
  <si>
    <t>010-3489-5286</t>
    <phoneticPr fontId="1" type="noConversion"/>
  </si>
  <si>
    <t>두정고7길 36 우성@108동 801호</t>
    <phoneticPr fontId="1" type="noConversion"/>
  </si>
  <si>
    <t>박천양</t>
    <phoneticPr fontId="1" type="noConversion"/>
  </si>
  <si>
    <t>010-8277-0252</t>
    <phoneticPr fontId="1" type="noConversion"/>
  </si>
  <si>
    <t>5-56</t>
    <phoneticPr fontId="1" type="noConversion"/>
  </si>
  <si>
    <t>강은주</t>
    <phoneticPr fontId="1" type="noConversion"/>
  </si>
  <si>
    <t>010-5452-6816</t>
    <phoneticPr fontId="1" type="noConversion"/>
  </si>
  <si>
    <t>백석3로91 210동 204호</t>
    <phoneticPr fontId="1" type="noConversion"/>
  </si>
  <si>
    <t>5-58</t>
    <phoneticPr fontId="1" type="noConversion"/>
  </si>
  <si>
    <t>이선숙</t>
    <phoneticPr fontId="1" type="noConversion"/>
  </si>
  <si>
    <t>010-8416-0528</t>
    <phoneticPr fontId="1" type="noConversion"/>
  </si>
  <si>
    <t>\\</t>
    <phoneticPr fontId="1" type="noConversion"/>
  </si>
  <si>
    <t>윤지은</t>
    <phoneticPr fontId="1" type="noConversion"/>
  </si>
  <si>
    <t>010-7799-5023</t>
    <phoneticPr fontId="1" type="noConversion"/>
  </si>
  <si>
    <t>서울동작구 대림로 33-1 501호</t>
    <phoneticPr fontId="1" type="noConversion"/>
  </si>
  <si>
    <t>5-63</t>
    <phoneticPr fontId="1" type="noConversion"/>
  </si>
  <si>
    <t>김장현</t>
    <phoneticPr fontId="1" type="noConversion"/>
  </si>
  <si>
    <t xml:space="preserve"> 010-8253-4389</t>
    <phoneticPr fontId="1" type="noConversion"/>
  </si>
  <si>
    <t>아산시 도고면로 161</t>
  </si>
  <si>
    <t>하경희</t>
    <phoneticPr fontId="1" type="noConversion"/>
  </si>
  <si>
    <t xml:space="preserve"> 010-6770-0257</t>
    <phoneticPr fontId="1" type="noConversion"/>
  </si>
  <si>
    <t>5-65</t>
    <phoneticPr fontId="1" type="noConversion"/>
  </si>
  <si>
    <t>천영옥</t>
    <phoneticPr fontId="1" type="noConversion"/>
  </si>
  <si>
    <t xml:space="preserve"> 010-8891-2652</t>
    <phoneticPr fontId="1" type="noConversion"/>
  </si>
  <si>
    <t>아산시 배방읍 자이1차@102-704</t>
    <phoneticPr fontId="1" type="noConversion"/>
  </si>
  <si>
    <t>김우남</t>
    <phoneticPr fontId="1" type="noConversion"/>
  </si>
  <si>
    <t>010-5279-7237</t>
    <phoneticPr fontId="1" type="noConversion"/>
  </si>
  <si>
    <t>5-74</t>
    <phoneticPr fontId="1" type="noConversion"/>
  </si>
  <si>
    <t>010-3922-7136</t>
    <phoneticPr fontId="1" type="noConversion"/>
  </si>
  <si>
    <t>서울 마포구 양화로 3길59 701호</t>
    <phoneticPr fontId="1" type="noConversion"/>
  </si>
  <si>
    <t>5-75</t>
    <phoneticPr fontId="1" type="noConversion"/>
  </si>
  <si>
    <t>손성직</t>
    <phoneticPr fontId="1" type="noConversion"/>
  </si>
  <si>
    <t>010-6236-6543</t>
    <phoneticPr fontId="1" type="noConversion"/>
  </si>
  <si>
    <t>손미리</t>
    <phoneticPr fontId="1" type="noConversion"/>
  </si>
  <si>
    <t>손영웅</t>
    <phoneticPr fontId="1" type="noConversion"/>
  </si>
  <si>
    <t>5-83</t>
    <phoneticPr fontId="1" type="noConversion"/>
  </si>
  <si>
    <t>010-2359-3290</t>
    <phoneticPr fontId="1" type="noConversion"/>
  </si>
  <si>
    <t>충남 아산시 휴대세교길 7-1</t>
  </si>
  <si>
    <t>임헌성</t>
    <phoneticPr fontId="1" type="noConversion"/>
  </si>
  <si>
    <t>010-4429-3290</t>
    <phoneticPr fontId="1" type="noConversion"/>
  </si>
  <si>
    <t>5-88</t>
    <phoneticPr fontId="1" type="noConversion"/>
  </si>
  <si>
    <t>010-5858-8960</t>
  </si>
  <si>
    <t>주소 천안시 서북구 서부20길 40 405호</t>
  </si>
  <si>
    <t>5-89</t>
    <phoneticPr fontId="1" type="noConversion"/>
  </si>
  <si>
    <t>이순심</t>
    <phoneticPr fontId="1" type="noConversion"/>
  </si>
  <si>
    <t>010-3206-7499</t>
    <phoneticPr fontId="1" type="noConversion"/>
  </si>
  <si>
    <t>예산리 교남길37-7</t>
    <phoneticPr fontId="1" type="noConversion"/>
  </si>
  <si>
    <t>박풍서</t>
    <phoneticPr fontId="1" type="noConversion"/>
  </si>
  <si>
    <t>010-5497-5321</t>
    <phoneticPr fontId="1" type="noConversion"/>
  </si>
  <si>
    <t>5-90</t>
    <phoneticPr fontId="1" type="noConversion"/>
  </si>
  <si>
    <t>류영수</t>
    <phoneticPr fontId="1" type="noConversion"/>
  </si>
  <si>
    <t>010-9241-0375</t>
    <phoneticPr fontId="1" type="noConversion"/>
  </si>
  <si>
    <t>예산리 오가면 북길 55</t>
    <phoneticPr fontId="1" type="noConversion"/>
  </si>
  <si>
    <t>5-91</t>
    <phoneticPr fontId="1" type="noConversion"/>
  </si>
  <si>
    <t>강양구</t>
    <phoneticPr fontId="1" type="noConversion"/>
  </si>
  <si>
    <t>010-6664-7149</t>
    <phoneticPr fontId="1" type="noConversion"/>
  </si>
  <si>
    <t>신양면 신양리 청신로 381-1(336-1)</t>
    <phoneticPr fontId="1" type="noConversion"/>
  </si>
  <si>
    <t>조남국</t>
    <phoneticPr fontId="1" type="noConversion"/>
  </si>
  <si>
    <t>010-6422-7077</t>
    <phoneticPr fontId="1" type="noConversion"/>
  </si>
  <si>
    <t>5-92</t>
    <phoneticPr fontId="1" type="noConversion"/>
  </si>
  <si>
    <t>최진종</t>
    <phoneticPr fontId="1" type="noConversion"/>
  </si>
  <si>
    <t>010-8821-7413</t>
    <phoneticPr fontId="1" type="noConversion"/>
  </si>
  <si>
    <t>신양면 녹문길 67</t>
    <phoneticPr fontId="1" type="noConversion"/>
  </si>
  <si>
    <t>이정순</t>
    <phoneticPr fontId="1" type="noConversion"/>
  </si>
  <si>
    <t>010-8281-7413</t>
    <phoneticPr fontId="1" type="noConversion"/>
  </si>
  <si>
    <t>5-93</t>
    <phoneticPr fontId="1" type="noConversion"/>
  </si>
  <si>
    <t>김기화</t>
    <phoneticPr fontId="1" type="noConversion"/>
  </si>
  <si>
    <t>010-8809-9680</t>
    <phoneticPr fontId="1" type="noConversion"/>
  </si>
  <si>
    <t>김대호</t>
    <phoneticPr fontId="1" type="noConversion"/>
  </si>
  <si>
    <t>5-94</t>
    <phoneticPr fontId="1" type="noConversion"/>
  </si>
  <si>
    <t>010-6401-8540</t>
    <phoneticPr fontId="1" type="noConversion"/>
  </si>
  <si>
    <t>아리랑로 43. 유익아파트203-1002</t>
    <phoneticPr fontId="1" type="noConversion"/>
  </si>
  <si>
    <t>이호숙</t>
    <phoneticPr fontId="1" type="noConversion"/>
  </si>
  <si>
    <t>010-6233-8024</t>
    <phoneticPr fontId="1" type="noConversion"/>
  </si>
  <si>
    <t>인천계양구계산동주부토로532번길42 태평@2동 115호</t>
    <phoneticPr fontId="1" type="noConversion"/>
  </si>
  <si>
    <t>김민수</t>
    <phoneticPr fontId="1" type="noConversion"/>
  </si>
  <si>
    <t>010-9124-5844</t>
    <phoneticPr fontId="1" type="noConversion"/>
  </si>
  <si>
    <t>홍성 신대로54효성해링턴 101동 401호</t>
    <phoneticPr fontId="1" type="noConversion"/>
  </si>
  <si>
    <t>임정은</t>
    <phoneticPr fontId="1" type="noConversion"/>
  </si>
  <si>
    <t>010-2254-0215</t>
    <phoneticPr fontId="1" type="noConversion"/>
  </si>
  <si>
    <t>5-95</t>
    <phoneticPr fontId="1" type="noConversion"/>
  </si>
  <si>
    <t>유숙남</t>
    <phoneticPr fontId="1" type="noConversion"/>
  </si>
  <si>
    <t>010-6432-5374</t>
    <phoneticPr fontId="1" type="noConversion"/>
  </si>
  <si>
    <t>부산광역시 남구 동명로 176번길 32</t>
  </si>
  <si>
    <t>6월26일</t>
    <phoneticPr fontId="1" type="noConversion"/>
  </si>
  <si>
    <t>최진규</t>
    <phoneticPr fontId="1" type="noConversion"/>
  </si>
  <si>
    <t>010-8944-4444</t>
  </si>
  <si>
    <t>천안시 차암동499 201호</t>
  </si>
  <si>
    <t>1-147</t>
    <phoneticPr fontId="1" type="noConversion"/>
  </si>
  <si>
    <t>남성우</t>
    <phoneticPr fontId="1" type="noConversion"/>
  </si>
  <si>
    <t>010-3144-6017</t>
    <phoneticPr fontId="1" type="noConversion"/>
  </si>
  <si>
    <t>세종시 보람로 95 도램마을 13단지 1314동 201호</t>
  </si>
  <si>
    <t>남선영</t>
    <phoneticPr fontId="1" type="noConversion"/>
  </si>
  <si>
    <t>010-4955-6378</t>
    <phoneticPr fontId="1" type="noConversion"/>
  </si>
  <si>
    <t>인천서구한들로33파크시티푸르지오113-1701</t>
    <phoneticPr fontId="1" type="noConversion"/>
  </si>
  <si>
    <t>9월1일</t>
    <phoneticPr fontId="1" type="noConversion"/>
  </si>
  <si>
    <t>남기만</t>
    <phoneticPr fontId="1" type="noConversion"/>
  </si>
  <si>
    <t>010-5487-6378</t>
    <phoneticPr fontId="1" type="noConversion"/>
  </si>
  <si>
    <t>메리츠화재2건</t>
    <phoneticPr fontId="1" type="noConversion"/>
  </si>
  <si>
    <t>5-96</t>
    <phoneticPr fontId="1" type="noConversion"/>
  </si>
  <si>
    <t>이태임</t>
  </si>
  <si>
    <t>010-7207-6216</t>
  </si>
  <si>
    <t>경기 남양주시 별내3로 64-16, 3603동203호(별내동)</t>
  </si>
  <si>
    <t>이원명</t>
  </si>
  <si>
    <t>010-4765-6219</t>
  </si>
  <si>
    <t>5-97</t>
    <phoneticPr fontId="1" type="noConversion"/>
  </si>
  <si>
    <t>강영미</t>
    <phoneticPr fontId="1" type="noConversion"/>
  </si>
  <si>
    <t>안형호</t>
    <phoneticPr fontId="1" type="noConversion"/>
  </si>
  <si>
    <t>010-9276-8077</t>
    <phoneticPr fontId="1" type="noConversion"/>
  </si>
  <si>
    <t>다이렉트 현대해상(2025)</t>
    <phoneticPr fontId="1" type="noConversion"/>
  </si>
  <si>
    <t>5-98</t>
    <phoneticPr fontId="1" type="noConversion"/>
  </si>
  <si>
    <t>정도섭</t>
    <phoneticPr fontId="1" type="noConversion"/>
  </si>
  <si>
    <t>010-3478-3168</t>
    <phoneticPr fontId="1" type="noConversion"/>
  </si>
  <si>
    <t>아산시 배방읍 용연로 37 포레스트힐206동 301호</t>
    <phoneticPr fontId="1" type="noConversion"/>
  </si>
  <si>
    <t>5-99</t>
    <phoneticPr fontId="1" type="noConversion"/>
  </si>
  <si>
    <t>김종암</t>
    <phoneticPr fontId="1" type="noConversion"/>
  </si>
  <si>
    <t>010-3568-6076</t>
    <phoneticPr fontId="1" type="noConversion"/>
  </si>
  <si>
    <t>다이렉트 삼성화재(2025)</t>
    <phoneticPr fontId="1" type="noConversion"/>
  </si>
  <si>
    <t>진주시 진주성로 35번길 11 아드케어 401호</t>
  </si>
  <si>
    <t>이점순</t>
    <phoneticPr fontId="1" type="noConversion"/>
  </si>
  <si>
    <t>010-5840-1341</t>
    <phoneticPr fontId="1" type="noConversion"/>
  </si>
  <si>
    <t>김병석</t>
    <phoneticPr fontId="1" type="noConversion"/>
  </si>
  <si>
    <t>010-5880-6076</t>
    <phoneticPr fontId="1" type="noConversion"/>
  </si>
  <si>
    <t>다이렉트 현대해상(2024)</t>
    <phoneticPr fontId="1" type="noConversion"/>
  </si>
  <si>
    <t>김병철</t>
    <phoneticPr fontId="1" type="noConversion"/>
  </si>
  <si>
    <t>010-9112-6076</t>
    <phoneticPr fontId="1" type="noConversion"/>
  </si>
  <si>
    <t>6-1</t>
    <phoneticPr fontId="1" type="noConversion"/>
  </si>
  <si>
    <t>박종선</t>
    <phoneticPr fontId="1" type="noConversion"/>
  </si>
  <si>
    <t>010-8818-8238</t>
    <phoneticPr fontId="1" type="noConversion"/>
  </si>
  <si>
    <t>청주시 고락로8</t>
    <phoneticPr fontId="1" type="noConversion"/>
  </si>
  <si>
    <t>유근명</t>
    <phoneticPr fontId="1" type="noConversion"/>
  </si>
  <si>
    <t>010-4036-8238</t>
    <phoneticPr fontId="1" type="noConversion"/>
  </si>
  <si>
    <t>6-2</t>
    <phoneticPr fontId="1" type="noConversion"/>
  </si>
  <si>
    <t>최성임</t>
    <phoneticPr fontId="1" type="noConversion"/>
  </si>
  <si>
    <t>010-8246-7012</t>
    <phoneticPr fontId="1" type="noConversion"/>
  </si>
  <si>
    <t>예산군 신양면 청신로 399-1</t>
    <phoneticPr fontId="1" type="noConversion"/>
  </si>
  <si>
    <t>6-3</t>
    <phoneticPr fontId="1" type="noConversion"/>
  </si>
  <si>
    <t>김정호</t>
    <phoneticPr fontId="1" type="noConversion"/>
  </si>
  <si>
    <t>010-4245-9998</t>
    <phoneticPr fontId="1" type="noConversion"/>
  </si>
  <si>
    <t>충남 아산시 배방로 58-38 배방2차푸르지오아파트 203동 704호</t>
    <phoneticPr fontId="1" type="noConversion"/>
  </si>
  <si>
    <t>김성일</t>
    <phoneticPr fontId="1" type="noConversion"/>
  </si>
  <si>
    <t>010-8326-6618</t>
    <phoneticPr fontId="1" type="noConversion"/>
  </si>
  <si>
    <t xml:space="preserve"> 서울시 관악구 미성길 122 신림쌍용아파트 101동1610호</t>
    <phoneticPr fontId="1" type="noConversion"/>
  </si>
  <si>
    <t>김춘이</t>
    <phoneticPr fontId="1" type="noConversion"/>
  </si>
  <si>
    <t>010-3934-4270</t>
    <phoneticPr fontId="1" type="noConversion"/>
  </si>
  <si>
    <t>010-3403-2659</t>
    <phoneticPr fontId="1" type="noConversion"/>
  </si>
  <si>
    <t>1-7</t>
    <phoneticPr fontId="1" type="noConversion"/>
  </si>
  <si>
    <t>한성욱</t>
    <phoneticPr fontId="1" type="noConversion"/>
  </si>
  <si>
    <t>010-9421-4898</t>
    <phoneticPr fontId="1" type="noConversion"/>
  </si>
  <si>
    <t>아산시 음봉면 음봉로 803-10 태헌장미 102동 1214호</t>
  </si>
  <si>
    <t>양희은</t>
    <phoneticPr fontId="1" type="noConversion"/>
  </si>
  <si>
    <t>010-8821-4898</t>
    <phoneticPr fontId="1" type="noConversion"/>
  </si>
  <si>
    <t>한지호</t>
    <phoneticPr fontId="1" type="noConversion"/>
  </si>
  <si>
    <t>한지운</t>
    <phoneticPr fontId="1" type="noConversion"/>
  </si>
  <si>
    <t>이순애</t>
    <phoneticPr fontId="1" type="noConversion"/>
  </si>
  <si>
    <t>010-4078-2055</t>
    <phoneticPr fontId="1" type="noConversion"/>
  </si>
  <si>
    <t>탕정면 선문로 329번길 5-37</t>
    <phoneticPr fontId="1" type="noConversion"/>
  </si>
  <si>
    <t>양창국</t>
    <phoneticPr fontId="1" type="noConversion"/>
  </si>
  <si>
    <t>6-5</t>
    <phoneticPr fontId="1" type="noConversion"/>
  </si>
  <si>
    <t>주은규</t>
    <phoneticPr fontId="1" type="noConversion"/>
  </si>
  <si>
    <t>010-4087-2611</t>
    <phoneticPr fontId="1" type="noConversion"/>
  </si>
  <si>
    <t>성황로40 101-104</t>
    <phoneticPr fontId="1" type="noConversion"/>
  </si>
  <si>
    <t>05월07일</t>
    <phoneticPr fontId="1" type="noConversion"/>
  </si>
  <si>
    <t>조경수</t>
    <phoneticPr fontId="1" type="noConversion"/>
  </si>
  <si>
    <t>010-4877-2611</t>
    <phoneticPr fontId="1" type="noConversion"/>
  </si>
  <si>
    <t>4월28일/12월25일</t>
    <phoneticPr fontId="1" type="noConversion"/>
  </si>
  <si>
    <t>주주백</t>
    <phoneticPr fontId="1" type="noConversion"/>
  </si>
  <si>
    <t>010-5487-9740</t>
    <phoneticPr fontId="1" type="noConversion"/>
  </si>
  <si>
    <t>천안대로980-17 105동 301호</t>
    <phoneticPr fontId="1" type="noConversion"/>
  </si>
  <si>
    <t>강옥자</t>
    <phoneticPr fontId="1" type="noConversion"/>
  </si>
  <si>
    <t>010-3786-9740</t>
    <phoneticPr fontId="1" type="noConversion"/>
  </si>
  <si>
    <t>6-6</t>
    <phoneticPr fontId="1" type="noConversion"/>
  </si>
  <si>
    <t>고광순</t>
    <phoneticPr fontId="1" type="noConversion"/>
  </si>
  <si>
    <t>010-3152-7594</t>
    <phoneticPr fontId="1" type="noConversion"/>
  </si>
  <si>
    <t>예산군 신양면 가지2길 27-14</t>
    <phoneticPr fontId="1" type="noConversion"/>
  </si>
  <si>
    <t>유정걸</t>
    <phoneticPr fontId="1" type="noConversion"/>
  </si>
  <si>
    <t>010-5510-7594</t>
    <phoneticPr fontId="1" type="noConversion"/>
  </si>
  <si>
    <t>6-7</t>
    <phoneticPr fontId="1" type="noConversion"/>
  </si>
  <si>
    <t>임준희</t>
    <phoneticPr fontId="1" type="noConversion"/>
  </si>
  <si>
    <t>010-8235-7730</t>
    <phoneticPr fontId="1" type="noConversion"/>
  </si>
  <si>
    <t xml:space="preserve">신양면 청신로3773 예산성호아파트. 803호. </t>
  </si>
  <si>
    <t>9월2일</t>
    <phoneticPr fontId="1" type="noConversion"/>
  </si>
  <si>
    <t>한화수</t>
    <phoneticPr fontId="1" type="noConversion"/>
  </si>
  <si>
    <t>삼성화재다이렉트</t>
    <phoneticPr fontId="1" type="noConversion"/>
  </si>
  <si>
    <t>6-8</t>
    <phoneticPr fontId="1" type="noConversion"/>
  </si>
  <si>
    <t>12월21일</t>
    <phoneticPr fontId="1" type="noConversion"/>
  </si>
  <si>
    <t>여승구</t>
    <phoneticPr fontId="1" type="noConversion"/>
  </si>
  <si>
    <t>010-7425-7788</t>
  </si>
  <si>
    <t>kb손해보험</t>
    <phoneticPr fontId="1" type="noConversion"/>
  </si>
  <si>
    <t>예산읍 신례원로 171번길 11-11 드림빌라 105동 202호</t>
  </si>
  <si>
    <t>6-9</t>
    <phoneticPr fontId="1" type="noConversion"/>
  </si>
  <si>
    <t>전재숙</t>
    <phoneticPr fontId="1" type="noConversion"/>
  </si>
  <si>
    <t>010-9790-3332</t>
    <phoneticPr fontId="1" type="noConversion"/>
  </si>
  <si>
    <t>예산읍 아리랑로93-10 세광 엔리치 109동 1401호</t>
    <phoneticPr fontId="1" type="noConversion"/>
  </si>
  <si>
    <t>6-10</t>
    <phoneticPr fontId="1" type="noConversion"/>
  </si>
  <si>
    <t>윤혁구</t>
    <phoneticPr fontId="1" type="noConversion"/>
  </si>
  <si>
    <t>010-3118-7322</t>
    <phoneticPr fontId="1" type="noConversion"/>
  </si>
  <si>
    <t>예산군 신양면 만사1길 31-19</t>
    <phoneticPr fontId="1" type="noConversion"/>
  </si>
  <si>
    <t>박유자</t>
    <phoneticPr fontId="1" type="noConversion"/>
  </si>
  <si>
    <t>010-4122-7322</t>
    <phoneticPr fontId="1" type="noConversion"/>
  </si>
  <si>
    <t>6-11</t>
    <phoneticPr fontId="1" type="noConversion"/>
  </si>
  <si>
    <t>전순렬</t>
    <phoneticPr fontId="1" type="noConversion"/>
  </si>
  <si>
    <t>010-6561-5855</t>
  </si>
  <si>
    <t>예산읍 아리랑로93-10 세광 엔리치 109동 207호</t>
    <phoneticPr fontId="1" type="noConversion"/>
  </si>
  <si>
    <t>6-12</t>
    <phoneticPr fontId="1" type="noConversion"/>
  </si>
  <si>
    <t>최영도</t>
    <phoneticPr fontId="1" type="noConversion"/>
  </si>
  <si>
    <t>010-2398-3028</t>
    <phoneticPr fontId="1" type="noConversion"/>
  </si>
  <si>
    <t>예산읍 오가면 좌분양막로 56-36</t>
    <phoneticPr fontId="1" type="noConversion"/>
  </si>
  <si>
    <t>6-13</t>
    <phoneticPr fontId="1" type="noConversion"/>
  </si>
  <si>
    <t>주현규</t>
    <phoneticPr fontId="1" type="noConversion"/>
  </si>
  <si>
    <t>010-8364-0822</t>
    <phoneticPr fontId="1" type="noConversion"/>
  </si>
  <si>
    <t>천안대로 980-17 포레나111동 204호</t>
    <phoneticPr fontId="1" type="noConversion"/>
  </si>
  <si>
    <t>정은숙</t>
    <phoneticPr fontId="1" type="noConversion"/>
  </si>
  <si>
    <t>010-7365-0822</t>
    <phoneticPr fontId="1" type="noConversion"/>
  </si>
  <si>
    <t>6-14</t>
    <phoneticPr fontId="1" type="noConversion"/>
  </si>
  <si>
    <t>황민우</t>
    <phoneticPr fontId="1" type="noConversion"/>
  </si>
  <si>
    <t>010-8033-8145</t>
    <phoneticPr fontId="1" type="noConversion"/>
  </si>
  <si>
    <t>예산읍 아리랑로 185-5 유성빌라2동102호</t>
    <phoneticPr fontId="1" type="noConversion"/>
  </si>
  <si>
    <t>6-15</t>
    <phoneticPr fontId="1" type="noConversion"/>
  </si>
  <si>
    <t>정효순</t>
    <phoneticPr fontId="1" type="noConversion"/>
  </si>
  <si>
    <t>010-9421-7024</t>
    <phoneticPr fontId="1" type="noConversion"/>
  </si>
  <si>
    <t>천안시 서북구 불당26로 77 지웰더샵 105동 501호</t>
    <phoneticPr fontId="1" type="noConversion"/>
  </si>
  <si>
    <t>최왕림</t>
    <phoneticPr fontId="1" type="noConversion"/>
  </si>
  <si>
    <t>010-6396-7983</t>
    <phoneticPr fontId="1" type="noConversion"/>
  </si>
  <si>
    <t>6-16</t>
    <phoneticPr fontId="1" type="noConversion"/>
  </si>
  <si>
    <t>류근철</t>
    <phoneticPr fontId="1" type="noConversion"/>
  </si>
  <si>
    <t>010-3753-0424</t>
    <phoneticPr fontId="1" type="noConversion"/>
  </si>
  <si>
    <t>서울시 은평구 연서로44길7 418동 404호</t>
    <phoneticPr fontId="1" type="noConversion"/>
  </si>
  <si>
    <t>장은경</t>
    <phoneticPr fontId="1" type="noConversion"/>
  </si>
  <si>
    <t>010-2829-0509</t>
    <phoneticPr fontId="1" type="noConversion"/>
  </si>
  <si>
    <t>6-17</t>
    <phoneticPr fontId="1" type="noConversion"/>
  </si>
  <si>
    <t>임지은</t>
    <phoneticPr fontId="1" type="noConversion"/>
  </si>
  <si>
    <t>010-9854-0428</t>
  </si>
  <si>
    <t>충남 서북구 봉정로 324, 두정효성해링턴 110-2905호</t>
  </si>
  <si>
    <t>010-8696-9907</t>
  </si>
  <si>
    <t xml:space="preserve"> 충청남도 천안시 서북구 불당동 1380, 2층 201호</t>
  </si>
  <si>
    <t>강지원</t>
    <phoneticPr fontId="1" type="noConversion"/>
  </si>
  <si>
    <t>010-4442-6705</t>
  </si>
  <si>
    <t>봉정로 324, 110-2905</t>
  </si>
  <si>
    <t>임장빈</t>
    <phoneticPr fontId="1" type="noConversion"/>
  </si>
  <si>
    <t xml:space="preserve"> 010-2670-4446</t>
  </si>
  <si>
    <t>충청남도 천안시 동남구 유량로 106, 302호</t>
  </si>
  <si>
    <t>6-18</t>
    <phoneticPr fontId="1" type="noConversion"/>
  </si>
  <si>
    <t>김단비</t>
    <phoneticPr fontId="1" type="noConversion"/>
  </si>
  <si>
    <t>010-7311-6428</t>
    <phoneticPr fontId="1" type="noConversion"/>
  </si>
  <si>
    <t>충남 아산시 탕정면 갈산교로 224, 307동505호</t>
  </si>
  <si>
    <t>김다온</t>
    <phoneticPr fontId="1" type="noConversion"/>
  </si>
  <si>
    <t>노형진</t>
    <phoneticPr fontId="1" type="noConversion"/>
  </si>
  <si>
    <t>010-8812-6428</t>
    <phoneticPr fontId="1" type="noConversion"/>
  </si>
  <si>
    <t>010-3368-7006</t>
  </si>
  <si>
    <t>6-19</t>
    <phoneticPr fontId="1" type="noConversion"/>
  </si>
  <si>
    <t>유지영</t>
    <phoneticPr fontId="1" type="noConversion"/>
  </si>
  <si>
    <t>010-9454-7470</t>
    <phoneticPr fontId="1" type="noConversion"/>
  </si>
  <si>
    <t xml:space="preserve">성성9로 14 레이크타운 2차 205동1601호 </t>
  </si>
  <si>
    <t>6-20</t>
    <phoneticPr fontId="1" type="noConversion"/>
  </si>
  <si>
    <t>김대섭</t>
    <phoneticPr fontId="1" type="noConversion"/>
  </si>
  <si>
    <t>010-6572-6137</t>
    <phoneticPr fontId="1" type="noConversion"/>
  </si>
  <si>
    <t>예산읍 아리랑로 144번길 19 104동 103호</t>
  </si>
  <si>
    <t>6-21</t>
    <phoneticPr fontId="1" type="noConversion"/>
  </si>
  <si>
    <t>이호용</t>
    <phoneticPr fontId="1" type="noConversion"/>
  </si>
  <si>
    <t>010-5423-2660</t>
    <phoneticPr fontId="1" type="noConversion"/>
  </si>
  <si>
    <t>천안시 서북구 한들로3로 36-17 백석아이파크3차 306동 1303호</t>
    <phoneticPr fontId="1" type="noConversion"/>
  </si>
  <si>
    <t>010-8813-2660</t>
    <phoneticPr fontId="1" type="noConversion"/>
  </si>
  <si>
    <t>류근숙</t>
    <phoneticPr fontId="1" type="noConversion"/>
  </si>
  <si>
    <t>최미경</t>
    <phoneticPr fontId="1" type="noConversion"/>
  </si>
  <si>
    <t>강유경</t>
    <phoneticPr fontId="1" type="noConversion"/>
  </si>
  <si>
    <t>강유미</t>
    <phoneticPr fontId="1" type="noConversion"/>
  </si>
  <si>
    <t>김동영</t>
    <phoneticPr fontId="1" type="noConversion"/>
  </si>
  <si>
    <t>박화은</t>
    <phoneticPr fontId="1" type="noConversion"/>
  </si>
  <si>
    <t>김태규</t>
    <phoneticPr fontId="1" type="noConversion"/>
  </si>
  <si>
    <t>김상겸</t>
    <phoneticPr fontId="1" type="noConversion"/>
  </si>
  <si>
    <t>김성배</t>
    <phoneticPr fontId="1" type="noConversion"/>
  </si>
  <si>
    <t>기나미준꼬</t>
    <phoneticPr fontId="1" type="noConversion"/>
  </si>
  <si>
    <t>최민준</t>
    <phoneticPr fontId="1" type="noConversion"/>
  </si>
  <si>
    <t>김태석</t>
    <phoneticPr fontId="1" type="noConversion"/>
  </si>
  <si>
    <t>맹정열</t>
    <phoneticPr fontId="1" type="noConversion"/>
  </si>
  <si>
    <t>이재희</t>
    <phoneticPr fontId="1" type="noConversion"/>
  </si>
  <si>
    <t>문지성</t>
    <phoneticPr fontId="1" type="noConversion"/>
  </si>
  <si>
    <t>문정호</t>
    <phoneticPr fontId="1" type="noConversion"/>
  </si>
  <si>
    <t>문지영</t>
    <phoneticPr fontId="1" type="noConversion"/>
  </si>
  <si>
    <t>문햇님</t>
    <phoneticPr fontId="1" type="noConversion"/>
  </si>
  <si>
    <t>류근희</t>
    <phoneticPr fontId="1" type="noConversion"/>
  </si>
  <si>
    <t>박예림</t>
    <phoneticPr fontId="1" type="noConversion"/>
  </si>
  <si>
    <t>박종덕</t>
    <phoneticPr fontId="1" type="noConversion"/>
  </si>
  <si>
    <t>송안국</t>
    <phoneticPr fontId="1" type="noConversion"/>
  </si>
  <si>
    <t>김지선</t>
    <phoneticPr fontId="1" type="noConversion"/>
  </si>
  <si>
    <t>신주호</t>
    <phoneticPr fontId="1" type="noConversion"/>
  </si>
  <si>
    <t>양고준</t>
    <phoneticPr fontId="1" type="noConversion"/>
  </si>
  <si>
    <t>양정심</t>
    <phoneticPr fontId="1" type="noConversion"/>
  </si>
  <si>
    <t>양화영</t>
    <phoneticPr fontId="1" type="noConversion"/>
  </si>
  <si>
    <t>이수남</t>
    <phoneticPr fontId="1" type="noConversion"/>
  </si>
  <si>
    <t>어윤중</t>
    <phoneticPr fontId="1" type="noConversion"/>
  </si>
  <si>
    <t>장진영</t>
    <phoneticPr fontId="1" type="noConversion"/>
  </si>
  <si>
    <t>유정숙</t>
    <phoneticPr fontId="1" type="noConversion"/>
  </si>
  <si>
    <t>이동윤</t>
    <phoneticPr fontId="1" type="noConversion"/>
  </si>
  <si>
    <t>이진우</t>
    <phoneticPr fontId="1" type="noConversion"/>
  </si>
  <si>
    <t>이복우</t>
    <phoneticPr fontId="1" type="noConversion"/>
  </si>
  <si>
    <t>이주연</t>
    <phoneticPr fontId="1" type="noConversion"/>
  </si>
  <si>
    <t>이윤정</t>
    <phoneticPr fontId="1" type="noConversion"/>
  </si>
  <si>
    <t>김학룡</t>
    <phoneticPr fontId="1" type="noConversion"/>
  </si>
  <si>
    <t>이재성</t>
    <phoneticPr fontId="1" type="noConversion"/>
  </si>
  <si>
    <t>최훈일</t>
    <phoneticPr fontId="1" type="noConversion"/>
  </si>
  <si>
    <t>한병호</t>
    <phoneticPr fontId="1" type="noConversion"/>
  </si>
  <si>
    <t>홍경서</t>
    <phoneticPr fontId="1" type="noConversion"/>
  </si>
  <si>
    <t>우영숙</t>
    <phoneticPr fontId="1" type="noConversion"/>
  </si>
  <si>
    <t>안경선</t>
    <phoneticPr fontId="1" type="noConversion"/>
  </si>
  <si>
    <t>김여옥</t>
    <phoneticPr fontId="1" type="noConversion"/>
  </si>
  <si>
    <t>우원오</t>
    <phoneticPr fontId="1" type="noConversion"/>
  </si>
  <si>
    <t>이혜영</t>
    <phoneticPr fontId="1" type="noConversion"/>
  </si>
  <si>
    <t>우예지</t>
    <phoneticPr fontId="1" type="noConversion"/>
  </si>
  <si>
    <t>우서린</t>
    <phoneticPr fontId="1" type="noConversion"/>
  </si>
  <si>
    <t>정다희</t>
    <phoneticPr fontId="1" type="noConversion"/>
  </si>
  <si>
    <t>한윤숙</t>
    <phoneticPr fontId="1" type="noConversion"/>
  </si>
  <si>
    <t>윤재경</t>
    <phoneticPr fontId="1" type="noConversion"/>
  </si>
  <si>
    <t>조미선</t>
    <phoneticPr fontId="1" type="noConversion"/>
  </si>
  <si>
    <t>이재린</t>
    <phoneticPr fontId="1" type="noConversion"/>
  </si>
  <si>
    <t>윤태봉</t>
    <phoneticPr fontId="1" type="noConversion"/>
  </si>
  <si>
    <t>윤지산</t>
    <phoneticPr fontId="1" type="noConversion"/>
  </si>
  <si>
    <t>윤지해</t>
    <phoneticPr fontId="1" type="noConversion"/>
  </si>
  <si>
    <t>윤지애</t>
    <phoneticPr fontId="1" type="noConversion"/>
  </si>
  <si>
    <t>정재훈</t>
    <phoneticPr fontId="1" type="noConversion"/>
  </si>
  <si>
    <t>정희수</t>
    <phoneticPr fontId="1" type="noConversion"/>
  </si>
  <si>
    <t>정효인</t>
    <phoneticPr fontId="1" type="noConversion"/>
  </si>
  <si>
    <t>이미영</t>
    <phoneticPr fontId="1" type="noConversion"/>
  </si>
  <si>
    <t>송명도</t>
    <phoneticPr fontId="1" type="noConversion"/>
  </si>
  <si>
    <t>송혜진</t>
    <phoneticPr fontId="1" type="noConversion"/>
  </si>
  <si>
    <t>박희연</t>
    <phoneticPr fontId="1" type="noConversion"/>
  </si>
  <si>
    <t>임명개</t>
    <phoneticPr fontId="1" type="noConversion"/>
  </si>
  <si>
    <t>오금숙</t>
    <phoneticPr fontId="1" type="noConversion"/>
  </si>
  <si>
    <t>서영기</t>
    <phoneticPr fontId="1" type="noConversion"/>
  </si>
  <si>
    <t>서현석</t>
    <phoneticPr fontId="1" type="noConversion"/>
  </si>
  <si>
    <t>소병호</t>
    <phoneticPr fontId="1" type="noConversion"/>
  </si>
  <si>
    <t>손국정</t>
    <phoneticPr fontId="1" type="noConversion"/>
  </si>
  <si>
    <t>소예은</t>
    <phoneticPr fontId="1" type="noConversion"/>
  </si>
  <si>
    <t>소은섭</t>
    <phoneticPr fontId="1" type="noConversion"/>
  </si>
  <si>
    <t>김종길</t>
    <phoneticPr fontId="1" type="noConversion"/>
  </si>
  <si>
    <t>박희순</t>
    <phoneticPr fontId="1" type="noConversion"/>
  </si>
  <si>
    <t>민병술</t>
    <phoneticPr fontId="1" type="noConversion"/>
  </si>
  <si>
    <t>주은진</t>
    <phoneticPr fontId="1" type="noConversion"/>
  </si>
  <si>
    <t>남궁윤기</t>
    <phoneticPr fontId="1" type="noConversion"/>
  </si>
  <si>
    <t>남궁승주</t>
    <phoneticPr fontId="1" type="noConversion"/>
  </si>
  <si>
    <t>남궁예주</t>
    <phoneticPr fontId="1" type="noConversion"/>
  </si>
  <si>
    <t>백윤서</t>
    <phoneticPr fontId="1" type="noConversion"/>
  </si>
  <si>
    <t>이경병</t>
    <phoneticPr fontId="1" type="noConversion"/>
  </si>
  <si>
    <t>이재현</t>
    <phoneticPr fontId="1" type="noConversion"/>
  </si>
  <si>
    <t>이금순</t>
    <phoneticPr fontId="1" type="noConversion"/>
  </si>
  <si>
    <t>안상혁</t>
    <phoneticPr fontId="1" type="noConversion"/>
  </si>
  <si>
    <t>안지업</t>
    <phoneticPr fontId="1" type="noConversion"/>
  </si>
  <si>
    <t>서원옥</t>
    <phoneticPr fontId="1" type="noConversion"/>
  </si>
  <si>
    <t>안봉재</t>
    <phoneticPr fontId="1" type="noConversion"/>
  </si>
  <si>
    <t>이재국</t>
    <phoneticPr fontId="1" type="noConversion"/>
  </si>
  <si>
    <t>이선옥</t>
    <phoneticPr fontId="1" type="noConversion"/>
  </si>
  <si>
    <t>이은채</t>
    <phoneticPr fontId="1" type="noConversion"/>
  </si>
  <si>
    <t>박정민</t>
    <phoneticPr fontId="1" type="noConversion"/>
  </si>
  <si>
    <t>최민지</t>
    <phoneticPr fontId="1" type="noConversion"/>
  </si>
  <si>
    <t>박예진</t>
    <phoneticPr fontId="1" type="noConversion"/>
  </si>
  <si>
    <t>황윤한</t>
    <phoneticPr fontId="1" type="noConversion"/>
  </si>
  <si>
    <t>안정아</t>
    <phoneticPr fontId="1" type="noConversion"/>
  </si>
  <si>
    <t>황종광</t>
    <phoneticPr fontId="1" type="noConversion"/>
  </si>
  <si>
    <t>변정숙</t>
    <phoneticPr fontId="1" type="noConversion"/>
  </si>
  <si>
    <t>신수환</t>
    <phoneticPr fontId="1" type="noConversion"/>
  </si>
  <si>
    <t>김광순</t>
    <phoneticPr fontId="1" type="noConversion"/>
  </si>
  <si>
    <t>김희경</t>
    <phoneticPr fontId="1" type="noConversion"/>
  </si>
  <si>
    <t>배소은</t>
    <phoneticPr fontId="1" type="noConversion"/>
  </si>
  <si>
    <t>배양호</t>
    <phoneticPr fontId="1" type="noConversion"/>
  </si>
  <si>
    <t>배수빈</t>
    <phoneticPr fontId="1" type="noConversion"/>
  </si>
  <si>
    <t>강인애</t>
    <phoneticPr fontId="1" type="noConversion"/>
  </si>
  <si>
    <t>조병주</t>
    <phoneticPr fontId="1" type="noConversion"/>
  </si>
  <si>
    <t>백석동 878 빨간빌딩, 880 백석그린빌딩, 861 웰빙라이프빌딩</t>
    <phoneticPr fontId="1" type="noConversion"/>
  </si>
  <si>
    <t>윤선희</t>
    <phoneticPr fontId="1" type="noConversion"/>
  </si>
  <si>
    <t>권태우</t>
    <phoneticPr fontId="1" type="noConversion"/>
  </si>
  <si>
    <t>권오순</t>
    <phoneticPr fontId="1" type="noConversion"/>
  </si>
  <si>
    <t>김해영</t>
    <phoneticPr fontId="1" type="noConversion"/>
  </si>
  <si>
    <t>정지윤</t>
    <phoneticPr fontId="1" type="noConversion"/>
  </si>
  <si>
    <t>허진석</t>
    <phoneticPr fontId="1" type="noConversion"/>
  </si>
  <si>
    <t>박정순</t>
    <phoneticPr fontId="1" type="noConversion"/>
  </si>
  <si>
    <t>이선이</t>
    <phoneticPr fontId="1" type="noConversion"/>
  </si>
  <si>
    <t>김운래</t>
    <phoneticPr fontId="1" type="noConversion"/>
  </si>
  <si>
    <t>김아영</t>
    <phoneticPr fontId="1" type="noConversion"/>
  </si>
  <si>
    <t>허진석모</t>
    <phoneticPr fontId="1" type="noConversion"/>
  </si>
  <si>
    <t>손은옥</t>
    <phoneticPr fontId="1" type="noConversion"/>
  </si>
  <si>
    <t>안광수</t>
    <phoneticPr fontId="1" type="noConversion"/>
  </si>
  <si>
    <t>김정환</t>
    <phoneticPr fontId="1" type="noConversion"/>
  </si>
  <si>
    <t>장현철</t>
    <phoneticPr fontId="1" type="noConversion"/>
  </si>
  <si>
    <t>김지영</t>
    <phoneticPr fontId="1" type="noConversion"/>
  </si>
  <si>
    <t>홍현분</t>
    <phoneticPr fontId="1" type="noConversion"/>
  </si>
  <si>
    <t>이은옥</t>
    <phoneticPr fontId="1" type="noConversion"/>
  </si>
  <si>
    <t>010-2860-5653</t>
    <phoneticPr fontId="1" type="noConversion"/>
  </si>
  <si>
    <t>예산군 예산읍 예산리 향교길 7-12</t>
    <phoneticPr fontId="1" type="noConversion"/>
  </si>
  <si>
    <t>이동교</t>
    <phoneticPr fontId="1" type="noConversion"/>
  </si>
  <si>
    <t>임범신</t>
    <phoneticPr fontId="1" type="noConversion"/>
  </si>
  <si>
    <t>010-9180-4077</t>
    <phoneticPr fontId="1" type="noConversion"/>
  </si>
  <si>
    <t>6-22</t>
    <phoneticPr fontId="1" type="noConversion"/>
  </si>
  <si>
    <t>김대회</t>
    <phoneticPr fontId="1" type="noConversion"/>
  </si>
  <si>
    <t>010-4779-7963</t>
    <phoneticPr fontId="1" type="noConversion"/>
  </si>
  <si>
    <t>이정아</t>
    <phoneticPr fontId="1" type="noConversion"/>
  </si>
  <si>
    <t>010-9253-8722</t>
    <phoneticPr fontId="1" type="noConversion"/>
  </si>
  <si>
    <t>성성6로21 시티자이@111동 2103호</t>
    <phoneticPr fontId="1" type="noConversion"/>
  </si>
  <si>
    <t>김영옥</t>
    <phoneticPr fontId="1" type="noConversion"/>
  </si>
  <si>
    <t>010- 4536 -6544</t>
    <phoneticPr fontId="1" type="noConversion"/>
  </si>
  <si>
    <t>6-23</t>
    <phoneticPr fontId="1" type="noConversion"/>
  </si>
  <si>
    <t>충북청주시청원구1순환로317-1충북낚시할인마트</t>
    <phoneticPr fontId="1" type="noConversion"/>
  </si>
  <si>
    <t>서울동대문구 답십리로 101-7 201호</t>
    <phoneticPr fontId="1" type="noConversion"/>
  </si>
  <si>
    <t>010-8669-2515</t>
    <phoneticPr fontId="1" type="noConversion"/>
  </si>
  <si>
    <t>010-8487-6400</t>
    <phoneticPr fontId="1" type="noConversion"/>
  </si>
  <si>
    <t>송화진</t>
    <phoneticPr fontId="1" type="noConversion"/>
  </si>
  <si>
    <t>010-9406-2515</t>
    <phoneticPr fontId="1" type="noConversion"/>
  </si>
  <si>
    <t>송영원</t>
    <phoneticPr fontId="1" type="noConversion"/>
  </si>
  <si>
    <t>최문기</t>
    <phoneticPr fontId="1" type="noConversion"/>
  </si>
  <si>
    <t>010-2268-0720</t>
    <phoneticPr fontId="1" type="noConversion"/>
  </si>
  <si>
    <t>아산음봉면 월랑길15-28 1동</t>
    <phoneticPr fontId="1" type="noConversion"/>
  </si>
  <si>
    <t>6-24</t>
    <phoneticPr fontId="1" type="noConversion"/>
  </si>
  <si>
    <t>6-25</t>
    <phoneticPr fontId="1" type="noConversion"/>
  </si>
  <si>
    <t>6-26</t>
    <phoneticPr fontId="1" type="noConversion"/>
  </si>
  <si>
    <t>이준도</t>
    <phoneticPr fontId="1" type="noConversion"/>
  </si>
  <si>
    <t>이희숙</t>
    <phoneticPr fontId="1" type="noConversion"/>
  </si>
  <si>
    <t>010-3484-0459</t>
    <phoneticPr fontId="1" type="noConversion"/>
  </si>
  <si>
    <t>010-8800-5227</t>
    <phoneticPr fontId="1" type="noConversion"/>
  </si>
  <si>
    <t>6-27</t>
    <phoneticPr fontId="1" type="noConversion"/>
  </si>
  <si>
    <t>백인영</t>
    <phoneticPr fontId="1" type="noConversion"/>
  </si>
  <si>
    <t>010-3681-5631</t>
    <phoneticPr fontId="1" type="noConversion"/>
  </si>
  <si>
    <t>전주시 덕진구 거북바우3길 15  107-502</t>
  </si>
  <si>
    <t>010-9485-2837</t>
    <phoneticPr fontId="1" type="noConversion"/>
  </si>
  <si>
    <t xml:space="preserve">정읍시 입암반월길 46번지 </t>
  </si>
  <si>
    <t>010-9448-2839</t>
  </si>
  <si>
    <t>도재원</t>
    <phoneticPr fontId="1" type="noConversion"/>
  </si>
  <si>
    <t>010-4586-5451</t>
    <phoneticPr fontId="1" type="noConversion"/>
  </si>
  <si>
    <t>창원시성산구외동반림로219현대@104-205</t>
    <phoneticPr fontId="1" type="noConversion"/>
  </si>
  <si>
    <t>6-28</t>
    <phoneticPr fontId="1" type="noConversion"/>
  </si>
  <si>
    <t>인연실</t>
    <phoneticPr fontId="1" type="noConversion"/>
  </si>
  <si>
    <t>강영서</t>
    <phoneticPr fontId="1" type="noConversion"/>
  </si>
  <si>
    <t>010-6380-3494</t>
    <phoneticPr fontId="1" type="noConversion"/>
  </si>
  <si>
    <t>롯데캐슬105동 1203호</t>
    <phoneticPr fontId="1" type="noConversion"/>
  </si>
  <si>
    <t>010-4527-3494</t>
    <phoneticPr fontId="1" type="noConversion"/>
  </si>
  <si>
    <t>김하솜</t>
    <phoneticPr fontId="1" type="noConversion"/>
  </si>
  <si>
    <t>강봉원</t>
    <phoneticPr fontId="1" type="noConversion"/>
  </si>
  <si>
    <t>최나린</t>
    <phoneticPr fontId="1" type="noConversion"/>
  </si>
  <si>
    <t>6-29</t>
    <phoneticPr fontId="1" type="noConversion"/>
  </si>
  <si>
    <t>한영환</t>
    <phoneticPr fontId="1" type="noConversion"/>
  </si>
  <si>
    <t>010-3564-5348</t>
    <phoneticPr fontId="1" type="noConversion"/>
  </si>
  <si>
    <t>백영순</t>
  </si>
  <si>
    <t>010-5226-2752</t>
  </si>
  <si>
    <t>강미선</t>
  </si>
  <si>
    <t>010-2775-2752</t>
  </si>
  <si>
    <t>윤선구</t>
  </si>
  <si>
    <t>010-6447-2669</t>
  </si>
  <si>
    <t>예산군 예산읍 교남길 35</t>
  </si>
  <si>
    <t>가스배상책임보험</t>
    <phoneticPr fontId="1" type="noConversion"/>
  </si>
  <si>
    <t>충남 천안시 동남구 일봉로17, 성지새말1단지 101동 1501호</t>
    <phoneticPr fontId="1" type="noConversion"/>
  </si>
  <si>
    <t>강영웅</t>
    <phoneticPr fontId="1" type="noConversion"/>
  </si>
  <si>
    <t>010-4665-3494</t>
    <phoneticPr fontId="1" type="noConversion"/>
  </si>
  <si>
    <t>영월읍 은행나무4길 23-1 두아름 203호</t>
  </si>
  <si>
    <t>6-30</t>
    <phoneticPr fontId="1" type="noConversion"/>
  </si>
  <si>
    <t>6-31</t>
    <phoneticPr fontId="1" type="noConversion"/>
  </si>
  <si>
    <t>이현준</t>
    <phoneticPr fontId="1" type="noConversion"/>
  </si>
  <si>
    <t>010-9889-6309</t>
    <phoneticPr fontId="1" type="noConversion"/>
  </si>
  <si>
    <t>동남구 통정3로 68신방한성필하우스아파트 115동 801호</t>
    <phoneticPr fontId="1" type="noConversion"/>
  </si>
  <si>
    <t>이남희</t>
    <phoneticPr fontId="1" type="noConversion"/>
  </si>
  <si>
    <t>서울시 광진구 아차산로 503-23 103동 2002호</t>
  </si>
  <si>
    <t>010-9054-5214</t>
    <phoneticPr fontId="1" type="noConversion"/>
  </si>
  <si>
    <t>한인교</t>
    <phoneticPr fontId="1" type="noConversion"/>
  </si>
  <si>
    <t>010-8816-0211</t>
    <phoneticPr fontId="1" type="noConversion"/>
  </si>
  <si>
    <t xml:space="preserve">이계숙 </t>
    <phoneticPr fontId="1" type="noConversion"/>
  </si>
  <si>
    <t>충남 천안시 동남구 봉명4길 15
봉명센트럴시티 아파트 107-1503</t>
    <phoneticPr fontId="1" type="noConversion"/>
  </si>
  <si>
    <t>6-32</t>
    <phoneticPr fontId="1" type="noConversion"/>
  </si>
  <si>
    <t>송민영</t>
    <phoneticPr fontId="1" type="noConversion"/>
  </si>
  <si>
    <t>010-9451-5740</t>
    <phoneticPr fontId="1" type="noConversion"/>
  </si>
  <si>
    <t>안양시 동안구 귀인로 98번길 12 107-1002</t>
    <phoneticPr fontId="1" type="noConversion"/>
  </si>
  <si>
    <t>010-2360-5740</t>
    <phoneticPr fontId="1" type="noConversion"/>
  </si>
  <si>
    <t>6-33</t>
    <phoneticPr fontId="1" type="noConversion"/>
  </si>
  <si>
    <t>서보경</t>
    <phoneticPr fontId="1" type="noConversion"/>
  </si>
  <si>
    <t>홍윤표</t>
    <phoneticPr fontId="1" type="noConversion"/>
  </si>
  <si>
    <t>010-2918-8690</t>
    <phoneticPr fontId="1" type="noConversion"/>
  </si>
  <si>
    <t>하남시위례대로6길15 7202동 2302호</t>
    <phoneticPr fontId="1" type="noConversion"/>
  </si>
  <si>
    <t>010-3170-1149</t>
    <phoneticPr fontId="1" type="noConversion"/>
  </si>
  <si>
    <t>6-34</t>
    <phoneticPr fontId="1" type="noConversion"/>
  </si>
  <si>
    <t>동대문구 답십리로 101-7 201호</t>
    <phoneticPr fontId="1" type="noConversion"/>
  </si>
  <si>
    <t>6-35</t>
    <phoneticPr fontId="1" type="noConversion"/>
  </si>
  <si>
    <t>김혜란</t>
    <phoneticPr fontId="1" type="noConversion"/>
  </si>
  <si>
    <t>주영돈</t>
    <phoneticPr fontId="1" type="noConversion"/>
  </si>
  <si>
    <t>010-4920-8658</t>
    <phoneticPr fontId="1" type="noConversion"/>
  </si>
  <si>
    <t>탕정면 한들물빛3로36 103동 201호</t>
    <phoneticPr fontId="1" type="noConversion"/>
  </si>
  <si>
    <t>010-8543-2530</t>
    <phoneticPr fontId="1" type="noConversion"/>
  </si>
  <si>
    <t>6-36</t>
    <phoneticPr fontId="1" type="noConversion"/>
  </si>
  <si>
    <t>김영운</t>
    <phoneticPr fontId="1" type="noConversion"/>
  </si>
  <si>
    <t>010-5517-3533</t>
    <phoneticPr fontId="1" type="noConversion"/>
  </si>
  <si>
    <t>광주북구 설죽로419 104동 1102호</t>
    <phoneticPr fontId="1" type="noConversion"/>
  </si>
  <si>
    <t>6-37</t>
    <phoneticPr fontId="1" type="noConversion"/>
  </si>
  <si>
    <t>유상천</t>
    <phoneticPr fontId="1" type="noConversion"/>
  </si>
  <si>
    <t>010-4646-2839</t>
    <phoneticPr fontId="1" type="noConversion"/>
  </si>
  <si>
    <t>전주시 완산구 중인1길 230 1동 301호</t>
    <phoneticPr fontId="1" type="noConversion"/>
  </si>
  <si>
    <t>6-38</t>
    <phoneticPr fontId="1" type="noConversion"/>
  </si>
  <si>
    <t>이정현</t>
    <phoneticPr fontId="1" type="noConversion"/>
  </si>
  <si>
    <t>010-4646-4645</t>
    <phoneticPr fontId="1" type="noConversion"/>
  </si>
  <si>
    <t>010-7375-5477</t>
    <phoneticPr fontId="1" type="noConversion"/>
  </si>
  <si>
    <t>청주율량로103 405동 1301호</t>
    <phoneticPr fontId="1" type="noConversion"/>
  </si>
  <si>
    <t>6-39</t>
    <phoneticPr fontId="1" type="noConversion"/>
  </si>
  <si>
    <t>이동준</t>
    <phoneticPr fontId="1" type="noConversion"/>
  </si>
  <si>
    <t>이은진</t>
    <phoneticPr fontId="1" type="noConversion"/>
  </si>
  <si>
    <t>이은수</t>
    <phoneticPr fontId="1" type="noConversion"/>
  </si>
  <si>
    <t>010-2003-1324</t>
  </si>
  <si>
    <t>010-8524-1380</t>
  </si>
  <si>
    <t xml:space="preserve"> 010-9314-1324</t>
  </si>
  <si>
    <t>010-2167-1324</t>
  </si>
  <si>
    <t>한들3로100 104동 1802호</t>
    <phoneticPr fontId="1" type="noConversion"/>
  </si>
  <si>
    <t>6-40</t>
    <phoneticPr fontId="1" type="noConversion"/>
  </si>
  <si>
    <t>정서하</t>
    <phoneticPr fontId="1" type="noConversion"/>
  </si>
  <si>
    <t>정태민</t>
    <phoneticPr fontId="1" type="noConversion"/>
  </si>
  <si>
    <t>정세호</t>
    <phoneticPr fontId="1" type="noConversion"/>
  </si>
  <si>
    <t>010-4092-7522</t>
    <phoneticPr fontId="1" type="noConversion"/>
  </si>
  <si>
    <t>010-4024-7522</t>
    <phoneticPr fontId="1" type="noConversion"/>
  </si>
  <si>
    <t>010-4150-7522</t>
    <phoneticPr fontId="1" type="noConversion"/>
  </si>
  <si>
    <t>010-2264-7522</t>
    <phoneticPr fontId="1" type="noConversion"/>
  </si>
  <si>
    <t>서울 성북구 돈암동 한신한진아파트 107-810</t>
  </si>
  <si>
    <t>경기도 양주시 장흥면 일영로 327번길 106-11</t>
  </si>
  <si>
    <t>6-41</t>
    <phoneticPr fontId="1" type="noConversion"/>
  </si>
  <si>
    <t>이연미</t>
    <phoneticPr fontId="1" type="noConversion"/>
  </si>
  <si>
    <t>이미정</t>
    <phoneticPr fontId="1" type="noConversion"/>
  </si>
  <si>
    <t>이진석</t>
    <phoneticPr fontId="1" type="noConversion"/>
  </si>
  <si>
    <t>강정이</t>
    <phoneticPr fontId="1" type="noConversion"/>
  </si>
  <si>
    <t>010-5567-3745</t>
    <phoneticPr fontId="1" type="noConversion"/>
  </si>
  <si>
    <t>서울 송파구 문정동 77-13</t>
  </si>
  <si>
    <t>010-8470-3745</t>
  </si>
  <si>
    <t>부산 연제구 중앙대로1065번길 23</t>
  </si>
  <si>
    <t>010-7715-3745</t>
  </si>
  <si>
    <t>김해시 진영읍 우동리 165-18</t>
  </si>
  <si>
    <t>김해시 진영읍 우동리 165-18</t>
    <phoneticPr fontId="1" type="noConversion"/>
  </si>
  <si>
    <t>010-6752-3745</t>
  </si>
  <si>
    <t>6-42</t>
    <phoneticPr fontId="1" type="noConversion"/>
  </si>
  <si>
    <t>박선경</t>
    <phoneticPr fontId="1" type="noConversion"/>
  </si>
  <si>
    <t>송광섭</t>
    <phoneticPr fontId="1" type="noConversion"/>
  </si>
  <si>
    <t>010-3876-7753</t>
  </si>
  <si>
    <t>010-8281-0734</t>
    <phoneticPr fontId="1" type="noConversion"/>
  </si>
  <si>
    <t>6-43</t>
    <phoneticPr fontId="1" type="noConversion"/>
  </si>
  <si>
    <t>이맹순</t>
    <phoneticPr fontId="1" type="noConversion"/>
  </si>
  <si>
    <t>010-6602-3084</t>
    <phoneticPr fontId="1" type="noConversion"/>
  </si>
  <si>
    <t>전남 여수시 묘도6길 9-8  창촌마을</t>
  </si>
  <si>
    <t>010-3769-7796</t>
    <phoneticPr fontId="1" type="noConversion"/>
  </si>
  <si>
    <t>6-44</t>
    <phoneticPr fontId="1" type="noConversion"/>
  </si>
  <si>
    <t>김재휘</t>
    <phoneticPr fontId="1" type="noConversion"/>
  </si>
  <si>
    <t>노점옥</t>
    <phoneticPr fontId="1" type="noConversion"/>
  </si>
  <si>
    <t>010-4789-5741</t>
    <phoneticPr fontId="1" type="noConversion"/>
  </si>
  <si>
    <t>010-3353-5741</t>
    <phoneticPr fontId="1" type="noConversion"/>
  </si>
  <si>
    <t>인천 남동구 석산로 181-1</t>
  </si>
  <si>
    <t>정   철</t>
    <phoneticPr fontId="1" type="noConversion"/>
  </si>
  <si>
    <t>010-2324-4287</t>
  </si>
  <si>
    <t>6-45</t>
    <phoneticPr fontId="1" type="noConversion"/>
  </si>
  <si>
    <t>김종춘</t>
    <phoneticPr fontId="1" type="noConversion"/>
  </si>
  <si>
    <t>010-7306-7514</t>
  </si>
  <si>
    <t>동남구 봉명4길 15 봉명역센트럴시티아파트 107-303</t>
  </si>
  <si>
    <t>이태이</t>
    <phoneticPr fontId="1" type="noConversion"/>
  </si>
  <si>
    <t>6-46</t>
    <phoneticPr fontId="1" type="noConversion"/>
  </si>
  <si>
    <t>윤병두</t>
    <phoneticPr fontId="1" type="noConversion"/>
  </si>
  <si>
    <t>010-6432-1877</t>
    <phoneticPr fontId="1" type="noConversion"/>
  </si>
  <si>
    <t>예산군 대흥면 대률밤이길 72-5</t>
  </si>
  <si>
    <t>6-47</t>
    <phoneticPr fontId="1" type="noConversion"/>
  </si>
  <si>
    <t>이태화</t>
    <phoneticPr fontId="1" type="noConversion"/>
  </si>
  <si>
    <t>010-8845-8873</t>
    <phoneticPr fontId="1" type="noConversion"/>
  </si>
  <si>
    <t>인천 부평구 경원대로 1354번길 4 201호</t>
  </si>
  <si>
    <t>나복향</t>
    <phoneticPr fontId="1" type="noConversion"/>
  </si>
  <si>
    <t>010-2089-5817</t>
    <phoneticPr fontId="1" type="noConversion"/>
  </si>
  <si>
    <t>충남 천안시 서북구 직산읍 미륵산길66</t>
  </si>
  <si>
    <t>6-48</t>
    <phoneticPr fontId="1" type="noConversion"/>
  </si>
  <si>
    <t>김건주</t>
    <phoneticPr fontId="1" type="noConversion"/>
  </si>
  <si>
    <t>010-4088-5090</t>
    <phoneticPr fontId="1" type="noConversion"/>
  </si>
  <si>
    <t>이희영</t>
    <phoneticPr fontId="1" type="noConversion"/>
  </si>
  <si>
    <t>010-2313-5817</t>
    <phoneticPr fontId="1" type="noConversion"/>
  </si>
  <si>
    <t>서북구 한들2로 170 101-1104(한화포레나1차)</t>
    <phoneticPr fontId="1" type="noConversion"/>
  </si>
  <si>
    <t>차암동 효성해링턴 113동 902호</t>
    <phoneticPr fontId="1" type="noConversion"/>
  </si>
  <si>
    <t>6-49</t>
    <phoneticPr fontId="1" type="noConversion"/>
  </si>
  <si>
    <t>오영택</t>
    <phoneticPr fontId="1" type="noConversion"/>
  </si>
  <si>
    <t>김만순</t>
    <phoneticPr fontId="1" type="noConversion"/>
  </si>
  <si>
    <t>010-7494-0446</t>
    <phoneticPr fontId="1" type="noConversion"/>
  </si>
  <si>
    <t>010-99174702</t>
    <phoneticPr fontId="1" type="noConversion"/>
  </si>
  <si>
    <t>구리시 이문안로139번길 10 102동 1207호</t>
    <phoneticPr fontId="1" type="noConversion"/>
  </si>
  <si>
    <t>6-50</t>
    <phoneticPr fontId="1" type="noConversion"/>
  </si>
  <si>
    <t>이혁진</t>
    <phoneticPr fontId="1" type="noConversion"/>
  </si>
  <si>
    <t>전수빈</t>
    <phoneticPr fontId="1" type="noConversion"/>
  </si>
  <si>
    <t>010-7443-0875</t>
    <phoneticPr fontId="1" type="noConversion"/>
  </si>
  <si>
    <t>010-6474-0712</t>
    <phoneticPr fontId="1" type="noConversion"/>
  </si>
  <si>
    <t>대전 유성구 대학로 53 803-A호</t>
    <phoneticPr fontId="1" type="noConversion"/>
  </si>
  <si>
    <t>6-51</t>
    <phoneticPr fontId="1" type="noConversion"/>
  </si>
  <si>
    <t>함명자</t>
    <phoneticPr fontId="1" type="noConversion"/>
  </si>
  <si>
    <t>010-7713-2745</t>
    <phoneticPr fontId="1" type="noConversion"/>
  </si>
  <si>
    <t>부평구 평천로 447 103동 1007호</t>
    <phoneticPr fontId="1" type="noConversion"/>
  </si>
  <si>
    <t>6-52</t>
    <phoneticPr fontId="1" type="noConversion"/>
  </si>
  <si>
    <t>오민정</t>
    <phoneticPr fontId="1" type="noConversion"/>
  </si>
  <si>
    <t>010-9975-8996</t>
    <phoneticPr fontId="1" type="noConversion"/>
  </si>
  <si>
    <t>하남시 미사강변한강로270 106-1303</t>
    <phoneticPr fontId="1" type="noConversion"/>
  </si>
  <si>
    <t>010-3137-5665</t>
    <phoneticPr fontId="1" type="noConversion"/>
  </si>
  <si>
    <t>천안시 쌍용동 일성1차@ 107동 1602</t>
    <phoneticPr fontId="1" type="noConversion"/>
  </si>
  <si>
    <t>6-53</t>
    <phoneticPr fontId="1" type="noConversion"/>
  </si>
  <si>
    <t>문유빈</t>
    <phoneticPr fontId="1" type="noConversion"/>
  </si>
  <si>
    <t>이상희</t>
    <phoneticPr fontId="1" type="noConversion"/>
  </si>
  <si>
    <t>010-5034-4247</t>
    <phoneticPr fontId="1" type="noConversion"/>
  </si>
  <si>
    <t>천안시 서북구 두정공원2길 26, 101동 701호</t>
    <phoneticPr fontId="1" type="noConversion"/>
  </si>
  <si>
    <t>010-3470-9838</t>
    <phoneticPr fontId="1" type="noConversion"/>
  </si>
  <si>
    <t>F</t>
    <phoneticPr fontId="1" type="noConversion"/>
  </si>
  <si>
    <t>천안시 서북구 봉서7길 13, 103동 806호</t>
  </si>
  <si>
    <t>7월21일</t>
    <phoneticPr fontId="1" type="noConversion"/>
  </si>
  <si>
    <t>ZHENG CHANGSHAN</t>
    <phoneticPr fontId="1" type="noConversion"/>
  </si>
  <si>
    <t>6-54</t>
    <phoneticPr fontId="1" type="noConversion"/>
  </si>
  <si>
    <t>이동환</t>
    <phoneticPr fontId="1" type="noConversion"/>
  </si>
  <si>
    <t>010-4018-6216</t>
    <phoneticPr fontId="1" type="noConversion"/>
  </si>
  <si>
    <t>구리시 안창1로 39-9 104동 2401호 인창칸타빌더헤리티지</t>
    <phoneticPr fontId="1" type="noConversion"/>
  </si>
  <si>
    <t>6-55</t>
    <phoneticPr fontId="1" type="noConversion"/>
  </si>
  <si>
    <t>하남시 미사강변한강로270 106동 1303호</t>
  </si>
  <si>
    <t>하남시 미사강변한강로270 106동 1303호</t>
    <phoneticPr fontId="1" type="noConversion"/>
  </si>
  <si>
    <t>박종빈</t>
    <phoneticPr fontId="1" type="noConversion"/>
  </si>
  <si>
    <t>송치강</t>
    <phoneticPr fontId="1" type="noConversion"/>
  </si>
  <si>
    <t>송치율</t>
    <phoneticPr fontId="1" type="noConversion"/>
  </si>
  <si>
    <t>송치빈</t>
    <phoneticPr fontId="1" type="noConversion"/>
  </si>
  <si>
    <t>6-56</t>
    <phoneticPr fontId="1" type="noConversion"/>
  </si>
  <si>
    <t>신병철</t>
    <phoneticPr fontId="1" type="noConversion"/>
  </si>
  <si>
    <t>010-3438-0050</t>
    <phoneticPr fontId="1" type="noConversion"/>
  </si>
  <si>
    <t>천안시 서북구 불당25로8 호반3차 310동 2804호</t>
  </si>
  <si>
    <t>6-57</t>
    <phoneticPr fontId="1" type="noConversion"/>
  </si>
  <si>
    <t>안려나</t>
    <phoneticPr fontId="1" type="noConversion"/>
  </si>
  <si>
    <t>안   니</t>
    <phoneticPr fontId="1" type="noConversion"/>
  </si>
  <si>
    <t>6-58</t>
    <phoneticPr fontId="1" type="noConversion"/>
  </si>
  <si>
    <t>양정모</t>
    <phoneticPr fontId="1" type="noConversion"/>
  </si>
  <si>
    <t>010-6417-5896</t>
    <phoneticPr fontId="1" type="noConversion"/>
  </si>
  <si>
    <t>풍세로801-23 101동 1104호</t>
    <phoneticPr fontId="1" type="noConversion"/>
  </si>
  <si>
    <t>6-59</t>
    <phoneticPr fontId="1" type="noConversion"/>
  </si>
  <si>
    <t>정장선ZHENG CHANGSHAN</t>
    <phoneticPr fontId="1" type="noConversion"/>
  </si>
  <si>
    <t>010-5858-8960</t>
    <phoneticPr fontId="1" type="noConversion"/>
  </si>
  <si>
    <t>서북구 서부20길40대열빌리지 405호</t>
    <phoneticPr fontId="1" type="noConversion"/>
  </si>
  <si>
    <t>6-60</t>
    <phoneticPr fontId="1" type="noConversion"/>
  </si>
  <si>
    <t>최환우</t>
    <phoneticPr fontId="1" type="noConversion"/>
  </si>
  <si>
    <t>010-7501-8811</t>
    <phoneticPr fontId="1" type="noConversion"/>
  </si>
  <si>
    <t>6-61</t>
    <phoneticPr fontId="1" type="noConversion"/>
  </si>
  <si>
    <t>김도현</t>
    <phoneticPr fontId="1" type="noConversion"/>
  </si>
  <si>
    <t>김도준</t>
    <phoneticPr fontId="1" type="noConversion"/>
  </si>
  <si>
    <t>하남시 감일백제로65 1202동 302호(한라비발디)</t>
    <phoneticPr fontId="1" type="noConversion"/>
  </si>
  <si>
    <t>김기순</t>
    <phoneticPr fontId="1" type="noConversion"/>
  </si>
  <si>
    <t>김우기</t>
    <phoneticPr fontId="1" type="noConversion"/>
  </si>
  <si>
    <t>010-2608-2202</t>
    <phoneticPr fontId="1" type="noConversion"/>
  </si>
  <si>
    <t>010-5609-1102</t>
    <phoneticPr fontId="1" type="noConversion"/>
  </si>
  <si>
    <t>전남 함평군 학교면 큰동네길17</t>
    <phoneticPr fontId="1" type="noConversion"/>
  </si>
  <si>
    <t>6-62</t>
    <phoneticPr fontId="1" type="noConversion"/>
  </si>
  <si>
    <t>박성수</t>
    <phoneticPr fontId="1" type="noConversion"/>
  </si>
  <si>
    <t xml:space="preserve"> 010-9174-3686</t>
  </si>
  <si>
    <t>천안시 서북구 천안천4길20 동아라이크텐아파트 104동3203호</t>
  </si>
  <si>
    <t>신현준</t>
    <phoneticPr fontId="1" type="noConversion"/>
  </si>
  <si>
    <t>010-4359-5855</t>
    <phoneticPr fontId="1" type="noConversion"/>
  </si>
  <si>
    <t>6-63</t>
    <phoneticPr fontId="1" type="noConversion"/>
  </si>
  <si>
    <t>박영빈</t>
    <phoneticPr fontId="1" type="noConversion"/>
  </si>
  <si>
    <t>010-2971-2922</t>
    <phoneticPr fontId="1" type="noConversion"/>
  </si>
  <si>
    <t>6-64</t>
    <phoneticPr fontId="1" type="noConversion"/>
  </si>
  <si>
    <t>황도윤</t>
    <phoneticPr fontId="1" type="noConversion"/>
  </si>
  <si>
    <t>010-8332-8145</t>
    <phoneticPr fontId="1" type="noConversion"/>
  </si>
  <si>
    <t>예산읍 아리랑로 139 다동 202호</t>
    <phoneticPr fontId="1" type="noConversion"/>
  </si>
  <si>
    <t>아리랑로 185-5 102호</t>
    <phoneticPr fontId="1" type="noConversion"/>
  </si>
  <si>
    <t>010-2411-8145</t>
    <phoneticPr fontId="1" type="noConversion"/>
  </si>
  <si>
    <t>평택시 신촌5로 56 411동 1102호</t>
    <phoneticPr fontId="1" type="noConversion"/>
  </si>
  <si>
    <t>010-2228-5243</t>
    <phoneticPr fontId="1" type="noConversion"/>
  </si>
  <si>
    <t>서북구 봉서산샛길 64 뜨란채@ 506동 404호</t>
    <phoneticPr fontId="1" type="noConversion"/>
  </si>
  <si>
    <t>청주시 흥덕구 오송읍 오송생명 14로 217</t>
    <phoneticPr fontId="1" type="noConversion"/>
  </si>
  <si>
    <t>703동 302호</t>
    <phoneticPr fontId="1" type="noConversion"/>
  </si>
  <si>
    <t>6-65</t>
    <phoneticPr fontId="1" type="noConversion"/>
  </si>
  <si>
    <t>신윤미</t>
    <phoneticPr fontId="1" type="noConversion"/>
  </si>
  <si>
    <t>010-8941-0812</t>
    <phoneticPr fontId="1" type="noConversion"/>
  </si>
  <si>
    <t>용곡동 동일하이빌@ 104동 1502호</t>
    <phoneticPr fontId="1" type="noConversion"/>
  </si>
  <si>
    <t>6-66</t>
    <phoneticPr fontId="1" type="noConversion"/>
  </si>
  <si>
    <t>010-6417-5896</t>
  </si>
  <si>
    <t>동남구 풍세로 801-23 101동 1104호</t>
    <phoneticPr fontId="1" type="noConversion"/>
  </si>
  <si>
    <t>HEO ALONDRA</t>
    <phoneticPr fontId="1" type="noConversion"/>
  </si>
  <si>
    <t>6-67</t>
    <phoneticPr fontId="1" type="noConversion"/>
  </si>
  <si>
    <t>홍성표</t>
    <phoneticPr fontId="1" type="noConversion"/>
  </si>
  <si>
    <t>010-4180-7227</t>
    <phoneticPr fontId="1" type="noConversion"/>
  </si>
  <si>
    <t>010-9180-7227</t>
    <phoneticPr fontId="1" type="noConversion"/>
  </si>
  <si>
    <t>세종시 연서면 대첩로198</t>
    <phoneticPr fontId="1" type="noConversion"/>
  </si>
  <si>
    <t>010-9344-3524</t>
    <phoneticPr fontId="1" type="noConversion"/>
  </si>
  <si>
    <t>오염택</t>
    <phoneticPr fontId="1" type="noConversion"/>
  </si>
  <si>
    <t>경기도 구리시이문안로139번길 9 우림@ 102-1207</t>
    <phoneticPr fontId="1" type="noConversion"/>
  </si>
  <si>
    <t>공주시 정안면 내문안길 46-41</t>
    <phoneticPr fontId="1" type="noConversion"/>
  </si>
  <si>
    <t>백석2길12 103동 104호</t>
    <phoneticPr fontId="1" type="noConversion"/>
  </si>
  <si>
    <t>노윤서</t>
    <phoneticPr fontId="1" type="noConversion"/>
  </si>
  <si>
    <t>부산시 기장군 일광읍 해빛2로 21, 107동 1801호</t>
  </si>
  <si>
    <t>보령시 방죽안길 13</t>
    <phoneticPr fontId="1" type="noConversion"/>
  </si>
  <si>
    <t>김충연</t>
    <phoneticPr fontId="1" type="noConversion"/>
  </si>
  <si>
    <t>김하슬</t>
    <phoneticPr fontId="1" type="noConversion"/>
  </si>
  <si>
    <t>6-68</t>
    <phoneticPr fontId="1" type="noConversion"/>
  </si>
  <si>
    <t>임건수</t>
    <phoneticPr fontId="1" type="noConversion"/>
  </si>
  <si>
    <t>010-3482-0602</t>
  </si>
  <si>
    <t>서북구 업성수변로 30, 4층</t>
  </si>
  <si>
    <t>010-3450-1260</t>
  </si>
  <si>
    <t>이수진</t>
    <phoneticPr fontId="1" type="noConversion"/>
  </si>
  <si>
    <t>마포구 월드컵북로 47길 46 201-904</t>
    <phoneticPr fontId="1" type="noConversion"/>
  </si>
  <si>
    <t>010-2532-4010</t>
    <phoneticPr fontId="1" type="noConversion"/>
  </si>
  <si>
    <t>6-69</t>
    <phoneticPr fontId="1" type="noConversion"/>
  </si>
  <si>
    <t>이경한</t>
    <phoneticPr fontId="1" type="noConversion"/>
  </si>
  <si>
    <t>최문아</t>
    <phoneticPr fontId="1" type="noConversion"/>
  </si>
  <si>
    <t>이지안</t>
    <phoneticPr fontId="1" type="noConversion"/>
  </si>
  <si>
    <t>010-8264-3356</t>
    <phoneticPr fontId="1" type="noConversion"/>
  </si>
  <si>
    <t>010-6232-1132</t>
    <phoneticPr fontId="1" type="noConversion"/>
  </si>
  <si>
    <t>용곡5길 37-6 우림필유 102-1501</t>
  </si>
  <si>
    <t>6-70</t>
    <phoneticPr fontId="1" type="noConversion"/>
  </si>
  <si>
    <t>010-5264-7677</t>
    <phoneticPr fontId="1" type="noConversion"/>
  </si>
  <si>
    <t>남양주시 오남읍 양지리 쌍용스윗닷홈 208-101호</t>
    <phoneticPr fontId="1" type="noConversion"/>
  </si>
  <si>
    <t>6-71</t>
    <phoneticPr fontId="1" type="noConversion"/>
  </si>
  <si>
    <t>이승호</t>
    <phoneticPr fontId="1" type="noConversion"/>
  </si>
  <si>
    <t>010-6421-5904</t>
    <phoneticPr fontId="1" type="noConversion"/>
  </si>
  <si>
    <t>당진시 순성로 342-43</t>
    <phoneticPr fontId="1" type="noConversion"/>
  </si>
  <si>
    <t>6-72</t>
    <phoneticPr fontId="1" type="noConversion"/>
  </si>
  <si>
    <t>박상용</t>
    <phoneticPr fontId="1" type="noConversion"/>
  </si>
  <si>
    <t>010-4609-8052</t>
    <phoneticPr fontId="1" type="noConversion"/>
  </si>
  <si>
    <t>아산시 온주길 28-8</t>
    <phoneticPr fontId="1" type="noConversion"/>
  </si>
  <si>
    <t>6-73</t>
    <phoneticPr fontId="1" type="noConversion"/>
  </si>
  <si>
    <t>강난숙</t>
    <phoneticPr fontId="1" type="noConversion"/>
  </si>
  <si>
    <t>010-6757-4665</t>
    <phoneticPr fontId="1" type="noConversion"/>
  </si>
  <si>
    <t>화성시 동탄순환대로 20길 69 경남아너스빌 2256동 2004호</t>
    <phoneticPr fontId="1" type="noConversion"/>
  </si>
  <si>
    <t>임유리</t>
    <phoneticPr fontId="1" type="noConversion"/>
  </si>
  <si>
    <t>010-3912-9674</t>
    <phoneticPr fontId="1" type="noConversion"/>
  </si>
  <si>
    <t>서울 송파구 중대로24 108동 305호</t>
    <phoneticPr fontId="1" type="noConversion"/>
  </si>
  <si>
    <t>임진형</t>
    <phoneticPr fontId="1" type="noConversion"/>
  </si>
  <si>
    <t>010-8707-9674</t>
    <phoneticPr fontId="1" type="noConversion"/>
  </si>
  <si>
    <t>6-74</t>
    <phoneticPr fontId="1" type="noConversion"/>
  </si>
  <si>
    <t>박채윤</t>
    <phoneticPr fontId="1" type="noConversion"/>
  </si>
  <si>
    <t>010-7576-0302</t>
    <phoneticPr fontId="1" type="noConversion"/>
  </si>
  <si>
    <t>청주시 흥덕구 가경동 2027</t>
    <phoneticPr fontId="1" type="noConversion"/>
  </si>
  <si>
    <t>최창섭</t>
    <phoneticPr fontId="1" type="noConversion"/>
  </si>
  <si>
    <t>010-3784-5731</t>
  </si>
  <si>
    <t>6-75</t>
    <phoneticPr fontId="1" type="noConversion"/>
  </si>
  <si>
    <t>유순연</t>
    <phoneticPr fontId="1" type="noConversion"/>
  </si>
  <si>
    <t>부산 수영구 수미로 15</t>
    <phoneticPr fontId="1" type="noConversion"/>
  </si>
  <si>
    <t>6-76</t>
    <phoneticPr fontId="1" type="noConversion"/>
  </si>
  <si>
    <t>최상술</t>
    <phoneticPr fontId="1" type="noConversion"/>
  </si>
  <si>
    <t>010-5266-6406</t>
    <phoneticPr fontId="1" type="noConversion"/>
  </si>
  <si>
    <t>경기도 이천시 대월면 대평로178번길 45-13</t>
  </si>
  <si>
    <t>6-77</t>
    <phoneticPr fontId="1" type="noConversion"/>
  </si>
  <si>
    <t>장순님</t>
    <phoneticPr fontId="1" type="noConversion"/>
  </si>
  <si>
    <t>010-3651-6887</t>
    <phoneticPr fontId="1" type="noConversion"/>
  </si>
  <si>
    <t>전주시 완산구 평화동 효성양지2동222호</t>
  </si>
  <si>
    <t>6-78</t>
    <phoneticPr fontId="1" type="noConversion"/>
  </si>
  <si>
    <t>소은서</t>
    <phoneticPr fontId="1" type="noConversion"/>
  </si>
  <si>
    <t>소현준</t>
    <phoneticPr fontId="1" type="noConversion"/>
  </si>
  <si>
    <t>윤명숙</t>
    <phoneticPr fontId="1" type="noConversion"/>
  </si>
  <si>
    <t xml:space="preserve">천안시 서북구 두정중5길15 203동1101호 </t>
  </si>
  <si>
    <t>6-79</t>
    <phoneticPr fontId="1" type="noConversion"/>
  </si>
  <si>
    <t>아산시 배방읍 호서로 460 107동 304호</t>
    <phoneticPr fontId="1" type="noConversion"/>
  </si>
  <si>
    <t>한순석</t>
    <phoneticPr fontId="1" type="noConversion"/>
  </si>
  <si>
    <t>010-5137-8161</t>
  </si>
  <si>
    <t>소민수</t>
    <phoneticPr fontId="1" type="noConversion"/>
  </si>
  <si>
    <t>6-80</t>
    <phoneticPr fontId="1" type="noConversion"/>
  </si>
  <si>
    <t>도경환</t>
    <phoneticPr fontId="1" type="noConversion"/>
  </si>
  <si>
    <t>010-8610-3582</t>
    <phoneticPr fontId="1" type="noConversion"/>
  </si>
  <si>
    <t>서울 광진구 아차산로 400</t>
    <phoneticPr fontId="1" type="noConversion"/>
  </si>
  <si>
    <t>6-81</t>
    <phoneticPr fontId="1" type="noConversion"/>
  </si>
  <si>
    <t>6-82</t>
    <phoneticPr fontId="1" type="noConversion"/>
  </si>
  <si>
    <t>최희경</t>
    <phoneticPr fontId="1" type="noConversion"/>
  </si>
  <si>
    <t>박정호</t>
    <phoneticPr fontId="1" type="noConversion"/>
  </si>
  <si>
    <t>박솔희</t>
    <phoneticPr fontId="1" type="noConversion"/>
  </si>
  <si>
    <t>박제희</t>
    <phoneticPr fontId="1" type="noConversion"/>
  </si>
  <si>
    <t>박준희</t>
    <phoneticPr fontId="1" type="noConversion"/>
  </si>
  <si>
    <t>이화자</t>
    <phoneticPr fontId="1" type="noConversion"/>
  </si>
  <si>
    <t>010-8991-1871</t>
    <phoneticPr fontId="1" type="noConversion"/>
  </si>
  <si>
    <t>이천시 부발읍 경충대로 2050번지 15-44 304동 1503호</t>
    <phoneticPr fontId="1" type="noConversion"/>
  </si>
  <si>
    <t>010-3215-1244</t>
    <phoneticPr fontId="1" type="noConversion"/>
  </si>
  <si>
    <t>이천시 대월면 대평로 178번길 45-13</t>
    <phoneticPr fontId="1" type="noConversion"/>
  </si>
  <si>
    <t>임춘연</t>
    <phoneticPr fontId="1" type="noConversion"/>
  </si>
  <si>
    <t>용마산로 28가길 16</t>
    <phoneticPr fontId="1" type="noConversion"/>
  </si>
  <si>
    <t>6-83</t>
    <phoneticPr fontId="1" type="noConversion"/>
  </si>
  <si>
    <t>김준호</t>
    <phoneticPr fontId="1" type="noConversion"/>
  </si>
  <si>
    <t>이광자</t>
    <phoneticPr fontId="1" type="noConversion"/>
  </si>
  <si>
    <t>010-9351-8467</t>
    <phoneticPr fontId="1" type="noConversion"/>
  </si>
  <si>
    <t>010-8348-9991</t>
    <phoneticPr fontId="1" type="noConversion"/>
  </si>
  <si>
    <t>기흥구 중부대로 788번길 20 311동 1003호</t>
    <phoneticPr fontId="1" type="noConversion"/>
  </si>
  <si>
    <t>6-84</t>
    <phoneticPr fontId="1" type="noConversion"/>
  </si>
  <si>
    <t>강옥향</t>
    <phoneticPr fontId="1" type="noConversion"/>
  </si>
  <si>
    <t>정회삼</t>
    <phoneticPr fontId="1" type="noConversion"/>
  </si>
  <si>
    <t>010-5213-5527</t>
  </si>
  <si>
    <t>010-3118-5772</t>
  </si>
  <si>
    <t>서울 강남구 언주로 30길 13 B동 3505호</t>
  </si>
  <si>
    <t>박정은</t>
    <phoneticPr fontId="1" type="noConversion"/>
  </si>
  <si>
    <t>010-8807-2115</t>
    <phoneticPr fontId="1" type="noConversion"/>
  </si>
  <si>
    <t>강희순</t>
    <phoneticPr fontId="1" type="noConversion"/>
  </si>
  <si>
    <t>010-2555-3028</t>
    <phoneticPr fontId="1" type="noConversion"/>
  </si>
  <si>
    <t>6-85</t>
    <phoneticPr fontId="1" type="noConversion"/>
  </si>
  <si>
    <t>박경신</t>
    <phoneticPr fontId="1" type="noConversion"/>
  </si>
  <si>
    <t>010-5431-4583</t>
    <phoneticPr fontId="1" type="noConversion"/>
  </si>
  <si>
    <t>예산군 오감면 저분 윤봉길로 1813-39</t>
    <phoneticPr fontId="1" type="noConversion"/>
  </si>
  <si>
    <t>6-86</t>
    <phoneticPr fontId="1" type="noConversion"/>
  </si>
  <si>
    <t>이호철</t>
    <phoneticPr fontId="1" type="noConversion"/>
  </si>
  <si>
    <t>010-8814-2572</t>
    <phoneticPr fontId="1" type="noConversion"/>
  </si>
  <si>
    <t>6-87</t>
    <phoneticPr fontId="1" type="noConversion"/>
  </si>
  <si>
    <t>강신분</t>
    <phoneticPr fontId="1" type="noConversion"/>
  </si>
  <si>
    <t>010-3334-4544</t>
  </si>
  <si>
    <t>예산읍 신례원로 59번길 13-6</t>
  </si>
  <si>
    <t>6-88</t>
    <phoneticPr fontId="1" type="noConversion"/>
  </si>
  <si>
    <t>김서호</t>
    <phoneticPr fontId="1" type="noConversion"/>
  </si>
  <si>
    <t>010-3396-5114</t>
  </si>
  <si>
    <t xml:space="preserve">탕정면 한들물빛5로 36, 305동 1203호 </t>
  </si>
  <si>
    <t>문소별</t>
    <phoneticPr fontId="1" type="noConversion"/>
  </si>
  <si>
    <t>허진후</t>
    <phoneticPr fontId="1" type="noConversion"/>
  </si>
  <si>
    <t>010-6619-9325</t>
    <phoneticPr fontId="1" type="noConversion"/>
  </si>
  <si>
    <t>신부동 대림아파트 103동 501호</t>
    <phoneticPr fontId="1" type="noConversion"/>
  </si>
  <si>
    <t>6-89</t>
    <phoneticPr fontId="1" type="noConversion"/>
  </si>
  <si>
    <t>이순연</t>
    <phoneticPr fontId="1" type="noConversion"/>
  </si>
  <si>
    <t>010-4253-4265</t>
    <phoneticPr fontId="1" type="noConversion"/>
  </si>
  <si>
    <t>대률밤이길 66-5</t>
    <phoneticPr fontId="1" type="noConversion"/>
  </si>
  <si>
    <t>김숙영</t>
    <phoneticPr fontId="1" type="noConversion"/>
  </si>
  <si>
    <t>010-8891-4873</t>
    <phoneticPr fontId="1" type="noConversion"/>
  </si>
  <si>
    <t>충남 천안시 서북구 성성6로 21 111동 2103호</t>
    <phoneticPr fontId="1" type="noConversion"/>
  </si>
  <si>
    <t xml:space="preserve"> 010-7190-4877</t>
    <phoneticPr fontId="1" type="noConversion"/>
  </si>
  <si>
    <t>엄혜선</t>
    <phoneticPr fontId="1" type="noConversion"/>
  </si>
  <si>
    <t>010-8945-6963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</si>
</sst>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_);_(* \(#,##0\);_(* &quot;-&quot;_);_(@_)"/>
    <numFmt numFmtId="177" formatCode="0_);[Red]\(0\)"/>
    <numFmt numFmtId="178" formatCode="mm&quot;월&quot;\ dd&quot;일&quot;"/>
    <numFmt numFmtId="179" formatCode="0_);\(0\)"/>
    <numFmt numFmtId="180" formatCode="0;[Red]0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7"/>
      <color theme="1"/>
      <name val="맑은 고딕"/>
      <family val="2"/>
      <charset val="129"/>
      <scheme val="minor"/>
    </font>
    <font>
      <sz val="6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9"/>
      <color theme="1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47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76" fontId="0" fillId="0" borderId="1" xfId="1" applyFont="1" applyBorder="1" applyAlignment="1">
      <alignment horizontal="center" vertical="center"/>
    </xf>
    <xf numFmtId="176" fontId="0" fillId="0" borderId="0" xfId="1" applyFont="1">
      <alignment vertical="center"/>
    </xf>
    <xf numFmtId="176" fontId="0" fillId="0" borderId="1" xfId="1" applyFont="1" applyFill="1" applyBorder="1" applyAlignment="1">
      <alignment horizontal="center" vertical="center"/>
    </xf>
    <xf numFmtId="176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1" applyFont="1" applyBorder="1">
      <alignment vertical="center"/>
    </xf>
    <xf numFmtId="14" fontId="0" fillId="0" borderId="1" xfId="0" applyNumberFormat="1" applyBorder="1">
      <alignment vertical="center"/>
    </xf>
    <xf numFmtId="0" fontId="3" fillId="2" borderId="1" xfId="2" applyBorder="1" applyAlignment="1">
      <alignment horizontal="center" vertical="center"/>
    </xf>
    <xf numFmtId="14" fontId="3" fillId="2" borderId="1" xfId="2" applyNumberFormat="1" applyBorder="1">
      <alignment vertical="center"/>
    </xf>
    <xf numFmtId="0" fontId="3" fillId="2" borderId="1" xfId="2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>
      <alignment vertical="center"/>
    </xf>
    <xf numFmtId="0" fontId="0" fillId="9" borderId="1" xfId="0" applyFill="1" applyBorder="1">
      <alignment vertical="center"/>
    </xf>
    <xf numFmtId="0" fontId="0" fillId="9" borderId="1" xfId="0" applyFill="1" applyBorder="1" applyAlignment="1">
      <alignment horizontal="center" vertical="center"/>
    </xf>
    <xf numFmtId="14" fontId="0" fillId="9" borderId="1" xfId="0" applyNumberFormat="1" applyFill="1" applyBorder="1">
      <alignment vertical="center"/>
    </xf>
    <xf numFmtId="178" fontId="0" fillId="9" borderId="1" xfId="0" applyNumberFormat="1" applyFill="1" applyBorder="1">
      <alignment vertical="center"/>
    </xf>
    <xf numFmtId="14" fontId="0" fillId="9" borderId="1" xfId="0" applyNumberFormat="1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0" fillId="7" borderId="1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0" fillId="6" borderId="1" xfId="0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178" fontId="0" fillId="6" borderId="1" xfId="0" applyNumberFormat="1" applyFill="1" applyBorder="1">
      <alignment vertical="center"/>
    </xf>
    <xf numFmtId="0" fontId="0" fillId="8" borderId="1" xfId="0" applyFill="1" applyBorder="1">
      <alignment vertical="center"/>
    </xf>
    <xf numFmtId="0" fontId="0" fillId="8" borderId="1" xfId="0" applyFill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 vertical="center"/>
    </xf>
    <xf numFmtId="178" fontId="0" fillId="8" borderId="1" xfId="0" applyNumberFormat="1" applyFill="1" applyBorder="1">
      <alignment vertical="center"/>
    </xf>
    <xf numFmtId="178" fontId="0" fillId="7" borderId="1" xfId="0" applyNumberFormat="1" applyFill="1" applyBorder="1">
      <alignment vertical="center"/>
    </xf>
    <xf numFmtId="178" fontId="0" fillId="4" borderId="1" xfId="0" applyNumberFormat="1" applyFill="1" applyBorder="1">
      <alignment vertical="center"/>
    </xf>
    <xf numFmtId="178" fontId="0" fillId="5" borderId="1" xfId="0" applyNumberFormat="1" applyFill="1" applyBorder="1">
      <alignment vertical="center"/>
    </xf>
    <xf numFmtId="178" fontId="0" fillId="10" borderId="1" xfId="0" applyNumberFormat="1" applyFill="1" applyBorder="1">
      <alignment vertical="center"/>
    </xf>
    <xf numFmtId="0" fontId="0" fillId="10" borderId="1" xfId="0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0" fontId="0" fillId="11" borderId="1" xfId="0" applyFill="1" applyBorder="1">
      <alignment vertical="center"/>
    </xf>
    <xf numFmtId="0" fontId="0" fillId="11" borderId="1" xfId="0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178" fontId="0" fillId="11" borderId="1" xfId="0" applyNumberFormat="1" applyFill="1" applyBorder="1">
      <alignment vertical="center"/>
    </xf>
    <xf numFmtId="177" fontId="0" fillId="8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8" fontId="0" fillId="5" borderId="1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14" fontId="0" fillId="12" borderId="1" xfId="0" applyNumberFormat="1" applyFill="1" applyBorder="1" applyAlignment="1">
      <alignment horizontal="center" vertical="center"/>
    </xf>
    <xf numFmtId="178" fontId="0" fillId="12" borderId="1" xfId="0" applyNumberFormat="1" applyFill="1" applyBorder="1">
      <alignment vertical="center"/>
    </xf>
    <xf numFmtId="178" fontId="0" fillId="0" borderId="1" xfId="0" applyNumberFormat="1" applyBorder="1">
      <alignment vertical="center"/>
    </xf>
    <xf numFmtId="178" fontId="5" fillId="7" borderId="1" xfId="0" applyNumberFormat="1" applyFont="1" applyFill="1" applyBorder="1">
      <alignment vertical="center"/>
    </xf>
    <xf numFmtId="0" fontId="5" fillId="7" borderId="1" xfId="0" applyFont="1" applyFill="1" applyBorder="1" applyAlignment="1">
      <alignment horizontal="center" vertical="center"/>
    </xf>
    <xf numFmtId="14" fontId="6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6" borderId="1" xfId="0" applyFont="1" applyFill="1" applyBorder="1">
      <alignment vertical="center"/>
    </xf>
    <xf numFmtId="178" fontId="5" fillId="6" borderId="1" xfId="0" applyNumberFormat="1" applyFont="1" applyFill="1" applyBorder="1">
      <alignment vertical="center"/>
    </xf>
    <xf numFmtId="0" fontId="5" fillId="6" borderId="1" xfId="0" applyFont="1" applyFill="1" applyBorder="1" applyAlignment="1">
      <alignment horizontal="center" vertical="center"/>
    </xf>
    <xf numFmtId="14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8" borderId="1" xfId="0" applyFont="1" applyFill="1" applyBorder="1">
      <alignment vertical="center"/>
    </xf>
    <xf numFmtId="178" fontId="5" fillId="8" borderId="1" xfId="0" applyNumberFormat="1" applyFont="1" applyFill="1" applyBorder="1">
      <alignment vertical="center"/>
    </xf>
    <xf numFmtId="0" fontId="5" fillId="8" borderId="1" xfId="0" applyFont="1" applyFill="1" applyBorder="1" applyAlignment="1">
      <alignment horizontal="center" vertical="center"/>
    </xf>
    <xf numFmtId="14" fontId="6" fillId="8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8" borderId="0" xfId="0" applyFill="1">
      <alignment vertical="center"/>
    </xf>
    <xf numFmtId="0" fontId="0" fillId="9" borderId="3" xfId="0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5" borderId="3" xfId="0" applyFill="1" applyBorder="1">
      <alignment vertical="center"/>
    </xf>
    <xf numFmtId="0" fontId="0" fillId="4" borderId="3" xfId="0" applyFill="1" applyBorder="1">
      <alignment vertical="center"/>
    </xf>
    <xf numFmtId="0" fontId="0" fillId="12" borderId="3" xfId="0" applyFill="1" applyBorder="1">
      <alignment vertical="center"/>
    </xf>
    <xf numFmtId="0" fontId="0" fillId="7" borderId="3" xfId="0" applyFill="1" applyBorder="1">
      <alignment vertical="center"/>
    </xf>
    <xf numFmtId="0" fontId="0" fillId="6" borderId="3" xfId="0" applyFill="1" applyBorder="1">
      <alignment vertical="center"/>
    </xf>
    <xf numFmtId="0" fontId="0" fillId="3" borderId="3" xfId="0" applyFill="1" applyBorder="1">
      <alignment vertical="center"/>
    </xf>
    <xf numFmtId="0" fontId="0" fillId="8" borderId="3" xfId="0" applyFill="1" applyBorder="1">
      <alignment vertical="center"/>
    </xf>
    <xf numFmtId="0" fontId="0" fillId="0" borderId="3" xfId="0" applyBorder="1">
      <alignment vertical="center"/>
    </xf>
    <xf numFmtId="0" fontId="0" fillId="7" borderId="4" xfId="0" applyFill="1" applyBorder="1">
      <alignment vertical="center"/>
    </xf>
    <xf numFmtId="0" fontId="0" fillId="11" borderId="3" xfId="0" applyFill="1" applyBorder="1">
      <alignment vertical="center"/>
    </xf>
    <xf numFmtId="178" fontId="0" fillId="9" borderId="3" xfId="0" applyNumberFormat="1" applyFill="1" applyBorder="1">
      <alignment vertical="center"/>
    </xf>
    <xf numFmtId="0" fontId="5" fillId="8" borderId="3" xfId="0" applyFont="1" applyFill="1" applyBorder="1">
      <alignment vertical="center"/>
    </xf>
    <xf numFmtId="0" fontId="5" fillId="6" borderId="3" xfId="0" applyFont="1" applyFill="1" applyBorder="1">
      <alignment vertical="center"/>
    </xf>
    <xf numFmtId="0" fontId="0" fillId="10" borderId="3" xfId="0" applyFill="1" applyBorder="1">
      <alignment vertical="center"/>
    </xf>
    <xf numFmtId="0" fontId="0" fillId="4" borderId="4" xfId="0" applyFill="1" applyBorder="1">
      <alignment vertical="center"/>
    </xf>
    <xf numFmtId="0" fontId="0" fillId="6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5" fillId="7" borderId="3" xfId="0" applyFont="1" applyFill="1" applyBorder="1">
      <alignment vertical="center"/>
    </xf>
    <xf numFmtId="14" fontId="0" fillId="4" borderId="1" xfId="0" applyNumberFormat="1" applyFill="1" applyBorder="1">
      <alignment vertical="center"/>
    </xf>
    <xf numFmtId="14" fontId="5" fillId="9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176" fontId="0" fillId="4" borderId="1" xfId="1" applyFont="1" applyFill="1" applyBorder="1">
      <alignment vertical="center"/>
    </xf>
    <xf numFmtId="176" fontId="0" fillId="4" borderId="1" xfId="1" applyFont="1" applyFill="1" applyBorder="1" applyAlignment="1">
      <alignment horizontal="center" vertical="center"/>
    </xf>
    <xf numFmtId="176" fontId="0" fillId="0" borderId="1" xfId="1" applyFont="1" applyFill="1" applyBorder="1">
      <alignment vertical="center"/>
    </xf>
    <xf numFmtId="176" fontId="0" fillId="3" borderId="1" xfId="1" applyFont="1" applyFill="1" applyBorder="1">
      <alignment vertical="center"/>
    </xf>
    <xf numFmtId="176" fontId="0" fillId="3" borderId="1" xfId="1" applyFont="1" applyFill="1" applyBorder="1" applyAlignment="1">
      <alignment horizontal="center" vertical="center"/>
    </xf>
    <xf numFmtId="176" fontId="0" fillId="13" borderId="1" xfId="1" applyFont="1" applyFill="1" applyBorder="1">
      <alignment vertical="center"/>
    </xf>
    <xf numFmtId="176" fontId="0" fillId="13" borderId="1" xfId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78" fontId="7" fillId="5" borderId="7" xfId="0" applyNumberFormat="1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178" fontId="7" fillId="4" borderId="7" xfId="0" applyNumberFormat="1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178" fontId="7" fillId="12" borderId="7" xfId="0" applyNumberFormat="1" applyFont="1" applyFill="1" applyBorder="1" applyAlignment="1">
      <alignment horizontal="center" vertical="center"/>
    </xf>
    <xf numFmtId="178" fontId="7" fillId="0" borderId="7" xfId="0" applyNumberFormat="1" applyFont="1" applyBorder="1" applyAlignment="1">
      <alignment horizontal="center" vertical="center"/>
    </xf>
    <xf numFmtId="178" fontId="7" fillId="9" borderId="7" xfId="0" applyNumberFormat="1" applyFont="1" applyFill="1" applyBorder="1" applyAlignment="1">
      <alignment horizontal="center" vertical="center"/>
    </xf>
    <xf numFmtId="178" fontId="7" fillId="7" borderId="7" xfId="0" applyNumberFormat="1" applyFont="1" applyFill="1" applyBorder="1" applyAlignment="1">
      <alignment horizontal="center" vertical="center"/>
    </xf>
    <xf numFmtId="178" fontId="7" fillId="8" borderId="7" xfId="0" applyNumberFormat="1" applyFont="1" applyFill="1" applyBorder="1" applyAlignment="1">
      <alignment horizontal="center" vertical="center"/>
    </xf>
    <xf numFmtId="178" fontId="7" fillId="6" borderId="7" xfId="0" applyNumberFormat="1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178" fontId="7" fillId="3" borderId="7" xfId="0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178" fontId="7" fillId="11" borderId="7" xfId="0" applyNumberFormat="1" applyFont="1" applyFill="1" applyBorder="1" applyAlignment="1">
      <alignment horizontal="center" vertical="center"/>
    </xf>
    <xf numFmtId="0" fontId="7" fillId="11" borderId="7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178" fontId="7" fillId="10" borderId="7" xfId="0" applyNumberFormat="1" applyFont="1" applyFill="1" applyBorder="1" applyAlignment="1">
      <alignment horizontal="center" vertical="center"/>
    </xf>
    <xf numFmtId="0" fontId="7" fillId="13" borderId="7" xfId="0" applyFont="1" applyFill="1" applyBorder="1" applyAlignment="1">
      <alignment horizontal="center" vertical="center"/>
    </xf>
    <xf numFmtId="178" fontId="7" fillId="13" borderId="7" xfId="0" applyNumberFormat="1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5" borderId="7" xfId="0" applyNumberFormat="1" applyFont="1" applyFill="1" applyBorder="1" applyAlignment="1">
      <alignment horizontal="center" vertical="center"/>
    </xf>
    <xf numFmtId="178" fontId="7" fillId="0" borderId="7" xfId="0" quotePrefix="1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/>
    </xf>
    <xf numFmtId="178" fontId="4" fillId="8" borderId="7" xfId="0" applyNumberFormat="1" applyFont="1" applyFill="1" applyBorder="1" applyAlignment="1">
      <alignment horizontal="center" vertical="center"/>
    </xf>
    <xf numFmtId="176" fontId="0" fillId="7" borderId="1" xfId="1" applyFont="1" applyFill="1" applyBorder="1">
      <alignment vertical="center"/>
    </xf>
    <xf numFmtId="176" fontId="0" fillId="7" borderId="1" xfId="1" applyFont="1" applyFill="1" applyBorder="1" applyAlignment="1">
      <alignment horizontal="center" vertical="center"/>
    </xf>
    <xf numFmtId="176" fontId="0" fillId="8" borderId="1" xfId="1" applyFont="1" applyFill="1" applyBorder="1">
      <alignment vertical="center"/>
    </xf>
    <xf numFmtId="176" fontId="0" fillId="8" borderId="1" xfId="1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10" fillId="0" borderId="1" xfId="0" applyFont="1" applyBorder="1">
      <alignment vertical="center"/>
    </xf>
    <xf numFmtId="0" fontId="11" fillId="0" borderId="1" xfId="0" applyFont="1" applyBorder="1">
      <alignment vertical="center"/>
    </xf>
    <xf numFmtId="0" fontId="13" fillId="0" borderId="1" xfId="3" applyFont="1" applyBorder="1" applyAlignment="1" applyProtection="1">
      <alignment vertical="center"/>
    </xf>
    <xf numFmtId="0" fontId="4" fillId="0" borderId="1" xfId="0" applyFont="1" applyBorder="1">
      <alignment vertical="center"/>
    </xf>
    <xf numFmtId="0" fontId="13" fillId="14" borderId="1" xfId="3" applyFont="1" applyFill="1" applyBorder="1" applyAlignment="1" applyProtection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15" borderId="7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178" fontId="7" fillId="16" borderId="7" xfId="0" applyNumberFormat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6" borderId="1" xfId="0" applyFont="1" applyFill="1" applyBorder="1">
      <alignment vertical="center"/>
    </xf>
    <xf numFmtId="178" fontId="7" fillId="6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4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>
      <alignment vertical="center"/>
    </xf>
    <xf numFmtId="178" fontId="7" fillId="7" borderId="1" xfId="0" applyNumberFormat="1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16" fillId="7" borderId="1" xfId="0" applyFont="1" applyFill="1" applyBorder="1">
      <alignment vertical="center"/>
    </xf>
    <xf numFmtId="176" fontId="0" fillId="0" borderId="5" xfId="1" applyFont="1" applyBorder="1">
      <alignment vertical="center"/>
    </xf>
    <xf numFmtId="176" fontId="0" fillId="0" borderId="5" xfId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176" fontId="0" fillId="14" borderId="1" xfId="1" applyFont="1" applyFill="1" applyBorder="1">
      <alignment vertical="center"/>
    </xf>
    <xf numFmtId="176" fontId="0" fillId="14" borderId="1" xfId="1" applyFont="1" applyFill="1" applyBorder="1" applyAlignment="1">
      <alignment horizontal="center" vertical="center"/>
    </xf>
    <xf numFmtId="0" fontId="7" fillId="12" borderId="7" xfId="0" applyFont="1" applyFill="1" applyBorder="1" applyAlignment="1">
      <alignment horizontal="center" vertical="center"/>
    </xf>
    <xf numFmtId="0" fontId="7" fillId="14" borderId="5" xfId="0" applyFont="1" applyFill="1" applyBorder="1" applyAlignment="1">
      <alignment horizontal="center" vertical="center"/>
    </xf>
    <xf numFmtId="176" fontId="0" fillId="14" borderId="5" xfId="1" applyFont="1" applyFill="1" applyBorder="1">
      <alignment vertical="center"/>
    </xf>
    <xf numFmtId="176" fontId="0" fillId="14" borderId="5" xfId="1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14" fontId="4" fillId="14" borderId="1" xfId="0" applyNumberFormat="1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0" fillId="12" borderId="1" xfId="0" applyFill="1" applyBorder="1">
      <alignment vertical="center"/>
    </xf>
    <xf numFmtId="0" fontId="0" fillId="8" borderId="1" xfId="0" applyFill="1" applyBorder="1" applyAlignment="1">
      <alignment horizontal="center" vertical="center" wrapText="1"/>
    </xf>
    <xf numFmtId="0" fontId="0" fillId="9" borderId="1" xfId="0" quotePrefix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0" fontId="0" fillId="7" borderId="1" xfId="0" quotePrefix="1" applyFill="1" applyBorder="1" applyAlignment="1">
      <alignment horizontal="center" vertical="center"/>
    </xf>
    <xf numFmtId="0" fontId="0" fillId="6" borderId="0" xfId="0" applyFill="1">
      <alignment vertical="center"/>
    </xf>
    <xf numFmtId="0" fontId="0" fillId="4" borderId="1" xfId="0" applyFill="1" applyBorder="1" applyAlignment="1">
      <alignment horizontal="center" vertical="center" wrapText="1"/>
    </xf>
    <xf numFmtId="0" fontId="0" fillId="8" borderId="1" xfId="0" quotePrefix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4" borderId="0" xfId="0" applyFill="1">
      <alignment vertical="center"/>
    </xf>
    <xf numFmtId="0" fontId="0" fillId="5" borderId="1" xfId="0" quotePrefix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5" borderId="0" xfId="0" applyFill="1">
      <alignment vertical="center"/>
    </xf>
    <xf numFmtId="0" fontId="18" fillId="0" borderId="0" xfId="0" applyFont="1">
      <alignment vertical="center"/>
    </xf>
    <xf numFmtId="0" fontId="0" fillId="0" borderId="1" xfId="0" quotePrefix="1" applyBorder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6" borderId="1" xfId="0" quotePrefix="1" applyFill="1" applyBorder="1" applyAlignment="1">
      <alignment horizontal="center" vertical="center"/>
    </xf>
    <xf numFmtId="0" fontId="0" fillId="6" borderId="6" xfId="0" quotePrefix="1" applyFill="1" applyBorder="1" applyAlignment="1">
      <alignment horizontal="center" vertical="center"/>
    </xf>
    <xf numFmtId="0" fontId="0" fillId="4" borderId="6" xfId="0" quotePrefix="1" applyFill="1" applyBorder="1" applyAlignment="1">
      <alignment horizontal="center" vertical="center"/>
    </xf>
    <xf numFmtId="0" fontId="0" fillId="12" borderId="6" xfId="0" quotePrefix="1" applyFill="1" applyBorder="1" applyAlignment="1">
      <alignment horizontal="center" vertical="center"/>
    </xf>
    <xf numFmtId="0" fontId="0" fillId="7" borderId="5" xfId="0" quotePrefix="1" applyFill="1" applyBorder="1" applyAlignment="1">
      <alignment horizontal="center" vertical="center"/>
    </xf>
    <xf numFmtId="0" fontId="0" fillId="5" borderId="5" xfId="0" quotePrefix="1" applyFill="1" applyBorder="1" applyAlignment="1">
      <alignment horizontal="center" vertical="center"/>
    </xf>
    <xf numFmtId="0" fontId="0" fillId="7" borderId="0" xfId="0" applyFill="1">
      <alignment vertical="center"/>
    </xf>
    <xf numFmtId="0" fontId="0" fillId="6" borderId="2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/>
    </xf>
    <xf numFmtId="14" fontId="4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>
      <alignment vertical="center"/>
    </xf>
    <xf numFmtId="0" fontId="0" fillId="6" borderId="6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3" borderId="5" xfId="0" quotePrefix="1" applyFill="1" applyBorder="1" applyAlignment="1">
      <alignment horizontal="center" vertical="center"/>
    </xf>
    <xf numFmtId="0" fontId="0" fillId="8" borderId="5" xfId="0" quotePrefix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>
      <alignment vertical="center"/>
    </xf>
    <xf numFmtId="176" fontId="4" fillId="0" borderId="1" xfId="1" applyFont="1" applyFill="1" applyBorder="1">
      <alignment vertical="center"/>
    </xf>
    <xf numFmtId="176" fontId="4" fillId="0" borderId="1" xfId="1" applyFont="1" applyFill="1" applyBorder="1" applyAlignment="1">
      <alignment horizontal="center" vertical="center"/>
    </xf>
    <xf numFmtId="0" fontId="4" fillId="4" borderId="0" xfId="0" applyFont="1" applyFill="1">
      <alignment vertical="center"/>
    </xf>
    <xf numFmtId="0" fontId="0" fillId="0" borderId="6" xfId="0" quotePrefix="1" applyBorder="1" applyAlignment="1">
      <alignment horizontal="center" vertical="center"/>
    </xf>
    <xf numFmtId="0" fontId="0" fillId="0" borderId="6" xfId="0" applyBorder="1" applyAlignment="1">
      <alignment horizontal="center" vertical="center" shrinkToFit="1"/>
    </xf>
    <xf numFmtId="0" fontId="0" fillId="16" borderId="1" xfId="0" applyFill="1" applyBorder="1" applyAlignment="1">
      <alignment horizontal="center" vertical="center"/>
    </xf>
    <xf numFmtId="14" fontId="0" fillId="16" borderId="1" xfId="0" applyNumberFormat="1" applyFill="1" applyBorder="1" applyAlignment="1">
      <alignment horizontal="center" vertical="center"/>
    </xf>
    <xf numFmtId="0" fontId="0" fillId="16" borderId="1" xfId="0" applyFill="1" applyBorder="1">
      <alignment vertical="center"/>
    </xf>
    <xf numFmtId="0" fontId="0" fillId="3" borderId="6" xfId="0" quotePrefix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/>
    </xf>
    <xf numFmtId="0" fontId="0" fillId="8" borderId="6" xfId="0" quotePrefix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77" fontId="0" fillId="8" borderId="1" xfId="0" applyNumberFormat="1" applyFill="1" applyBorder="1">
      <alignment vertical="center"/>
    </xf>
    <xf numFmtId="0" fontId="0" fillId="5" borderId="1" xfId="0" applyFill="1" applyBorder="1" applyAlignment="1">
      <alignment vertical="center" wrapText="1"/>
    </xf>
    <xf numFmtId="0" fontId="0" fillId="7" borderId="6" xfId="0" quotePrefix="1" applyFill="1" applyBorder="1" applyAlignment="1">
      <alignment horizontal="center" vertical="center"/>
    </xf>
    <xf numFmtId="0" fontId="0" fillId="5" borderId="2" xfId="0" quotePrefix="1" applyFill="1" applyBorder="1" applyAlignment="1">
      <alignment horizontal="center" vertical="center"/>
    </xf>
    <xf numFmtId="0" fontId="0" fillId="5" borderId="6" xfId="0" quotePrefix="1" applyFill="1" applyBorder="1" applyAlignment="1">
      <alignment horizontal="center" vertical="center"/>
    </xf>
    <xf numFmtId="0" fontId="0" fillId="4" borderId="5" xfId="0" quotePrefix="1" applyFill="1" applyBorder="1" applyAlignment="1">
      <alignment horizontal="center" vertical="center"/>
    </xf>
    <xf numFmtId="0" fontId="0" fillId="7" borderId="1" xfId="0" applyFill="1" applyBorder="1" applyAlignment="1">
      <alignment vertical="center" wrapText="1"/>
    </xf>
    <xf numFmtId="178" fontId="0" fillId="9" borderId="1" xfId="0" quotePrefix="1" applyNumberFormat="1" applyFill="1" applyBorder="1" applyAlignment="1">
      <alignment horizontal="center" vertical="center"/>
    </xf>
    <xf numFmtId="0" fontId="0" fillId="4" borderId="2" xfId="0" quotePrefix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6" borderId="0" xfId="0" applyFont="1" applyFill="1">
      <alignment vertical="center"/>
    </xf>
    <xf numFmtId="0" fontId="0" fillId="8" borderId="2" xfId="0" quotePrefix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10" borderId="1" xfId="0" applyFill="1" applyBorder="1">
      <alignment vertical="center"/>
    </xf>
    <xf numFmtId="0" fontId="0" fillId="10" borderId="1" xfId="0" quotePrefix="1" applyFill="1" applyBorder="1" applyAlignment="1">
      <alignment horizontal="center" vertical="center"/>
    </xf>
    <xf numFmtId="0" fontId="0" fillId="6" borderId="2" xfId="0" quotePrefix="1" applyFill="1" applyBorder="1" applyAlignment="1">
      <alignment horizontal="center" vertical="center"/>
    </xf>
    <xf numFmtId="0" fontId="4" fillId="8" borderId="0" xfId="0" applyFont="1" applyFill="1">
      <alignment vertical="center"/>
    </xf>
    <xf numFmtId="0" fontId="0" fillId="16" borderId="1" xfId="0" quotePrefix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14" fontId="4" fillId="16" borderId="1" xfId="0" applyNumberFormat="1" applyFont="1" applyFill="1" applyBorder="1" applyAlignment="1">
      <alignment horizontal="center" vertical="center"/>
    </xf>
    <xf numFmtId="0" fontId="4" fillId="16" borderId="1" xfId="0" applyFont="1" applyFill="1" applyBorder="1">
      <alignment vertical="center"/>
    </xf>
    <xf numFmtId="178" fontId="17" fillId="8" borderId="7" xfId="0" applyNumberFormat="1" applyFont="1" applyFill="1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12" borderId="2" xfId="0" quotePrefix="1" applyFill="1" applyBorder="1" applyAlignment="1">
      <alignment horizontal="center" vertical="center"/>
    </xf>
    <xf numFmtId="0" fontId="0" fillId="13" borderId="0" xfId="0" applyFill="1">
      <alignment vertical="center"/>
    </xf>
    <xf numFmtId="0" fontId="0" fillId="13" borderId="1" xfId="0" applyFill="1" applyBorder="1">
      <alignment vertical="center"/>
    </xf>
    <xf numFmtId="0" fontId="0" fillId="13" borderId="1" xfId="0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 vertical="center"/>
    </xf>
    <xf numFmtId="0" fontId="0" fillId="15" borderId="5" xfId="0" quotePrefix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4" fontId="0" fillId="15" borderId="1" xfId="0" applyNumberFormat="1" applyFill="1" applyBorder="1" applyAlignment="1">
      <alignment horizontal="center" vertical="center"/>
    </xf>
    <xf numFmtId="0" fontId="13" fillId="0" borderId="0" xfId="3" applyFont="1" applyAlignment="1" applyProtection="1">
      <alignment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>
      <alignment vertical="center"/>
    </xf>
    <xf numFmtId="0" fontId="13" fillId="0" borderId="1" xfId="3" applyFont="1" applyFill="1" applyBorder="1" applyAlignment="1" applyProtection="1">
      <alignment vertical="center"/>
    </xf>
    <xf numFmtId="14" fontId="0" fillId="14" borderId="1" xfId="0" applyNumberFormat="1" applyFill="1" applyBorder="1" applyAlignment="1">
      <alignment horizontal="center" vertical="center"/>
    </xf>
    <xf numFmtId="0" fontId="0" fillId="14" borderId="1" xfId="0" applyFill="1" applyBorder="1">
      <alignment vertical="center"/>
    </xf>
    <xf numFmtId="0" fontId="0" fillId="14" borderId="5" xfId="0" applyFill="1" applyBorder="1">
      <alignment vertical="center"/>
    </xf>
    <xf numFmtId="0" fontId="0" fillId="14" borderId="5" xfId="0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76" fontId="0" fillId="0" borderId="0" xfId="1" applyFont="1" applyFill="1" applyBorder="1">
      <alignment vertical="center"/>
    </xf>
    <xf numFmtId="176" fontId="0" fillId="0" borderId="0" xfId="1" applyFont="1" applyFill="1" applyBorder="1" applyAlignment="1">
      <alignment horizontal="center" vertical="center"/>
    </xf>
    <xf numFmtId="178" fontId="17" fillId="0" borderId="1" xfId="0" applyNumberFormat="1" applyFont="1" applyBorder="1" applyAlignment="1">
      <alignment horizontal="center" vertical="center"/>
    </xf>
    <xf numFmtId="178" fontId="7" fillId="14" borderId="1" xfId="0" applyNumberFormat="1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179" fontId="0" fillId="0" borderId="1" xfId="0" applyNumberFormat="1" applyBorder="1">
      <alignment vertical="center"/>
    </xf>
    <xf numFmtId="178" fontId="7" fillId="0" borderId="1" xfId="0" applyNumberFormat="1" applyFont="1" applyBorder="1" applyAlignment="1">
      <alignment horizontal="center" vertical="center"/>
    </xf>
    <xf numFmtId="0" fontId="0" fillId="7" borderId="2" xfId="0" quotePrefix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6" xfId="0" applyBorder="1">
      <alignment vertical="center"/>
    </xf>
    <xf numFmtId="0" fontId="0" fillId="0" borderId="5" xfId="0" quotePrefix="1" applyBorder="1">
      <alignment vertical="center"/>
    </xf>
    <xf numFmtId="0" fontId="0" fillId="0" borderId="2" xfId="0" quotePrefix="1" applyBorder="1">
      <alignment vertical="center"/>
    </xf>
    <xf numFmtId="0" fontId="0" fillId="14" borderId="1" xfId="0" quotePrefix="1" applyFill="1" applyBorder="1" applyAlignment="1">
      <alignment horizontal="center" vertical="center"/>
    </xf>
    <xf numFmtId="0" fontId="7" fillId="14" borderId="7" xfId="0" applyFont="1" applyFill="1" applyBorder="1" applyAlignment="1">
      <alignment horizontal="center" vertical="center"/>
    </xf>
    <xf numFmtId="0" fontId="0" fillId="14" borderId="0" xfId="0" applyFill="1">
      <alignment vertical="center"/>
    </xf>
    <xf numFmtId="0" fontId="0" fillId="15" borderId="1" xfId="0" applyFill="1" applyBorder="1">
      <alignment vertical="center"/>
    </xf>
    <xf numFmtId="176" fontId="0" fillId="15" borderId="1" xfId="1" applyFont="1" applyFill="1" applyBorder="1">
      <alignment vertical="center"/>
    </xf>
    <xf numFmtId="176" fontId="0" fillId="15" borderId="1" xfId="1" applyFont="1" applyFill="1" applyBorder="1" applyAlignment="1">
      <alignment horizontal="center" vertical="center"/>
    </xf>
    <xf numFmtId="0" fontId="0" fillId="15" borderId="0" xfId="0" applyFill="1">
      <alignment vertical="center"/>
    </xf>
    <xf numFmtId="0" fontId="7" fillId="17" borderId="7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14" fontId="0" fillId="17" borderId="1" xfId="0" applyNumberFormat="1" applyFill="1" applyBorder="1" applyAlignment="1">
      <alignment horizontal="center" vertical="center"/>
    </xf>
    <xf numFmtId="0" fontId="0" fillId="17" borderId="1" xfId="0" applyFill="1" applyBorder="1">
      <alignment vertical="center"/>
    </xf>
    <xf numFmtId="176" fontId="0" fillId="17" borderId="1" xfId="1" applyFont="1" applyFill="1" applyBorder="1">
      <alignment vertical="center"/>
    </xf>
    <xf numFmtId="176" fontId="0" fillId="17" borderId="1" xfId="1" applyFont="1" applyFill="1" applyBorder="1" applyAlignment="1">
      <alignment horizontal="center" vertical="center"/>
    </xf>
    <xf numFmtId="0" fontId="0" fillId="17" borderId="0" xfId="0" applyFill="1">
      <alignment vertical="center"/>
    </xf>
    <xf numFmtId="0" fontId="19" fillId="0" borderId="1" xfId="0" applyFont="1" applyBorder="1">
      <alignment vertical="center"/>
    </xf>
    <xf numFmtId="0" fontId="21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4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>
      <alignment vertical="center"/>
    </xf>
    <xf numFmtId="180" fontId="0" fillId="0" borderId="1" xfId="0" quotePrefix="1" applyNumberFormat="1" applyBorder="1" applyAlignment="1">
      <alignment horizontal="center" vertical="center"/>
    </xf>
    <xf numFmtId="178" fontId="0" fillId="0" borderId="1" xfId="0" quotePrefix="1" applyNumberForma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4" borderId="0" xfId="0" applyFill="1" applyBorder="1">
      <alignment vertical="center"/>
    </xf>
    <xf numFmtId="0" fontId="12" fillId="14" borderId="1" xfId="3" applyFill="1" applyBorder="1" applyAlignment="1" applyProtection="1">
      <alignment vertical="center"/>
    </xf>
    <xf numFmtId="0" fontId="0" fillId="6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6" borderId="5" xfId="0" quotePrefix="1" applyFill="1" applyBorder="1" applyAlignment="1">
      <alignment horizontal="center" vertical="center"/>
    </xf>
    <xf numFmtId="0" fontId="7" fillId="16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78" fontId="21" fillId="0" borderId="1" xfId="0" applyNumberFormat="1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8" fontId="7" fillId="4" borderId="9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8" fontId="0" fillId="0" borderId="5" xfId="0" quotePrefix="1" applyNumberFormat="1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14" borderId="5" xfId="0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5" xfId="0" quotePrefix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9" borderId="1" xfId="0" quotePrefix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1" borderId="1" xfId="0" quotePrefix="1" applyFill="1" applyBorder="1" applyAlignment="1">
      <alignment horizontal="center" vertical="center"/>
    </xf>
    <xf numFmtId="0" fontId="0" fillId="7" borderId="5" xfId="0" quotePrefix="1" applyFill="1" applyBorder="1" applyAlignment="1">
      <alignment horizontal="center" vertical="center"/>
    </xf>
    <xf numFmtId="0" fontId="0" fillId="7" borderId="2" xfId="0" quotePrefix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8" borderId="5" xfId="0" quotePrefix="1" applyFill="1" applyBorder="1" applyAlignment="1">
      <alignment horizontal="center" vertical="center"/>
    </xf>
    <xf numFmtId="0" fontId="0" fillId="8" borderId="6" xfId="0" quotePrefix="1" applyFill="1" applyBorder="1" applyAlignment="1">
      <alignment horizontal="center" vertical="center"/>
    </xf>
    <xf numFmtId="0" fontId="0" fillId="5" borderId="5" xfId="0" quotePrefix="1" applyFill="1" applyBorder="1" applyAlignment="1">
      <alignment horizontal="center" vertical="center"/>
    </xf>
    <xf numFmtId="0" fontId="0" fillId="5" borderId="2" xfId="0" quotePrefix="1" applyFill="1" applyBorder="1" applyAlignment="1">
      <alignment horizontal="center" vertical="center"/>
    </xf>
    <xf numFmtId="0" fontId="0" fillId="5" borderId="6" xfId="0" quotePrefix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5" xfId="0" quotePrefix="1" applyFill="1" applyBorder="1" applyAlignment="1">
      <alignment horizontal="center" vertical="center"/>
    </xf>
    <xf numFmtId="0" fontId="0" fillId="4" borderId="2" xfId="0" quotePrefix="1" applyFill="1" applyBorder="1" applyAlignment="1">
      <alignment horizontal="center" vertical="center"/>
    </xf>
    <xf numFmtId="0" fontId="0" fillId="4" borderId="6" xfId="0" quotePrefix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2" xfId="0" quotePrefix="1" applyFill="1" applyBorder="1" applyAlignment="1">
      <alignment horizontal="center" vertical="center"/>
    </xf>
    <xf numFmtId="0" fontId="0" fillId="6" borderId="6" xfId="0" quotePrefix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" xfId="0" quotePrefix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8" borderId="5" xfId="0" quotePrefix="1" applyFill="1" applyBorder="1" applyAlignment="1">
      <alignment horizontal="center" vertical="center" wrapText="1"/>
    </xf>
    <xf numFmtId="0" fontId="0" fillId="8" borderId="2" xfId="0" quotePrefix="1" applyFill="1" applyBorder="1" applyAlignment="1">
      <alignment horizontal="center" vertical="center" wrapText="1"/>
    </xf>
    <xf numFmtId="0" fontId="0" fillId="8" borderId="6" xfId="0" quotePrefix="1" applyFill="1" applyBorder="1" applyAlignment="1">
      <alignment horizontal="center" vertical="center" wrapText="1"/>
    </xf>
    <xf numFmtId="0" fontId="0" fillId="9" borderId="5" xfId="0" quotePrefix="1" applyFill="1" applyBorder="1" applyAlignment="1">
      <alignment horizontal="center" vertical="center"/>
    </xf>
    <xf numFmtId="0" fontId="0" fillId="9" borderId="6" xfId="0" quotePrefix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0" fontId="0" fillId="9" borderId="2" xfId="0" quotePrefix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8" borderId="2" xfId="0" quotePrefix="1" applyFill="1" applyBorder="1" applyAlignment="1">
      <alignment horizontal="center" vertical="center"/>
    </xf>
    <xf numFmtId="0" fontId="0" fillId="7" borderId="6" xfId="0" quotePrefix="1" applyFill="1" applyBorder="1" applyAlignment="1">
      <alignment horizontal="center" vertical="center"/>
    </xf>
    <xf numFmtId="0" fontId="0" fillId="8" borderId="1" xfId="0" quotePrefix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178" fontId="7" fillId="5" borderId="5" xfId="0" applyNumberFormat="1" applyFont="1" applyFill="1" applyBorder="1" applyAlignment="1">
      <alignment horizontal="center" vertical="center"/>
    </xf>
    <xf numFmtId="178" fontId="7" fillId="5" borderId="2" xfId="0" applyNumberFormat="1" applyFont="1" applyFill="1" applyBorder="1" applyAlignment="1">
      <alignment horizontal="center" vertical="center"/>
    </xf>
    <xf numFmtId="178" fontId="7" fillId="5" borderId="6" xfId="0" applyNumberFormat="1" applyFont="1" applyFill="1" applyBorder="1" applyAlignment="1">
      <alignment horizontal="center" vertical="center"/>
    </xf>
    <xf numFmtId="178" fontId="7" fillId="12" borderId="5" xfId="0" applyNumberFormat="1" applyFont="1" applyFill="1" applyBorder="1" applyAlignment="1">
      <alignment horizontal="center" vertical="center"/>
    </xf>
    <xf numFmtId="178" fontId="7" fillId="12" borderId="2" xfId="0" applyNumberFormat="1" applyFont="1" applyFill="1" applyBorder="1" applyAlignment="1">
      <alignment horizontal="center" vertical="center"/>
    </xf>
    <xf numFmtId="178" fontId="7" fillId="12" borderId="6" xfId="0" applyNumberFormat="1" applyFont="1" applyFill="1" applyBorder="1" applyAlignment="1">
      <alignment horizontal="center" vertical="center"/>
    </xf>
    <xf numFmtId="178" fontId="7" fillId="4" borderId="5" xfId="0" applyNumberFormat="1" applyFont="1" applyFill="1" applyBorder="1" applyAlignment="1">
      <alignment horizontal="center" vertical="center"/>
    </xf>
    <xf numFmtId="178" fontId="7" fillId="4" borderId="2" xfId="0" applyNumberFormat="1" applyFont="1" applyFill="1" applyBorder="1" applyAlignment="1">
      <alignment horizontal="center" vertical="center"/>
    </xf>
    <xf numFmtId="178" fontId="7" fillId="4" borderId="6" xfId="0" applyNumberFormat="1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3" borderId="5" xfId="0" quotePrefix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12" borderId="5" xfId="0" quotePrefix="1" applyFill="1" applyBorder="1" applyAlignment="1">
      <alignment horizontal="center" vertical="center"/>
    </xf>
    <xf numFmtId="0" fontId="0" fillId="12" borderId="2" xfId="0" quotePrefix="1" applyFill="1" applyBorder="1" applyAlignment="1">
      <alignment horizontal="center" vertical="center"/>
    </xf>
    <xf numFmtId="0" fontId="0" fillId="12" borderId="6" xfId="0" quotePrefix="1" applyFill="1" applyBorder="1" applyAlignment="1">
      <alignment horizontal="center" vertical="center"/>
    </xf>
    <xf numFmtId="0" fontId="0" fillId="0" borderId="5" xfId="0" applyBorder="1" applyAlignment="1">
      <alignment horizontal="center" vertical="center" shrinkToFit="1"/>
    </xf>
    <xf numFmtId="0" fontId="0" fillId="7" borderId="5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178" fontId="0" fillId="0" borderId="2" xfId="0" quotePrefix="1" applyNumberFormat="1" applyBorder="1" applyAlignment="1">
      <alignment horizontal="center" vertical="center"/>
    </xf>
    <xf numFmtId="178" fontId="0" fillId="0" borderId="6" xfId="0" quotePrefix="1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quotePrefix="1" applyFill="1" applyBorder="1" applyAlignment="1">
      <alignment horizontal="center" vertical="center"/>
    </xf>
    <xf numFmtId="0" fontId="0" fillId="3" borderId="6" xfId="0" quotePrefix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8" fontId="0" fillId="6" borderId="1" xfId="0" quotePrefix="1" applyNumberFormat="1" applyFill="1" applyBorder="1" applyAlignment="1">
      <alignment horizontal="center" vertical="center"/>
    </xf>
    <xf numFmtId="0" fontId="0" fillId="10" borderId="1" xfId="0" quotePrefix="1" applyFill="1" applyBorder="1" applyAlignment="1">
      <alignment horizontal="center" vertical="center"/>
    </xf>
    <xf numFmtId="0" fontId="0" fillId="17" borderId="5" xfId="0" quotePrefix="1" applyFill="1" applyBorder="1" applyAlignment="1">
      <alignment horizontal="center" vertical="center"/>
    </xf>
    <xf numFmtId="0" fontId="0" fillId="17" borderId="6" xfId="0" quotePrefix="1" applyFill="1" applyBorder="1" applyAlignment="1">
      <alignment horizontal="center" vertical="center"/>
    </xf>
  </cellXfs>
  <cellStyles count="4">
    <cellStyle name="나쁨" xfId="2" builtinId="27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&#49888;&#52492;4&#47196;&#49888;&#48169;&#52488;&#50896;@108-803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mailto:&#46160;&#51221;&#50669;&#54392;&#47476;&#51648;&#50724;@110&#46041;%201403&#54840;" TargetMode="External"/><Relationship Id="rId7" Type="http://schemas.openxmlformats.org/officeDocument/2006/relationships/hyperlink" Target="mailto:&#47215;&#45936;&#52880;&#49836;@101&#46041;%20904&#54840;" TargetMode="External"/><Relationship Id="rId12" Type="http://schemas.openxmlformats.org/officeDocument/2006/relationships/hyperlink" Target="mailto:&#52285;&#50896;&#49884;&#49457;&#49328;&#44396;&#50808;&#46041;&#48152;&#47548;&#47196;219&#54788;&#45824;@104-205" TargetMode="External"/><Relationship Id="rId2" Type="http://schemas.openxmlformats.org/officeDocument/2006/relationships/hyperlink" Target="mailto:&#47215;&#45936;&#52880;&#49836;@101&#46041;%20904&#54840;" TargetMode="External"/><Relationship Id="rId1" Type="http://schemas.openxmlformats.org/officeDocument/2006/relationships/hyperlink" Target="mailto:&#47215;&#45936;&#52880;&#49836;@101&#46041;%20904&#54840;" TargetMode="External"/><Relationship Id="rId6" Type="http://schemas.openxmlformats.org/officeDocument/2006/relationships/hyperlink" Target="mailto:&#47215;&#45936;&#52880;&#49836;@101&#46041;%20904&#54840;" TargetMode="External"/><Relationship Id="rId11" Type="http://schemas.openxmlformats.org/officeDocument/2006/relationships/hyperlink" Target="https://gowith3.sharepoint.com/" TargetMode="External"/><Relationship Id="rId5" Type="http://schemas.openxmlformats.org/officeDocument/2006/relationships/hyperlink" Target="mailto:&#47215;&#45936;&#52880;&#49836;@113-901" TargetMode="External"/><Relationship Id="rId10" Type="http://schemas.openxmlformats.org/officeDocument/2006/relationships/hyperlink" Target="mailto:&#49888;&#52492;4&#47196;&#49888;&#48169;&#52488;&#50896;@108-803" TargetMode="External"/><Relationship Id="rId4" Type="http://schemas.openxmlformats.org/officeDocument/2006/relationships/hyperlink" Target="mailto:&#46160;&#51221;&#50669;&#54392;&#47476;&#51648;&#50724;@110&#46041;%201403&#54840;" TargetMode="External"/><Relationship Id="rId9" Type="http://schemas.openxmlformats.org/officeDocument/2006/relationships/hyperlink" Target="mailto:&#49888;&#52492;4&#47196;&#49888;&#48169;&#52488;&#50896;@108-80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72"/>
  <sheetViews>
    <sheetView topLeftCell="B1" workbookViewId="0">
      <pane ySplit="1" topLeftCell="A288" activePane="bottomLeft" state="frozen"/>
      <selection pane="bottomLeft" activeCell="D301" sqref="D301"/>
    </sheetView>
  </sheetViews>
  <sheetFormatPr defaultRowHeight="16.5" x14ac:dyDescent="0.3"/>
  <cols>
    <col min="1" max="1" width="0" hidden="1" customWidth="1"/>
    <col min="3" max="3" width="9.875" bestFit="1" customWidth="1"/>
    <col min="4" max="4" width="19" style="7" customWidth="1"/>
    <col min="5" max="6" width="15.875" style="7" hidden="1" customWidth="1"/>
    <col min="7" max="7" width="10.625" customWidth="1"/>
    <col min="8" max="8" width="15.875" hidden="1" customWidth="1"/>
    <col min="9" max="9" width="39.75" style="7" hidden="1" customWidth="1"/>
    <col min="10" max="10" width="20.375" hidden="1" customWidth="1"/>
    <col min="11" max="11" width="33.375" hidden="1" customWidth="1"/>
    <col min="12" max="14" width="10.625" customWidth="1"/>
    <col min="15" max="15" width="9" style="4"/>
    <col min="16" max="16" width="9" style="6"/>
  </cols>
  <sheetData>
    <row r="1" spans="1:17" x14ac:dyDescent="0.3">
      <c r="A1" s="80" t="s">
        <v>0</v>
      </c>
      <c r="B1" s="80" t="s">
        <v>0</v>
      </c>
      <c r="C1" s="1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8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3" t="s">
        <v>12</v>
      </c>
      <c r="P1" s="5" t="s">
        <v>13</v>
      </c>
      <c r="Q1" s="1" t="s">
        <v>14</v>
      </c>
    </row>
    <row r="2" spans="1:17" x14ac:dyDescent="0.3">
      <c r="A2" s="81"/>
      <c r="B2" s="97">
        <v>1</v>
      </c>
      <c r="C2" s="45">
        <v>44198</v>
      </c>
      <c r="D2" s="33" t="s">
        <v>15</v>
      </c>
      <c r="E2" s="34">
        <v>27571</v>
      </c>
      <c r="F2" s="33">
        <v>1005215</v>
      </c>
      <c r="G2" s="33">
        <f t="shared" ref="G2:G10" ca="1" si="0">YEAR(TODAY())-YEAR(E2)</f>
        <v>51</v>
      </c>
      <c r="H2" s="33"/>
      <c r="I2" s="1" t="s">
        <v>16</v>
      </c>
      <c r="J2" s="8"/>
      <c r="K2" s="8"/>
      <c r="L2" s="8"/>
      <c r="M2" s="8"/>
      <c r="N2" s="8"/>
      <c r="O2" s="9"/>
      <c r="P2" s="3"/>
      <c r="Q2" s="8"/>
    </row>
    <row r="3" spans="1:17" x14ac:dyDescent="0.3">
      <c r="A3" s="81"/>
      <c r="B3" s="97">
        <v>2</v>
      </c>
      <c r="C3" s="32"/>
      <c r="D3" s="33" t="s">
        <v>17</v>
      </c>
      <c r="E3" s="34">
        <v>28010</v>
      </c>
      <c r="F3" s="33">
        <v>2155112</v>
      </c>
      <c r="G3" s="33">
        <f t="shared" ca="1" si="0"/>
        <v>50</v>
      </c>
      <c r="H3" s="33"/>
      <c r="I3" s="1"/>
      <c r="J3" s="8"/>
      <c r="K3" s="8"/>
      <c r="L3" s="8"/>
      <c r="M3" s="8"/>
      <c r="N3" s="8"/>
      <c r="O3" s="9"/>
      <c r="P3" s="3"/>
      <c r="Q3" s="8"/>
    </row>
    <row r="4" spans="1:17" x14ac:dyDescent="0.3">
      <c r="A4" s="81"/>
      <c r="B4" s="97">
        <v>3</v>
      </c>
      <c r="C4" s="32"/>
      <c r="D4" s="33" t="s">
        <v>18</v>
      </c>
      <c r="E4" s="34">
        <v>38719</v>
      </c>
      <c r="F4" s="33">
        <v>4017514</v>
      </c>
      <c r="G4" s="33">
        <f t="shared" ca="1" si="0"/>
        <v>20</v>
      </c>
      <c r="H4" s="33"/>
      <c r="I4" s="1"/>
      <c r="J4" s="8"/>
      <c r="K4" s="8"/>
      <c r="L4" s="8"/>
      <c r="M4" s="8"/>
      <c r="N4" s="8"/>
      <c r="O4" s="9"/>
      <c r="P4" s="3"/>
      <c r="Q4" s="8"/>
    </row>
    <row r="5" spans="1:17" x14ac:dyDescent="0.3">
      <c r="A5" s="81"/>
      <c r="B5" s="97">
        <v>4</v>
      </c>
      <c r="C5" s="32"/>
      <c r="D5" s="33" t="s">
        <v>19</v>
      </c>
      <c r="E5" s="34">
        <v>39504</v>
      </c>
      <c r="F5" s="33">
        <v>3382116</v>
      </c>
      <c r="G5" s="33">
        <f t="shared" ca="1" si="0"/>
        <v>18</v>
      </c>
      <c r="H5" s="33"/>
      <c r="I5" s="1"/>
      <c r="J5" s="8"/>
      <c r="K5" s="8"/>
      <c r="L5" s="8"/>
      <c r="M5" s="8"/>
      <c r="N5" s="8"/>
      <c r="O5" s="9"/>
      <c r="P5" s="3"/>
      <c r="Q5" s="8"/>
    </row>
    <row r="6" spans="1:17" x14ac:dyDescent="0.3">
      <c r="A6" s="81"/>
      <c r="B6" s="97">
        <v>5</v>
      </c>
      <c r="C6" s="32"/>
      <c r="D6" s="33" t="s">
        <v>20</v>
      </c>
      <c r="E6" s="34">
        <v>40091</v>
      </c>
      <c r="F6" s="33">
        <v>3392712</v>
      </c>
      <c r="G6" s="33">
        <f t="shared" ca="1" si="0"/>
        <v>17</v>
      </c>
      <c r="H6" s="33"/>
      <c r="I6" s="1"/>
      <c r="J6" s="8"/>
      <c r="K6" s="8"/>
      <c r="L6" s="8"/>
      <c r="M6" s="8"/>
      <c r="N6" s="8"/>
      <c r="O6" s="9"/>
      <c r="P6" s="3"/>
      <c r="Q6" s="8"/>
    </row>
    <row r="7" spans="1:17" x14ac:dyDescent="0.3">
      <c r="A7" s="81"/>
      <c r="B7" s="97">
        <v>6</v>
      </c>
      <c r="C7" s="32"/>
      <c r="D7" s="33" t="s">
        <v>21</v>
      </c>
      <c r="E7" s="34">
        <v>18374</v>
      </c>
      <c r="F7" s="33">
        <v>2005216</v>
      </c>
      <c r="G7" s="33">
        <f t="shared" ca="1" si="0"/>
        <v>76</v>
      </c>
      <c r="H7" s="33"/>
      <c r="I7" s="1"/>
      <c r="J7" s="8"/>
      <c r="K7" s="8"/>
      <c r="L7" s="8"/>
      <c r="M7" s="8"/>
      <c r="N7" s="8"/>
      <c r="O7" s="9"/>
      <c r="P7" s="3"/>
      <c r="Q7" s="8"/>
    </row>
    <row r="8" spans="1:17" x14ac:dyDescent="0.3">
      <c r="A8" s="82"/>
      <c r="B8" s="97">
        <v>7</v>
      </c>
      <c r="C8" s="44">
        <v>44198</v>
      </c>
      <c r="D8" s="30" t="s">
        <v>22</v>
      </c>
      <c r="E8" s="31">
        <v>20890</v>
      </c>
      <c r="F8" s="30">
        <v>1472014</v>
      </c>
      <c r="G8" s="30">
        <f t="shared" ca="1" si="0"/>
        <v>69</v>
      </c>
      <c r="H8" s="30"/>
      <c r="I8" s="1" t="s">
        <v>23</v>
      </c>
      <c r="J8" s="8"/>
      <c r="K8" s="8"/>
      <c r="L8" s="8"/>
      <c r="M8" s="8"/>
      <c r="N8" s="8"/>
      <c r="O8" s="9"/>
      <c r="P8" s="3"/>
      <c r="Q8" s="8"/>
    </row>
    <row r="9" spans="1:17" x14ac:dyDescent="0.3">
      <c r="A9" s="82"/>
      <c r="B9" s="97">
        <v>8</v>
      </c>
      <c r="C9" s="29"/>
      <c r="D9" s="30" t="s">
        <v>24</v>
      </c>
      <c r="E9" s="31">
        <v>20477</v>
      </c>
      <c r="F9" s="30">
        <v>2478410</v>
      </c>
      <c r="G9" s="30">
        <f t="shared" ca="1" si="0"/>
        <v>70</v>
      </c>
      <c r="H9" s="30"/>
      <c r="I9" s="1"/>
      <c r="J9" s="8"/>
      <c r="K9" s="8"/>
      <c r="L9" s="8"/>
      <c r="M9" s="8"/>
      <c r="N9" s="8"/>
      <c r="O9" s="9"/>
      <c r="P9" s="3"/>
      <c r="Q9" s="8"/>
    </row>
    <row r="10" spans="1:17" x14ac:dyDescent="0.3">
      <c r="A10" s="82"/>
      <c r="B10" s="97">
        <v>9</v>
      </c>
      <c r="C10" s="29"/>
      <c r="D10" s="30" t="s">
        <v>25</v>
      </c>
      <c r="E10" s="31">
        <v>11921</v>
      </c>
      <c r="F10" s="30">
        <v>1472010</v>
      </c>
      <c r="G10" s="30">
        <f t="shared" ca="1" si="0"/>
        <v>94</v>
      </c>
      <c r="H10" s="30"/>
      <c r="I10" s="1"/>
      <c r="J10" s="8"/>
      <c r="K10" s="8"/>
      <c r="L10" s="8"/>
      <c r="M10" s="8"/>
      <c r="N10" s="8"/>
      <c r="O10" s="9"/>
      <c r="P10" s="3"/>
      <c r="Q10" s="8"/>
    </row>
    <row r="11" spans="1:17" x14ac:dyDescent="0.3">
      <c r="A11" s="83"/>
      <c r="B11" s="97">
        <v>10</v>
      </c>
      <c r="C11" s="59">
        <v>44563</v>
      </c>
      <c r="D11" s="57" t="s">
        <v>26</v>
      </c>
      <c r="E11" s="58"/>
      <c r="F11" s="57"/>
      <c r="G11" s="57"/>
      <c r="H11" s="57"/>
      <c r="I11" s="1"/>
      <c r="J11" s="8"/>
      <c r="K11" s="8"/>
      <c r="L11" s="8"/>
      <c r="M11" s="8"/>
      <c r="N11" s="8"/>
      <c r="O11" s="9"/>
      <c r="P11" s="3"/>
      <c r="Q11" s="8"/>
    </row>
    <row r="12" spans="1:17" x14ac:dyDescent="0.3">
      <c r="A12" s="8"/>
      <c r="B12" s="97">
        <v>11</v>
      </c>
      <c r="C12" s="60"/>
      <c r="D12" s="1" t="s">
        <v>27</v>
      </c>
      <c r="E12" s="2">
        <v>30906</v>
      </c>
      <c r="F12" s="1">
        <v>1459910</v>
      </c>
      <c r="G12" s="1">
        <f ca="1">YEAR(TODAY())-YEAR(E12)</f>
        <v>42</v>
      </c>
      <c r="H12" s="1"/>
      <c r="I12" s="1"/>
      <c r="J12" s="8"/>
      <c r="K12" s="8"/>
      <c r="L12" s="8"/>
      <c r="M12" s="8"/>
      <c r="N12" s="8"/>
      <c r="O12" s="9"/>
      <c r="P12" s="3"/>
      <c r="Q12" s="8"/>
    </row>
    <row r="13" spans="1:17" x14ac:dyDescent="0.3">
      <c r="A13" s="8"/>
      <c r="B13" s="97">
        <v>12</v>
      </c>
      <c r="C13" s="60">
        <v>44564</v>
      </c>
      <c r="D13" s="1" t="s">
        <v>28</v>
      </c>
      <c r="E13" s="2">
        <v>31752</v>
      </c>
      <c r="F13" s="1">
        <v>2852415</v>
      </c>
      <c r="G13" s="1">
        <f ca="1">YEAR(TODAY())-YEAR(E13)</f>
        <v>40</v>
      </c>
      <c r="H13" s="1"/>
      <c r="I13" s="1"/>
      <c r="J13" s="8"/>
      <c r="K13" s="8"/>
      <c r="L13" s="8"/>
      <c r="M13" s="8"/>
      <c r="N13" s="8"/>
      <c r="O13" s="9"/>
      <c r="P13" s="3"/>
      <c r="Q13" s="8"/>
    </row>
    <row r="14" spans="1:17" x14ac:dyDescent="0.3">
      <c r="A14" s="8"/>
      <c r="B14" s="97">
        <v>13</v>
      </c>
      <c r="C14" s="8"/>
      <c r="D14" s="1" t="s">
        <v>29</v>
      </c>
      <c r="E14" s="1"/>
      <c r="F14" s="1"/>
      <c r="G14" s="1">
        <f ca="1">YEAR(TODAY())-YEAR(E14)</f>
        <v>126</v>
      </c>
      <c r="H14" s="1"/>
      <c r="I14" s="1"/>
      <c r="J14" s="8"/>
      <c r="K14" s="8"/>
      <c r="L14" s="8"/>
      <c r="M14" s="8"/>
      <c r="N14" s="8"/>
      <c r="O14" s="9"/>
      <c r="P14" s="3"/>
      <c r="Q14" s="8"/>
    </row>
    <row r="15" spans="1:17" x14ac:dyDescent="0.3">
      <c r="A15" s="77"/>
      <c r="B15" s="97">
        <v>14</v>
      </c>
      <c r="C15" s="24">
        <v>44201</v>
      </c>
      <c r="D15" s="22" t="s">
        <v>30</v>
      </c>
      <c r="E15" s="25">
        <v>28591</v>
      </c>
      <c r="F15" s="22">
        <v>1804712</v>
      </c>
      <c r="G15" s="22">
        <f ca="1">YEAR(TODAY())-YEAR(E15)</f>
        <v>48</v>
      </c>
      <c r="H15" s="22"/>
      <c r="I15" s="1" t="s">
        <v>31</v>
      </c>
      <c r="J15" s="8"/>
      <c r="K15" s="8"/>
      <c r="L15" s="8"/>
      <c r="M15" s="8"/>
      <c r="N15" s="8"/>
      <c r="O15" s="9"/>
      <c r="P15" s="3"/>
      <c r="Q15" s="8"/>
    </row>
    <row r="16" spans="1:17" x14ac:dyDescent="0.3">
      <c r="A16" s="84"/>
      <c r="B16" s="97">
        <v>15</v>
      </c>
      <c r="C16" s="43">
        <v>44203</v>
      </c>
      <c r="D16" s="27" t="s">
        <v>32</v>
      </c>
      <c r="E16" s="28"/>
      <c r="F16" s="27"/>
      <c r="G16" s="27"/>
      <c r="H16" s="27"/>
      <c r="I16" s="1" t="s">
        <v>33</v>
      </c>
      <c r="J16" s="8"/>
      <c r="K16" s="8"/>
      <c r="L16" s="8"/>
      <c r="M16" s="8"/>
      <c r="N16" s="8"/>
      <c r="O16" s="9"/>
      <c r="P16" s="3"/>
      <c r="Q16" s="8"/>
    </row>
    <row r="17" spans="1:17" x14ac:dyDescent="0.3">
      <c r="A17" s="82"/>
      <c r="B17" s="97">
        <v>16</v>
      </c>
      <c r="C17" s="44">
        <v>44568</v>
      </c>
      <c r="D17" s="30" t="s">
        <v>34</v>
      </c>
      <c r="E17" s="31">
        <v>20853</v>
      </c>
      <c r="F17" s="30">
        <v>1475917</v>
      </c>
      <c r="G17" s="30">
        <f t="shared" ref="G17:G43" ca="1" si="1">YEAR(TODAY())-YEAR(E17)</f>
        <v>69</v>
      </c>
      <c r="H17" s="30"/>
      <c r="I17" s="1" t="s">
        <v>35</v>
      </c>
      <c r="J17" s="8"/>
      <c r="K17" s="8"/>
      <c r="L17" s="8"/>
      <c r="M17" s="8"/>
      <c r="N17" s="8"/>
      <c r="O17" s="9"/>
      <c r="P17" s="3"/>
      <c r="Q17" s="8"/>
    </row>
    <row r="18" spans="1:17" x14ac:dyDescent="0.3">
      <c r="A18" s="39"/>
      <c r="B18" s="97">
        <v>17</v>
      </c>
      <c r="C18" s="42">
        <v>44574</v>
      </c>
      <c r="D18" s="40" t="s">
        <v>36</v>
      </c>
      <c r="E18" s="41">
        <v>20117</v>
      </c>
      <c r="F18" s="40">
        <v>1167625</v>
      </c>
      <c r="G18" s="40">
        <f t="shared" ca="1" si="1"/>
        <v>71</v>
      </c>
      <c r="H18" s="40"/>
      <c r="I18" s="40" t="s">
        <v>37</v>
      </c>
      <c r="J18" s="39" t="s">
        <v>38</v>
      </c>
      <c r="K18" s="8"/>
      <c r="L18" s="8"/>
      <c r="M18" s="8"/>
      <c r="N18" s="8"/>
      <c r="O18" s="9"/>
      <c r="P18" s="3"/>
      <c r="Q18" s="8"/>
    </row>
    <row r="19" spans="1:17" x14ac:dyDescent="0.3">
      <c r="A19" s="85"/>
      <c r="B19" s="97">
        <v>18</v>
      </c>
      <c r="C19" s="38">
        <v>44215</v>
      </c>
      <c r="D19" s="36" t="s">
        <v>39</v>
      </c>
      <c r="E19" s="37">
        <v>31471</v>
      </c>
      <c r="F19" s="36">
        <v>2542817</v>
      </c>
      <c r="G19" s="36">
        <f t="shared" ca="1" si="1"/>
        <v>40</v>
      </c>
      <c r="H19" s="36"/>
      <c r="I19" s="1" t="s">
        <v>40</v>
      </c>
      <c r="J19" s="8"/>
      <c r="K19" s="8"/>
      <c r="L19" s="8"/>
      <c r="M19" s="8"/>
      <c r="N19" s="8"/>
      <c r="O19" s="9"/>
      <c r="P19" s="3"/>
      <c r="Q19" s="8"/>
    </row>
    <row r="20" spans="1:17" x14ac:dyDescent="0.3">
      <c r="A20" s="85"/>
      <c r="B20" s="97">
        <v>19</v>
      </c>
      <c r="C20" s="35"/>
      <c r="D20" s="36" t="s">
        <v>41</v>
      </c>
      <c r="E20" s="37">
        <v>29807</v>
      </c>
      <c r="F20" s="36">
        <v>1459812</v>
      </c>
      <c r="G20" s="36">
        <f t="shared" ca="1" si="1"/>
        <v>45</v>
      </c>
      <c r="H20" s="36"/>
      <c r="I20" s="1"/>
      <c r="J20" s="8"/>
      <c r="K20" s="8"/>
      <c r="L20" s="8"/>
      <c r="M20" s="8"/>
      <c r="N20" s="8"/>
      <c r="O20" s="9"/>
      <c r="P20" s="3"/>
      <c r="Q20" s="8"/>
    </row>
    <row r="21" spans="1:17" x14ac:dyDescent="0.3">
      <c r="A21" s="85"/>
      <c r="B21" s="97">
        <v>20</v>
      </c>
      <c r="C21" s="35"/>
      <c r="D21" s="36" t="s">
        <v>42</v>
      </c>
      <c r="E21" s="37">
        <v>32646</v>
      </c>
      <c r="F21" s="36">
        <v>1542818</v>
      </c>
      <c r="G21" s="36">
        <f t="shared" ca="1" si="1"/>
        <v>37</v>
      </c>
      <c r="H21" s="36"/>
      <c r="I21" s="1"/>
      <c r="J21" s="8"/>
      <c r="K21" s="8"/>
      <c r="L21" s="8"/>
      <c r="M21" s="8"/>
      <c r="N21" s="8"/>
      <c r="O21" s="9"/>
      <c r="P21" s="3"/>
      <c r="Q21" s="8"/>
    </row>
    <row r="22" spans="1:17" x14ac:dyDescent="0.3">
      <c r="A22" s="88"/>
      <c r="B22" s="97">
        <v>21</v>
      </c>
      <c r="C22" s="60">
        <v>44584</v>
      </c>
      <c r="D22" s="1" t="s">
        <v>43</v>
      </c>
      <c r="E22" s="2">
        <v>27402</v>
      </c>
      <c r="F22" s="1">
        <v>1119910</v>
      </c>
      <c r="G22" s="1">
        <f t="shared" ca="1" si="1"/>
        <v>51</v>
      </c>
      <c r="H22" s="1"/>
      <c r="I22" s="1" t="s">
        <v>44</v>
      </c>
      <c r="J22" s="8"/>
      <c r="K22" s="8"/>
      <c r="L22" s="8"/>
      <c r="M22" s="8"/>
      <c r="N22" s="8"/>
      <c r="O22" s="9"/>
      <c r="P22" s="3"/>
      <c r="Q22" s="8"/>
    </row>
    <row r="23" spans="1:17" x14ac:dyDescent="0.3">
      <c r="A23" s="88"/>
      <c r="B23" s="97">
        <v>22</v>
      </c>
      <c r="C23" s="8"/>
      <c r="D23" s="1" t="s">
        <v>45</v>
      </c>
      <c r="E23" s="2">
        <v>29627</v>
      </c>
      <c r="F23" s="1">
        <v>2471529</v>
      </c>
      <c r="G23" s="1">
        <f t="shared" ca="1" si="1"/>
        <v>45</v>
      </c>
      <c r="H23" s="1"/>
      <c r="I23" s="1"/>
      <c r="J23" s="8"/>
      <c r="K23" s="8"/>
      <c r="L23" s="8"/>
      <c r="M23" s="8"/>
      <c r="N23" s="8"/>
      <c r="O23" s="9"/>
      <c r="P23" s="3"/>
      <c r="Q23" s="8"/>
    </row>
    <row r="24" spans="1:17" x14ac:dyDescent="0.3">
      <c r="A24" s="88"/>
      <c r="B24" s="97">
        <v>23</v>
      </c>
      <c r="C24" s="8"/>
      <c r="D24" s="1" t="s">
        <v>46</v>
      </c>
      <c r="E24" s="2">
        <v>40001</v>
      </c>
      <c r="F24" s="1">
        <v>3419238</v>
      </c>
      <c r="G24" s="1">
        <f t="shared" ca="1" si="1"/>
        <v>17</v>
      </c>
      <c r="H24" s="1"/>
      <c r="I24" s="1"/>
      <c r="J24" s="8"/>
      <c r="K24" s="8"/>
      <c r="L24" s="8"/>
      <c r="M24" s="8"/>
      <c r="N24" s="8"/>
      <c r="O24" s="9"/>
      <c r="P24" s="3"/>
      <c r="Q24" s="8"/>
    </row>
    <row r="25" spans="1:17" x14ac:dyDescent="0.3">
      <c r="A25" s="86"/>
      <c r="B25" s="97">
        <v>24</v>
      </c>
      <c r="C25" s="20">
        <v>44222</v>
      </c>
      <c r="D25" s="18" t="s">
        <v>47</v>
      </c>
      <c r="E25" s="19">
        <v>25200</v>
      </c>
      <c r="F25" s="18">
        <v>1221248</v>
      </c>
      <c r="G25" s="18">
        <f t="shared" ca="1" si="1"/>
        <v>58</v>
      </c>
      <c r="H25" s="18"/>
      <c r="I25" s="1"/>
      <c r="J25" s="8"/>
      <c r="K25" s="8"/>
      <c r="L25" s="8"/>
      <c r="M25" s="8"/>
      <c r="N25" s="8"/>
      <c r="O25" s="9"/>
      <c r="P25" s="3"/>
      <c r="Q25" s="8"/>
    </row>
    <row r="26" spans="1:17" x14ac:dyDescent="0.3">
      <c r="A26" s="86"/>
      <c r="B26" s="97">
        <v>25</v>
      </c>
      <c r="C26" s="20">
        <v>44558</v>
      </c>
      <c r="D26" s="18" t="s">
        <v>48</v>
      </c>
      <c r="E26" s="19">
        <v>24667</v>
      </c>
      <c r="F26" s="18">
        <v>2157012</v>
      </c>
      <c r="G26" s="18">
        <f t="shared" ca="1" si="1"/>
        <v>59</v>
      </c>
      <c r="H26" s="18"/>
      <c r="I26" s="1"/>
      <c r="J26" s="8"/>
      <c r="K26" s="8"/>
      <c r="L26" s="8"/>
      <c r="M26" s="8"/>
      <c r="N26" s="8"/>
      <c r="O26" s="9"/>
      <c r="P26" s="3"/>
      <c r="Q26" s="8"/>
    </row>
    <row r="27" spans="1:17" x14ac:dyDescent="0.3">
      <c r="A27" s="86"/>
      <c r="B27" s="97">
        <v>26</v>
      </c>
      <c r="C27" s="17"/>
      <c r="D27" s="18" t="s">
        <v>49</v>
      </c>
      <c r="E27" s="19">
        <v>34507</v>
      </c>
      <c r="F27" s="18">
        <v>2157012</v>
      </c>
      <c r="G27" s="18">
        <f t="shared" ca="1" si="1"/>
        <v>32</v>
      </c>
      <c r="H27" s="18"/>
      <c r="I27" s="1"/>
      <c r="J27" s="8"/>
      <c r="K27" s="8"/>
      <c r="L27" s="8"/>
      <c r="M27" s="8"/>
      <c r="N27" s="8"/>
      <c r="O27" s="9"/>
      <c r="P27" s="3"/>
      <c r="Q27" s="8"/>
    </row>
    <row r="28" spans="1:17" x14ac:dyDescent="0.3">
      <c r="A28" s="86"/>
      <c r="B28" s="97">
        <v>27</v>
      </c>
      <c r="C28" s="17"/>
      <c r="D28" s="18" t="s">
        <v>50</v>
      </c>
      <c r="E28" s="19">
        <v>35079</v>
      </c>
      <c r="F28" s="18">
        <v>1411823</v>
      </c>
      <c r="G28" s="18">
        <f t="shared" ca="1" si="1"/>
        <v>30</v>
      </c>
      <c r="H28" s="18"/>
      <c r="I28" s="1"/>
      <c r="J28" s="8"/>
      <c r="K28" s="8"/>
      <c r="L28" s="8"/>
      <c r="M28" s="8"/>
      <c r="N28" s="8"/>
      <c r="O28" s="9"/>
      <c r="P28" s="3"/>
      <c r="Q28" s="8"/>
    </row>
    <row r="29" spans="1:17" x14ac:dyDescent="0.3">
      <c r="A29" s="86"/>
      <c r="B29" s="97">
        <v>28</v>
      </c>
      <c r="C29" s="17"/>
      <c r="D29" s="18" t="s">
        <v>51</v>
      </c>
      <c r="E29" s="19">
        <v>36182</v>
      </c>
      <c r="F29" s="18">
        <v>2412423</v>
      </c>
      <c r="G29" s="18">
        <f t="shared" ca="1" si="1"/>
        <v>27</v>
      </c>
      <c r="H29" s="18"/>
      <c r="I29" s="1"/>
      <c r="J29" s="8"/>
      <c r="K29" s="8"/>
      <c r="L29" s="8"/>
      <c r="M29" s="8"/>
      <c r="N29" s="8"/>
      <c r="O29" s="9"/>
      <c r="P29" s="3"/>
      <c r="Q29" s="8"/>
    </row>
    <row r="30" spans="1:17" x14ac:dyDescent="0.3">
      <c r="A30" s="84"/>
      <c r="B30" s="97">
        <v>29</v>
      </c>
      <c r="C30" s="26"/>
      <c r="D30" s="27" t="s">
        <v>52</v>
      </c>
      <c r="E30" s="28">
        <v>32175</v>
      </c>
      <c r="F30" s="27">
        <v>2070213</v>
      </c>
      <c r="G30" s="27">
        <f t="shared" ca="1" si="1"/>
        <v>38</v>
      </c>
      <c r="H30" s="27"/>
      <c r="I30" s="1"/>
      <c r="J30" s="8"/>
      <c r="K30" s="8"/>
      <c r="L30" s="8"/>
      <c r="M30" s="8"/>
      <c r="N30" s="8"/>
      <c r="O30" s="9"/>
      <c r="P30" s="3"/>
      <c r="Q30" s="8"/>
    </row>
    <row r="31" spans="1:17" x14ac:dyDescent="0.3">
      <c r="A31" s="84"/>
      <c r="B31" s="97">
        <v>30</v>
      </c>
      <c r="C31" s="43">
        <v>44222</v>
      </c>
      <c r="D31" s="27" t="s">
        <v>53</v>
      </c>
      <c r="E31" s="28">
        <v>29675</v>
      </c>
      <c r="F31" s="27">
        <v>1475910</v>
      </c>
      <c r="G31" s="27">
        <f t="shared" ca="1" si="1"/>
        <v>45</v>
      </c>
      <c r="H31" s="27"/>
      <c r="I31" s="1"/>
      <c r="J31" s="8"/>
      <c r="K31" s="8"/>
      <c r="L31" s="8"/>
      <c r="M31" s="8"/>
      <c r="N31" s="8"/>
      <c r="O31" s="9"/>
      <c r="P31" s="3"/>
      <c r="Q31" s="8"/>
    </row>
    <row r="32" spans="1:17" x14ac:dyDescent="0.3">
      <c r="A32" s="84"/>
      <c r="B32" s="97">
        <v>31</v>
      </c>
      <c r="C32" s="26"/>
      <c r="D32" s="27" t="s">
        <v>54</v>
      </c>
      <c r="E32" s="28">
        <v>43984</v>
      </c>
      <c r="F32" s="27">
        <v>3412827</v>
      </c>
      <c r="G32" s="27">
        <f t="shared" ca="1" si="1"/>
        <v>6</v>
      </c>
      <c r="H32" s="27"/>
      <c r="I32" s="1"/>
      <c r="J32" s="8"/>
      <c r="K32" s="8"/>
      <c r="L32" s="8"/>
      <c r="M32" s="8"/>
      <c r="N32" s="8"/>
      <c r="O32" s="9"/>
      <c r="P32" s="3"/>
      <c r="Q32" s="8"/>
    </row>
    <row r="33" spans="1:17" x14ac:dyDescent="0.3">
      <c r="A33" s="87"/>
      <c r="B33" s="97">
        <v>32</v>
      </c>
      <c r="C33" s="42"/>
      <c r="D33" s="40" t="s">
        <v>55</v>
      </c>
      <c r="E33" s="41">
        <v>31940</v>
      </c>
      <c r="F33" s="40">
        <v>2169318</v>
      </c>
      <c r="G33" s="40">
        <f t="shared" ca="1" si="1"/>
        <v>39</v>
      </c>
      <c r="H33" s="40"/>
      <c r="I33" s="1" t="s">
        <v>56</v>
      </c>
      <c r="J33" s="8"/>
      <c r="K33" s="8"/>
      <c r="L33" s="8"/>
      <c r="M33" s="8"/>
      <c r="N33" s="8"/>
      <c r="O33" s="9"/>
      <c r="P33" s="3"/>
      <c r="Q33" s="8"/>
    </row>
    <row r="34" spans="1:17" x14ac:dyDescent="0.3">
      <c r="A34" s="87"/>
      <c r="B34" s="97">
        <v>33</v>
      </c>
      <c r="C34" s="42">
        <v>44224</v>
      </c>
      <c r="D34" s="40" t="s">
        <v>57</v>
      </c>
      <c r="E34" s="41">
        <v>30734</v>
      </c>
      <c r="F34" s="40">
        <v>1467317</v>
      </c>
      <c r="G34" s="40">
        <f t="shared" ca="1" si="1"/>
        <v>42</v>
      </c>
      <c r="H34" s="40"/>
      <c r="I34" s="1"/>
      <c r="J34" s="8"/>
      <c r="K34" s="8"/>
      <c r="L34" s="8"/>
      <c r="M34" s="8"/>
      <c r="N34" s="8"/>
      <c r="O34" s="9"/>
      <c r="P34" s="3"/>
      <c r="Q34" s="8"/>
    </row>
    <row r="35" spans="1:17" x14ac:dyDescent="0.3">
      <c r="A35" s="87"/>
      <c r="B35" s="97">
        <v>34</v>
      </c>
      <c r="C35" s="39"/>
      <c r="D35" s="40" t="s">
        <v>58</v>
      </c>
      <c r="E35" s="41">
        <v>42471</v>
      </c>
      <c r="F35" s="40">
        <v>3423311</v>
      </c>
      <c r="G35" s="40">
        <f t="shared" ca="1" si="1"/>
        <v>10</v>
      </c>
      <c r="H35" s="40"/>
      <c r="I35" s="1"/>
      <c r="J35" s="8"/>
      <c r="K35" s="8"/>
      <c r="L35" s="8"/>
      <c r="M35" s="8"/>
      <c r="N35" s="8"/>
      <c r="O35" s="9"/>
      <c r="P35" s="3"/>
      <c r="Q35" s="8"/>
    </row>
    <row r="36" spans="1:17" x14ac:dyDescent="0.3">
      <c r="A36" s="87"/>
      <c r="B36" s="97">
        <v>35</v>
      </c>
      <c r="C36" s="39"/>
      <c r="D36" s="40" t="s">
        <v>59</v>
      </c>
      <c r="E36" s="41">
        <v>20734</v>
      </c>
      <c r="F36" s="40">
        <v>1466323</v>
      </c>
      <c r="G36" s="40">
        <f t="shared" ca="1" si="1"/>
        <v>70</v>
      </c>
      <c r="H36" s="40"/>
      <c r="I36" s="1"/>
      <c r="J36" s="8"/>
      <c r="K36" s="8"/>
      <c r="L36" s="8"/>
      <c r="M36" s="8"/>
      <c r="N36" s="8"/>
      <c r="O36" s="9"/>
      <c r="P36" s="3"/>
      <c r="Q36" s="8"/>
    </row>
    <row r="37" spans="1:17" x14ac:dyDescent="0.3">
      <c r="A37" s="88"/>
      <c r="B37" s="97">
        <v>36</v>
      </c>
      <c r="C37" s="60">
        <v>44596</v>
      </c>
      <c r="D37" s="1" t="s">
        <v>60</v>
      </c>
      <c r="E37" s="2">
        <v>26198</v>
      </c>
      <c r="F37" s="1">
        <v>1903914</v>
      </c>
      <c r="G37" s="1">
        <f t="shared" ca="1" si="1"/>
        <v>55</v>
      </c>
      <c r="H37" s="1"/>
      <c r="I37" s="1" t="s">
        <v>61</v>
      </c>
      <c r="J37" s="8"/>
      <c r="K37" s="8"/>
      <c r="L37" s="8"/>
      <c r="M37" s="8"/>
      <c r="N37" s="8"/>
      <c r="O37" s="9"/>
      <c r="P37" s="3"/>
      <c r="Q37" s="8"/>
    </row>
    <row r="38" spans="1:17" x14ac:dyDescent="0.3">
      <c r="A38" s="88"/>
      <c r="B38" s="97">
        <v>37</v>
      </c>
      <c r="C38" s="8"/>
      <c r="D38" s="1" t="s">
        <v>62</v>
      </c>
      <c r="E38" s="2">
        <v>26707</v>
      </c>
      <c r="F38" s="1">
        <v>2903812</v>
      </c>
      <c r="G38" s="1">
        <f t="shared" ca="1" si="1"/>
        <v>53</v>
      </c>
      <c r="H38" s="1"/>
      <c r="I38" s="1"/>
      <c r="J38" s="8"/>
      <c r="K38" s="8"/>
      <c r="L38" s="8"/>
      <c r="M38" s="8"/>
      <c r="N38" s="8"/>
      <c r="O38" s="9"/>
      <c r="P38" s="3"/>
      <c r="Q38" s="8"/>
    </row>
    <row r="39" spans="1:17" x14ac:dyDescent="0.3">
      <c r="A39" s="88"/>
      <c r="B39" s="97">
        <v>38</v>
      </c>
      <c r="C39" s="8"/>
      <c r="D39" s="1" t="s">
        <v>63</v>
      </c>
      <c r="E39" s="2">
        <v>36824</v>
      </c>
      <c r="F39" s="1">
        <v>3850911</v>
      </c>
      <c r="G39" s="1">
        <f t="shared" ca="1" si="1"/>
        <v>26</v>
      </c>
      <c r="H39" s="1"/>
      <c r="I39" s="1"/>
      <c r="J39" s="8"/>
      <c r="K39" s="8"/>
      <c r="L39" s="8"/>
      <c r="M39" s="8"/>
      <c r="N39" s="8"/>
      <c r="O39" s="9"/>
      <c r="P39" s="3"/>
      <c r="Q39" s="8"/>
    </row>
    <row r="40" spans="1:17" x14ac:dyDescent="0.3">
      <c r="A40" s="88"/>
      <c r="B40" s="97">
        <v>39</v>
      </c>
      <c r="C40" s="60">
        <v>44608</v>
      </c>
      <c r="D40" s="1" t="s">
        <v>64</v>
      </c>
      <c r="E40" s="2">
        <v>19324</v>
      </c>
      <c r="F40" s="1">
        <v>1656910</v>
      </c>
      <c r="G40" s="1">
        <f t="shared" ca="1" si="1"/>
        <v>74</v>
      </c>
      <c r="H40" s="1"/>
      <c r="I40" s="1"/>
      <c r="J40" s="8"/>
      <c r="K40" s="8"/>
      <c r="L40" s="8"/>
      <c r="M40" s="8"/>
      <c r="N40" s="8"/>
      <c r="O40" s="9"/>
      <c r="P40" s="3"/>
      <c r="Q40" s="8"/>
    </row>
    <row r="41" spans="1:17" x14ac:dyDescent="0.3">
      <c r="A41" s="88"/>
      <c r="B41" s="97">
        <v>40</v>
      </c>
      <c r="C41" s="60">
        <v>44614</v>
      </c>
      <c r="D41" s="1" t="s">
        <v>65</v>
      </c>
      <c r="E41" s="2">
        <v>28008</v>
      </c>
      <c r="F41" s="1">
        <v>1119813</v>
      </c>
      <c r="G41" s="1">
        <f t="shared" ca="1" si="1"/>
        <v>50</v>
      </c>
      <c r="H41" s="1"/>
      <c r="I41" s="1"/>
      <c r="J41" s="8"/>
      <c r="K41" s="8"/>
      <c r="L41" s="8"/>
      <c r="M41" s="8"/>
      <c r="N41" s="8"/>
      <c r="O41" s="9"/>
      <c r="P41" s="3"/>
      <c r="Q41" s="8"/>
    </row>
    <row r="42" spans="1:17" x14ac:dyDescent="0.3">
      <c r="A42" s="88"/>
      <c r="B42" s="97">
        <v>41</v>
      </c>
      <c r="C42" s="8"/>
      <c r="D42" s="1" t="s">
        <v>66</v>
      </c>
      <c r="E42" s="2">
        <v>30375</v>
      </c>
      <c r="F42" s="1">
        <v>2223527</v>
      </c>
      <c r="G42" s="1">
        <f t="shared" ca="1" si="1"/>
        <v>43</v>
      </c>
      <c r="H42" s="1"/>
      <c r="I42" s="1"/>
      <c r="J42" s="8"/>
      <c r="K42" s="8"/>
      <c r="L42" s="8"/>
      <c r="M42" s="8"/>
      <c r="N42" s="8"/>
      <c r="O42" s="9"/>
      <c r="P42" s="3"/>
      <c r="Q42" s="8"/>
    </row>
    <row r="43" spans="1:17" x14ac:dyDescent="0.3">
      <c r="A43" s="88"/>
      <c r="B43" s="97">
        <v>42</v>
      </c>
      <c r="C43" s="8"/>
      <c r="D43" s="1" t="s">
        <v>67</v>
      </c>
      <c r="E43" s="2">
        <v>41333</v>
      </c>
      <c r="F43" s="1">
        <v>3475911</v>
      </c>
      <c r="G43" s="1">
        <f t="shared" ca="1" si="1"/>
        <v>13</v>
      </c>
      <c r="H43" s="1"/>
      <c r="I43" s="1"/>
      <c r="J43" s="8"/>
      <c r="K43" s="8"/>
      <c r="L43" s="8"/>
      <c r="M43" s="8"/>
      <c r="N43" s="8"/>
      <c r="O43" s="9"/>
      <c r="P43" s="3"/>
      <c r="Q43" s="8"/>
    </row>
    <row r="44" spans="1:17" x14ac:dyDescent="0.3">
      <c r="A44" s="83"/>
      <c r="B44" s="97">
        <v>43</v>
      </c>
      <c r="C44" s="59">
        <v>44563</v>
      </c>
      <c r="D44" s="57" t="s">
        <v>26</v>
      </c>
      <c r="E44" s="58"/>
      <c r="F44" s="57"/>
      <c r="G44" s="57"/>
      <c r="H44" s="57"/>
      <c r="I44" s="1"/>
      <c r="J44" s="8"/>
      <c r="K44" s="8"/>
      <c r="L44" s="8"/>
      <c r="M44" s="8"/>
      <c r="N44" s="8"/>
      <c r="O44" s="9"/>
      <c r="P44" s="3"/>
      <c r="Q44" s="8"/>
    </row>
    <row r="45" spans="1:17" x14ac:dyDescent="0.3">
      <c r="A45" s="82"/>
      <c r="B45" s="97">
        <v>44</v>
      </c>
      <c r="C45" s="44">
        <v>44616</v>
      </c>
      <c r="D45" s="30" t="s">
        <v>68</v>
      </c>
      <c r="E45" s="31">
        <v>31609</v>
      </c>
      <c r="F45" s="30">
        <v>1009226</v>
      </c>
      <c r="G45" s="30">
        <f t="shared" ref="G45:G53" ca="1" si="2">YEAR(TODAY())-YEAR(E45)</f>
        <v>40</v>
      </c>
      <c r="H45" s="30"/>
      <c r="I45" s="30"/>
      <c r="J45" s="8"/>
      <c r="K45" s="8"/>
      <c r="L45" s="8"/>
      <c r="M45" s="8"/>
      <c r="N45" s="8"/>
      <c r="O45" s="9"/>
      <c r="P45" s="3"/>
      <c r="Q45" s="8"/>
    </row>
    <row r="46" spans="1:17" x14ac:dyDescent="0.3">
      <c r="A46" s="87"/>
      <c r="B46" s="97">
        <v>45</v>
      </c>
      <c r="C46" s="42">
        <v>44617</v>
      </c>
      <c r="D46" s="40" t="s">
        <v>69</v>
      </c>
      <c r="E46" s="41">
        <v>23049</v>
      </c>
      <c r="F46" s="40">
        <v>2478417</v>
      </c>
      <c r="G46" s="40">
        <f t="shared" ca="1" si="2"/>
        <v>63</v>
      </c>
      <c r="H46" s="40"/>
      <c r="I46" s="1" t="s">
        <v>70</v>
      </c>
      <c r="J46" s="8"/>
      <c r="K46" s="8"/>
      <c r="L46" s="8"/>
      <c r="M46" s="8"/>
      <c r="N46" s="8"/>
      <c r="O46" s="9"/>
      <c r="P46" s="3"/>
      <c r="Q46" s="8"/>
    </row>
    <row r="47" spans="1:17" x14ac:dyDescent="0.3">
      <c r="A47" s="87"/>
      <c r="B47" s="97">
        <v>46</v>
      </c>
      <c r="C47" s="42">
        <v>44622</v>
      </c>
      <c r="D47" s="40" t="s">
        <v>71</v>
      </c>
      <c r="E47" s="41">
        <v>30371</v>
      </c>
      <c r="F47" s="40">
        <v>1534110</v>
      </c>
      <c r="G47" s="40">
        <f t="shared" ca="1" si="2"/>
        <v>43</v>
      </c>
      <c r="H47" s="40"/>
      <c r="I47" s="1" t="s">
        <v>70</v>
      </c>
      <c r="J47" s="8"/>
      <c r="K47" s="8"/>
      <c r="L47" s="8"/>
      <c r="M47" s="8"/>
      <c r="N47" s="8"/>
      <c r="O47" s="9"/>
      <c r="P47" s="3"/>
      <c r="Q47" s="8"/>
    </row>
    <row r="48" spans="1:17" x14ac:dyDescent="0.3">
      <c r="A48" s="81"/>
      <c r="B48" s="97">
        <v>47</v>
      </c>
      <c r="C48" s="45">
        <v>44258</v>
      </c>
      <c r="D48" s="33" t="s">
        <v>72</v>
      </c>
      <c r="E48" s="34">
        <v>28275</v>
      </c>
      <c r="F48" s="33">
        <v>1476315</v>
      </c>
      <c r="G48" s="33">
        <f t="shared" ca="1" si="2"/>
        <v>49</v>
      </c>
      <c r="H48" s="33"/>
      <c r="I48" s="1" t="s">
        <v>73</v>
      </c>
      <c r="J48" s="8"/>
      <c r="K48" s="8" t="s">
        <v>74</v>
      </c>
      <c r="L48" s="8"/>
      <c r="M48" s="8"/>
      <c r="N48" s="8"/>
      <c r="O48" s="9"/>
      <c r="P48" s="3"/>
      <c r="Q48" s="8" t="s">
        <v>75</v>
      </c>
    </row>
    <row r="49" spans="1:17" x14ac:dyDescent="0.3">
      <c r="A49" s="88"/>
      <c r="B49" s="97">
        <v>48</v>
      </c>
      <c r="C49" s="60">
        <v>44623</v>
      </c>
      <c r="D49" s="1" t="s">
        <v>76</v>
      </c>
      <c r="E49" s="2">
        <v>32575</v>
      </c>
      <c r="F49" s="1">
        <v>1419315</v>
      </c>
      <c r="G49" s="1">
        <f t="shared" ca="1" si="2"/>
        <v>37</v>
      </c>
      <c r="H49" s="1"/>
      <c r="I49" s="1" t="s">
        <v>77</v>
      </c>
      <c r="J49" s="8"/>
      <c r="K49" s="8"/>
      <c r="L49" s="8"/>
      <c r="M49" s="8"/>
      <c r="N49" s="8"/>
      <c r="O49" s="9"/>
      <c r="P49" s="3"/>
      <c r="Q49" s="8"/>
    </row>
    <row r="50" spans="1:17" x14ac:dyDescent="0.3">
      <c r="A50" s="88"/>
      <c r="B50" s="97">
        <v>49</v>
      </c>
      <c r="C50" s="60"/>
      <c r="D50" s="1" t="s">
        <v>78</v>
      </c>
      <c r="E50" s="2">
        <v>32044</v>
      </c>
      <c r="F50" s="1">
        <v>2677228</v>
      </c>
      <c r="G50" s="1">
        <f t="shared" ca="1" si="2"/>
        <v>39</v>
      </c>
      <c r="H50" s="1"/>
      <c r="I50" s="1"/>
      <c r="J50" s="8"/>
      <c r="K50" s="8"/>
      <c r="L50" s="8"/>
      <c r="M50" s="8"/>
      <c r="N50" s="8"/>
      <c r="O50" s="9"/>
      <c r="P50" s="3"/>
      <c r="Q50" s="8"/>
    </row>
    <row r="51" spans="1:17" x14ac:dyDescent="0.3">
      <c r="A51" s="85"/>
      <c r="B51" s="97">
        <v>50</v>
      </c>
      <c r="C51" s="38">
        <v>44260</v>
      </c>
      <c r="D51" s="36" t="s">
        <v>79</v>
      </c>
      <c r="E51" s="37">
        <v>33552</v>
      </c>
      <c r="F51" s="36">
        <v>1113510</v>
      </c>
      <c r="G51" s="36">
        <f t="shared" ca="1" si="2"/>
        <v>35</v>
      </c>
      <c r="H51" s="36"/>
      <c r="I51" s="1" t="s">
        <v>80</v>
      </c>
      <c r="J51" s="8"/>
      <c r="K51" s="8"/>
      <c r="L51" s="8"/>
      <c r="M51" s="8"/>
      <c r="N51" s="8"/>
      <c r="O51" s="9"/>
      <c r="P51" s="3"/>
      <c r="Q51" s="8"/>
    </row>
    <row r="52" spans="1:17" x14ac:dyDescent="0.3">
      <c r="A52" s="85"/>
      <c r="B52" s="97">
        <v>51</v>
      </c>
      <c r="C52" s="35"/>
      <c r="D52" s="36" t="s">
        <v>81</v>
      </c>
      <c r="E52" s="37">
        <v>32275</v>
      </c>
      <c r="F52" s="36">
        <v>2188319</v>
      </c>
      <c r="G52" s="36">
        <f t="shared" ca="1" si="2"/>
        <v>38</v>
      </c>
      <c r="H52" s="36"/>
      <c r="I52" s="1"/>
      <c r="J52" s="8"/>
      <c r="K52" s="8"/>
      <c r="L52" s="8"/>
      <c r="M52" s="8"/>
      <c r="N52" s="8"/>
      <c r="O52" s="9"/>
      <c r="P52" s="3"/>
      <c r="Q52" s="8"/>
    </row>
    <row r="53" spans="1:17" x14ac:dyDescent="0.3">
      <c r="A53" s="85"/>
      <c r="B53" s="97">
        <v>52</v>
      </c>
      <c r="C53" s="35"/>
      <c r="D53" s="36" t="s">
        <v>82</v>
      </c>
      <c r="E53" s="37">
        <v>32936</v>
      </c>
      <c r="F53" s="36">
        <v>2058725</v>
      </c>
      <c r="G53" s="36">
        <f t="shared" ca="1" si="2"/>
        <v>36</v>
      </c>
      <c r="H53" s="36"/>
      <c r="I53" s="1"/>
      <c r="J53" s="8"/>
      <c r="K53" s="8"/>
      <c r="L53" s="8"/>
      <c r="M53" s="8"/>
      <c r="N53" s="8"/>
      <c r="O53" s="9"/>
      <c r="P53" s="3"/>
      <c r="Q53" s="8"/>
    </row>
    <row r="54" spans="1:17" x14ac:dyDescent="0.3">
      <c r="A54" s="89"/>
      <c r="B54" s="97">
        <v>53</v>
      </c>
      <c r="C54" s="43">
        <v>44628</v>
      </c>
      <c r="D54" s="27" t="s">
        <v>83</v>
      </c>
      <c r="E54" s="28"/>
      <c r="F54" s="27"/>
      <c r="G54" s="27"/>
      <c r="H54" s="27"/>
      <c r="I54" s="1"/>
      <c r="J54" s="8"/>
      <c r="K54" s="8"/>
      <c r="L54" s="8"/>
      <c r="M54" s="8"/>
      <c r="N54" s="8"/>
      <c r="O54" s="9"/>
      <c r="P54" s="3"/>
      <c r="Q54" s="8"/>
    </row>
    <row r="55" spans="1:17" x14ac:dyDescent="0.3">
      <c r="A55" s="76"/>
      <c r="B55" s="97">
        <v>54</v>
      </c>
      <c r="C55" s="42">
        <v>44628</v>
      </c>
      <c r="D55" s="40" t="s">
        <v>84</v>
      </c>
      <c r="E55" s="41">
        <v>30604</v>
      </c>
      <c r="F55" s="40">
        <v>1852341</v>
      </c>
      <c r="G55" s="40">
        <f t="shared" ref="G55:G62" ca="1" si="3">YEAR(TODAY())-YEAR(E55)</f>
        <v>43</v>
      </c>
      <c r="H55" s="40"/>
      <c r="I55" s="40" t="s">
        <v>85</v>
      </c>
      <c r="J55" s="39"/>
      <c r="K55" s="8"/>
      <c r="L55" s="8"/>
      <c r="M55" s="8"/>
      <c r="N55" s="8"/>
      <c r="O55" s="9"/>
      <c r="P55" s="3"/>
      <c r="Q55" s="8"/>
    </row>
    <row r="56" spans="1:17" x14ac:dyDescent="0.3">
      <c r="A56" s="88"/>
      <c r="B56" s="97">
        <v>55</v>
      </c>
      <c r="C56" s="60">
        <v>44630</v>
      </c>
      <c r="D56" s="1" t="s">
        <v>86</v>
      </c>
      <c r="E56" s="2">
        <v>27715</v>
      </c>
      <c r="F56" s="1">
        <v>1057224</v>
      </c>
      <c r="G56" s="1">
        <f t="shared" ca="1" si="3"/>
        <v>51</v>
      </c>
      <c r="H56" s="1"/>
      <c r="I56" s="1"/>
      <c r="J56" s="8"/>
      <c r="K56" s="8"/>
      <c r="L56" s="8"/>
      <c r="M56" s="8"/>
      <c r="N56" s="8"/>
      <c r="O56" s="9"/>
      <c r="P56" s="3"/>
      <c r="Q56" s="8"/>
    </row>
    <row r="57" spans="1:17" x14ac:dyDescent="0.3">
      <c r="A57" s="88"/>
      <c r="B57" s="97">
        <v>56</v>
      </c>
      <c r="C57" s="8"/>
      <c r="D57" s="1" t="s">
        <v>87</v>
      </c>
      <c r="E57" s="2">
        <v>28667</v>
      </c>
      <c r="F57" s="1">
        <v>2656929</v>
      </c>
      <c r="G57" s="1">
        <f t="shared" ca="1" si="3"/>
        <v>48</v>
      </c>
      <c r="H57" s="1"/>
      <c r="I57" s="1"/>
      <c r="J57" s="8"/>
      <c r="K57" s="8"/>
      <c r="L57" s="8"/>
      <c r="M57" s="8"/>
      <c r="N57" s="8"/>
      <c r="O57" s="9"/>
      <c r="P57" s="3"/>
      <c r="Q57" s="8"/>
    </row>
    <row r="58" spans="1:17" x14ac:dyDescent="0.3">
      <c r="A58" s="88"/>
      <c r="B58" s="97">
        <v>57</v>
      </c>
      <c r="C58" s="8"/>
      <c r="D58" s="1" t="s">
        <v>88</v>
      </c>
      <c r="E58" s="2">
        <v>40078</v>
      </c>
      <c r="F58" s="1">
        <v>3412411</v>
      </c>
      <c r="G58" s="1">
        <f t="shared" ca="1" si="3"/>
        <v>17</v>
      </c>
      <c r="H58" s="1"/>
      <c r="I58" s="1"/>
      <c r="J58" s="8"/>
      <c r="K58" s="8"/>
      <c r="L58" s="8"/>
      <c r="M58" s="8"/>
      <c r="N58" s="8"/>
      <c r="O58" s="9"/>
      <c r="P58" s="3"/>
      <c r="Q58" s="8"/>
    </row>
    <row r="59" spans="1:17" x14ac:dyDescent="0.3">
      <c r="A59" s="82"/>
      <c r="B59" s="97">
        <v>58</v>
      </c>
      <c r="C59" s="44">
        <v>44633</v>
      </c>
      <c r="D59" s="30" t="s">
        <v>89</v>
      </c>
      <c r="E59" s="31">
        <v>27975</v>
      </c>
      <c r="F59" s="30">
        <v>1452519</v>
      </c>
      <c r="G59" s="30">
        <f t="shared" ca="1" si="3"/>
        <v>50</v>
      </c>
      <c r="H59" s="30"/>
      <c r="I59" s="1"/>
      <c r="J59" s="8" t="s">
        <v>90</v>
      </c>
      <c r="K59" s="8"/>
      <c r="L59" s="8"/>
      <c r="M59" s="8"/>
      <c r="N59" s="8"/>
      <c r="O59" s="9"/>
      <c r="P59" s="3"/>
      <c r="Q59" s="8"/>
    </row>
    <row r="60" spans="1:17" x14ac:dyDescent="0.3">
      <c r="A60" s="82"/>
      <c r="B60" s="97">
        <v>59</v>
      </c>
      <c r="C60" s="29"/>
      <c r="D60" s="30" t="s">
        <v>91</v>
      </c>
      <c r="E60" s="31">
        <v>29553</v>
      </c>
      <c r="F60" s="30">
        <v>2937810</v>
      </c>
      <c r="G60" s="30">
        <f t="shared" ca="1" si="3"/>
        <v>46</v>
      </c>
      <c r="H60" s="30"/>
      <c r="I60" s="1"/>
      <c r="J60" s="8"/>
      <c r="K60" s="8"/>
      <c r="L60" s="8"/>
      <c r="M60" s="8"/>
      <c r="N60" s="8"/>
      <c r="O60" s="9"/>
      <c r="P60" s="3"/>
      <c r="Q60" s="8"/>
    </row>
    <row r="61" spans="1:17" x14ac:dyDescent="0.3">
      <c r="A61" s="82"/>
      <c r="B61" s="97">
        <v>60</v>
      </c>
      <c r="C61" s="29"/>
      <c r="D61" s="30" t="s">
        <v>92</v>
      </c>
      <c r="E61" s="31">
        <v>40069</v>
      </c>
      <c r="F61" s="30">
        <v>4937916</v>
      </c>
      <c r="G61" s="30">
        <f t="shared" ca="1" si="3"/>
        <v>17</v>
      </c>
      <c r="H61" s="30"/>
      <c r="I61" s="1"/>
      <c r="J61" s="8"/>
      <c r="K61" s="8"/>
      <c r="L61" s="8"/>
      <c r="M61" s="8"/>
      <c r="N61" s="8"/>
      <c r="O61" s="9"/>
      <c r="P61" s="3"/>
      <c r="Q61" s="8"/>
    </row>
    <row r="62" spans="1:17" x14ac:dyDescent="0.3">
      <c r="A62" s="82"/>
      <c r="B62" s="97">
        <v>61</v>
      </c>
      <c r="C62" s="29"/>
      <c r="D62" s="30" t="s">
        <v>93</v>
      </c>
      <c r="E62" s="31">
        <v>40669</v>
      </c>
      <c r="F62" s="30">
        <v>3412617</v>
      </c>
      <c r="G62" s="30">
        <f t="shared" ca="1" si="3"/>
        <v>15</v>
      </c>
      <c r="H62" s="30"/>
      <c r="I62" s="1"/>
      <c r="J62" s="8"/>
      <c r="K62" s="8"/>
      <c r="L62" s="8"/>
      <c r="M62" s="8"/>
      <c r="N62" s="8"/>
      <c r="O62" s="9"/>
      <c r="P62" s="3"/>
      <c r="Q62" s="8"/>
    </row>
    <row r="63" spans="1:17" x14ac:dyDescent="0.3">
      <c r="A63" s="85"/>
      <c r="B63" s="97">
        <v>62</v>
      </c>
      <c r="C63" s="38">
        <v>44270</v>
      </c>
      <c r="D63" s="36" t="s">
        <v>94</v>
      </c>
      <c r="E63" s="37">
        <v>29718</v>
      </c>
      <c r="F63" s="36">
        <v>1149630</v>
      </c>
      <c r="G63" s="36">
        <f ca="1">YEAR(TODAY())-YEAR(E63)</f>
        <v>45</v>
      </c>
      <c r="H63" s="36"/>
      <c r="I63" s="1"/>
      <c r="J63" s="8"/>
      <c r="K63" s="8"/>
      <c r="L63" s="8"/>
      <c r="M63" s="8"/>
      <c r="N63" s="8"/>
      <c r="O63" s="9"/>
      <c r="P63" s="3"/>
      <c r="Q63" s="8"/>
    </row>
    <row r="64" spans="1:17" x14ac:dyDescent="0.3">
      <c r="A64" s="84"/>
      <c r="B64" s="97">
        <v>63</v>
      </c>
      <c r="C64" s="43">
        <v>44636</v>
      </c>
      <c r="D64" s="27" t="s">
        <v>95</v>
      </c>
      <c r="E64" s="28">
        <v>28967</v>
      </c>
      <c r="F64" s="27">
        <v>2229819</v>
      </c>
      <c r="G64" s="27">
        <f ca="1">YEAR(TODAY())-YEAR(E64)</f>
        <v>47</v>
      </c>
      <c r="H64" s="27"/>
      <c r="I64" s="27" t="s">
        <v>96</v>
      </c>
      <c r="J64" s="8"/>
      <c r="K64" s="8"/>
      <c r="L64" s="8"/>
      <c r="M64" s="8"/>
      <c r="N64" s="8"/>
      <c r="O64" s="9"/>
      <c r="P64" s="3"/>
      <c r="Q64" s="8"/>
    </row>
    <row r="65" spans="1:17" x14ac:dyDescent="0.3">
      <c r="A65" s="90"/>
      <c r="B65" s="97">
        <v>64</v>
      </c>
      <c r="C65" s="53">
        <v>44274</v>
      </c>
      <c r="D65" s="51" t="s">
        <v>97</v>
      </c>
      <c r="E65" s="52">
        <v>30655</v>
      </c>
      <c r="F65" s="51">
        <v>1860517</v>
      </c>
      <c r="G65" s="51">
        <f t="shared" ref="G65:G90" ca="1" si="4">YEAR(TODAY())-YEAR(E65)</f>
        <v>43</v>
      </c>
      <c r="H65" s="51"/>
      <c r="I65" s="1"/>
      <c r="J65" s="8"/>
      <c r="K65" s="8"/>
      <c r="L65" s="8"/>
      <c r="M65" s="8"/>
      <c r="N65" s="8"/>
      <c r="O65" s="9"/>
      <c r="P65" s="3"/>
      <c r="Q65" s="8"/>
    </row>
    <row r="66" spans="1:17" x14ac:dyDescent="0.3">
      <c r="A66" s="90"/>
      <c r="B66" s="97">
        <v>65</v>
      </c>
      <c r="C66" s="50"/>
      <c r="D66" s="51" t="s">
        <v>98</v>
      </c>
      <c r="E66" s="52">
        <v>19499</v>
      </c>
      <c r="F66" s="51">
        <v>2802457</v>
      </c>
      <c r="G66" s="51">
        <f t="shared" ca="1" si="4"/>
        <v>73</v>
      </c>
      <c r="H66" s="51"/>
      <c r="I66" s="1"/>
      <c r="J66" s="8"/>
      <c r="K66" s="8"/>
      <c r="L66" s="8"/>
      <c r="M66" s="8"/>
      <c r="N66" s="8"/>
      <c r="O66" s="9"/>
      <c r="P66" s="3"/>
      <c r="Q66" s="8"/>
    </row>
    <row r="67" spans="1:17" x14ac:dyDescent="0.3">
      <c r="A67" s="90"/>
      <c r="B67" s="97">
        <v>66</v>
      </c>
      <c r="C67" s="50"/>
      <c r="D67" s="51" t="s">
        <v>99</v>
      </c>
      <c r="E67" s="52">
        <v>18224</v>
      </c>
      <c r="F67" s="51">
        <v>1823616</v>
      </c>
      <c r="G67" s="51">
        <f t="shared" ca="1" si="4"/>
        <v>77</v>
      </c>
      <c r="H67" s="51"/>
      <c r="I67" s="1"/>
      <c r="J67" s="8"/>
      <c r="K67" s="8"/>
      <c r="L67" s="8"/>
      <c r="M67" s="8"/>
      <c r="N67" s="8"/>
      <c r="O67" s="9"/>
      <c r="P67" s="3"/>
      <c r="Q67" s="8"/>
    </row>
    <row r="68" spans="1:17" x14ac:dyDescent="0.3">
      <c r="A68" s="88"/>
      <c r="B68" s="97">
        <v>67</v>
      </c>
      <c r="C68" s="60">
        <v>44646</v>
      </c>
      <c r="D68" s="1" t="s">
        <v>100</v>
      </c>
      <c r="E68" s="2">
        <v>28145</v>
      </c>
      <c r="F68" s="1">
        <v>1411633</v>
      </c>
      <c r="G68" s="1">
        <f t="shared" ca="1" si="4"/>
        <v>49</v>
      </c>
      <c r="H68" s="1"/>
      <c r="I68" s="1" t="s">
        <v>101</v>
      </c>
      <c r="J68" s="8"/>
      <c r="K68" s="8"/>
      <c r="L68" s="8"/>
      <c r="M68" s="8"/>
      <c r="N68" s="8"/>
      <c r="O68" s="9"/>
      <c r="P68" s="3"/>
      <c r="Q68" s="8"/>
    </row>
    <row r="69" spans="1:17" x14ac:dyDescent="0.3">
      <c r="A69" s="85"/>
      <c r="B69" s="97">
        <v>68</v>
      </c>
      <c r="C69" s="38">
        <v>44650</v>
      </c>
      <c r="D69" s="36" t="s">
        <v>102</v>
      </c>
      <c r="E69" s="37">
        <v>29810</v>
      </c>
      <c r="F69" s="36">
        <v>2055022</v>
      </c>
      <c r="G69" s="36">
        <f ca="1">YEAR(TODAY())-YEAR(E69)</f>
        <v>45</v>
      </c>
      <c r="H69" s="36"/>
      <c r="I69" s="1"/>
      <c r="J69" s="8"/>
      <c r="K69" s="8"/>
      <c r="L69" s="8"/>
      <c r="M69" s="8"/>
      <c r="N69" s="8"/>
      <c r="O69" s="9"/>
      <c r="P69" s="3"/>
      <c r="Q69" s="8"/>
    </row>
    <row r="70" spans="1:17" x14ac:dyDescent="0.3">
      <c r="A70" s="85"/>
      <c r="B70" s="97">
        <v>69</v>
      </c>
      <c r="C70" s="35"/>
      <c r="D70" s="36" t="s">
        <v>103</v>
      </c>
      <c r="E70" s="37">
        <v>29984</v>
      </c>
      <c r="F70" s="36">
        <v>1249115</v>
      </c>
      <c r="G70" s="36">
        <f ca="1">YEAR(TODAY())-YEAR(E70)</f>
        <v>44</v>
      </c>
      <c r="H70" s="36"/>
      <c r="I70" s="1"/>
      <c r="J70" s="8"/>
      <c r="K70" s="8"/>
      <c r="L70" s="8"/>
      <c r="M70" s="8"/>
      <c r="N70" s="8"/>
      <c r="O70" s="9"/>
      <c r="P70" s="3"/>
      <c r="Q70" s="8"/>
    </row>
    <row r="71" spans="1:17" x14ac:dyDescent="0.3">
      <c r="A71" s="85"/>
      <c r="B71" s="97">
        <v>70</v>
      </c>
      <c r="C71" s="35"/>
      <c r="D71" s="36" t="s">
        <v>104</v>
      </c>
      <c r="E71" s="37">
        <v>40380</v>
      </c>
      <c r="F71" s="36">
        <v>3412312</v>
      </c>
      <c r="G71" s="36">
        <f ca="1">YEAR(TODAY())-YEAR(E71)</f>
        <v>16</v>
      </c>
      <c r="H71" s="36"/>
      <c r="I71" s="1"/>
      <c r="J71" s="8"/>
      <c r="K71" s="8"/>
      <c r="L71" s="8"/>
      <c r="M71" s="8"/>
      <c r="N71" s="8"/>
      <c r="O71" s="9"/>
      <c r="P71" s="3"/>
      <c r="Q71" s="8"/>
    </row>
    <row r="72" spans="1:17" x14ac:dyDescent="0.3">
      <c r="A72" s="84"/>
      <c r="B72" s="97">
        <v>71</v>
      </c>
      <c r="C72" s="43">
        <v>44653</v>
      </c>
      <c r="D72" s="27" t="s">
        <v>105</v>
      </c>
      <c r="E72" s="28">
        <v>25065</v>
      </c>
      <c r="F72" s="27">
        <v>1122629</v>
      </c>
      <c r="G72" s="27">
        <f ca="1">YEAR(TODAY())-YEAR(E72)</f>
        <v>58</v>
      </c>
      <c r="H72" s="27"/>
      <c r="I72" s="27"/>
      <c r="J72" s="8"/>
      <c r="K72" s="8"/>
      <c r="L72" s="8"/>
      <c r="M72" s="8"/>
      <c r="N72" s="8"/>
      <c r="O72" s="9"/>
      <c r="P72" s="3"/>
      <c r="Q72" s="8"/>
    </row>
    <row r="73" spans="1:17" x14ac:dyDescent="0.3">
      <c r="A73" s="8"/>
      <c r="B73" s="97">
        <v>72</v>
      </c>
      <c r="C73" s="60">
        <v>44656</v>
      </c>
      <c r="D73" s="1" t="s">
        <v>27</v>
      </c>
      <c r="E73" s="2">
        <v>30906</v>
      </c>
      <c r="F73" s="1">
        <v>1459910</v>
      </c>
      <c r="G73" s="1">
        <f ca="1">YEAR(TODAY())-YEAR(E73)</f>
        <v>42</v>
      </c>
      <c r="H73" s="1"/>
      <c r="I73" s="1"/>
      <c r="J73" s="8"/>
      <c r="K73" s="8"/>
      <c r="L73" s="8"/>
      <c r="M73" s="8"/>
      <c r="N73" s="8"/>
      <c r="O73" s="9"/>
      <c r="P73" s="3"/>
      <c r="Q73" s="8"/>
    </row>
    <row r="74" spans="1:17" x14ac:dyDescent="0.3">
      <c r="A74" s="84"/>
      <c r="B74" s="97">
        <v>73</v>
      </c>
      <c r="C74" s="43">
        <v>44292</v>
      </c>
      <c r="D74" s="27" t="s">
        <v>106</v>
      </c>
      <c r="E74" s="28">
        <v>30625</v>
      </c>
      <c r="F74" s="27">
        <v>1852518</v>
      </c>
      <c r="G74" s="27">
        <f t="shared" ca="1" si="4"/>
        <v>43</v>
      </c>
      <c r="H74" s="27"/>
      <c r="I74" s="1" t="s">
        <v>107</v>
      </c>
      <c r="J74" s="8"/>
      <c r="K74" s="8"/>
      <c r="L74" s="8"/>
      <c r="M74" s="8"/>
      <c r="N74" s="8"/>
      <c r="O74" s="9"/>
      <c r="P74" s="3"/>
      <c r="Q74" s="8"/>
    </row>
    <row r="75" spans="1:17" x14ac:dyDescent="0.3">
      <c r="A75" s="87"/>
      <c r="B75" s="97">
        <v>74</v>
      </c>
      <c r="C75" s="42">
        <v>44657</v>
      </c>
      <c r="D75" s="40" t="s">
        <v>108</v>
      </c>
      <c r="E75" s="41">
        <v>28194</v>
      </c>
      <c r="F75" s="40">
        <v>1650618</v>
      </c>
      <c r="G75" s="40">
        <f t="shared" ca="1" si="4"/>
        <v>49</v>
      </c>
      <c r="H75" s="40"/>
      <c r="I75" s="40" t="s">
        <v>96</v>
      </c>
      <c r="J75" s="8"/>
      <c r="K75" s="8"/>
      <c r="L75" s="8"/>
      <c r="M75" s="8"/>
      <c r="N75" s="8"/>
      <c r="O75" s="9"/>
      <c r="P75" s="3"/>
      <c r="Q75" s="8"/>
    </row>
    <row r="76" spans="1:17" x14ac:dyDescent="0.3">
      <c r="A76" s="82"/>
      <c r="B76" s="97">
        <v>75</v>
      </c>
      <c r="C76" s="44">
        <v>44299</v>
      </c>
      <c r="D76" s="30" t="s">
        <v>109</v>
      </c>
      <c r="E76" s="31">
        <v>31314</v>
      </c>
      <c r="F76" s="30">
        <v>2475711</v>
      </c>
      <c r="G76" s="30">
        <f t="shared" ca="1" si="4"/>
        <v>41</v>
      </c>
      <c r="H76" s="30"/>
      <c r="I76" s="1"/>
      <c r="J76" s="8"/>
      <c r="K76" s="8"/>
      <c r="L76" s="8"/>
      <c r="M76" s="8"/>
      <c r="N76" s="8"/>
      <c r="O76" s="9"/>
      <c r="P76" s="3"/>
      <c r="Q76" s="8"/>
    </row>
    <row r="77" spans="1:17" x14ac:dyDescent="0.3">
      <c r="A77" s="82"/>
      <c r="B77" s="97">
        <v>76</v>
      </c>
      <c r="C77" s="29"/>
      <c r="D77" s="30" t="s">
        <v>110</v>
      </c>
      <c r="E77" s="31">
        <v>41106</v>
      </c>
      <c r="F77" s="30">
        <v>3419215</v>
      </c>
      <c r="G77" s="30">
        <f t="shared" ca="1" si="4"/>
        <v>14</v>
      </c>
      <c r="H77" s="30"/>
      <c r="I77" s="1"/>
      <c r="J77" s="8"/>
      <c r="K77" s="8"/>
      <c r="L77" s="8"/>
      <c r="M77" s="8"/>
      <c r="N77" s="8"/>
      <c r="O77" s="9"/>
      <c r="P77" s="3"/>
      <c r="Q77" s="8"/>
    </row>
    <row r="78" spans="1:17" x14ac:dyDescent="0.3">
      <c r="A78" s="82"/>
      <c r="B78" s="97">
        <v>77</v>
      </c>
      <c r="C78" s="29"/>
      <c r="D78" s="30" t="s">
        <v>111</v>
      </c>
      <c r="E78" s="31">
        <v>41806</v>
      </c>
      <c r="F78" s="30">
        <v>3419214</v>
      </c>
      <c r="G78" s="30">
        <f t="shared" ca="1" si="4"/>
        <v>12</v>
      </c>
      <c r="H78" s="30"/>
      <c r="I78" s="1"/>
      <c r="J78" s="8"/>
      <c r="K78" s="8"/>
      <c r="L78" s="8"/>
      <c r="M78" s="8"/>
      <c r="N78" s="8"/>
      <c r="O78" s="9"/>
      <c r="P78" s="3"/>
      <c r="Q78" s="8"/>
    </row>
    <row r="79" spans="1:17" x14ac:dyDescent="0.3">
      <c r="A79" s="86"/>
      <c r="B79" s="97">
        <v>78</v>
      </c>
      <c r="C79" s="20">
        <v>44293</v>
      </c>
      <c r="D79" s="18" t="s">
        <v>112</v>
      </c>
      <c r="E79" s="19">
        <v>27127</v>
      </c>
      <c r="F79" s="18">
        <v>1536627</v>
      </c>
      <c r="G79" s="18">
        <f t="shared" ca="1" si="4"/>
        <v>52</v>
      </c>
      <c r="H79" s="18"/>
      <c r="I79" s="1" t="s">
        <v>113</v>
      </c>
      <c r="J79" s="8"/>
      <c r="K79" s="8"/>
      <c r="L79" s="8"/>
      <c r="M79" s="8"/>
      <c r="N79" s="8"/>
      <c r="O79" s="9"/>
      <c r="P79" s="3"/>
      <c r="Q79" s="8"/>
    </row>
    <row r="80" spans="1:17" x14ac:dyDescent="0.3">
      <c r="A80" s="86"/>
      <c r="B80" s="97">
        <v>79</v>
      </c>
      <c r="C80" s="17"/>
      <c r="D80" s="18" t="s">
        <v>114</v>
      </c>
      <c r="E80" s="19">
        <v>27530</v>
      </c>
      <c r="F80" s="18">
        <v>2675911</v>
      </c>
      <c r="G80" s="18">
        <f t="shared" ca="1" si="4"/>
        <v>51</v>
      </c>
      <c r="H80" s="18"/>
      <c r="I80" s="1"/>
      <c r="J80" s="8"/>
      <c r="K80" s="8"/>
      <c r="L80" s="8"/>
      <c r="M80" s="8"/>
      <c r="N80" s="8"/>
      <c r="O80" s="9"/>
      <c r="P80" s="3"/>
      <c r="Q80" s="8"/>
    </row>
    <row r="81" spans="1:17" x14ac:dyDescent="0.3">
      <c r="A81" s="86"/>
      <c r="B81" s="97">
        <v>80</v>
      </c>
      <c r="C81" s="17"/>
      <c r="D81" s="18" t="s">
        <v>115</v>
      </c>
      <c r="E81" s="19">
        <v>40093</v>
      </c>
      <c r="F81" s="18">
        <v>3211213</v>
      </c>
      <c r="G81" s="18">
        <f t="shared" ca="1" si="4"/>
        <v>17</v>
      </c>
      <c r="H81" s="18"/>
      <c r="I81" s="1"/>
      <c r="J81" s="8"/>
      <c r="K81" s="8"/>
      <c r="L81" s="8"/>
      <c r="M81" s="8"/>
      <c r="N81" s="8"/>
      <c r="O81" s="9"/>
      <c r="P81" s="3"/>
      <c r="Q81" s="8"/>
    </row>
    <row r="82" spans="1:17" x14ac:dyDescent="0.3">
      <c r="A82" s="86"/>
      <c r="B82" s="97">
        <v>81</v>
      </c>
      <c r="C82" s="17"/>
      <c r="D82" s="18" t="s">
        <v>116</v>
      </c>
      <c r="E82" s="19">
        <v>39169</v>
      </c>
      <c r="F82" s="18">
        <v>4253227</v>
      </c>
      <c r="G82" s="18">
        <f t="shared" ca="1" si="4"/>
        <v>19</v>
      </c>
      <c r="H82" s="18"/>
      <c r="I82" s="1"/>
      <c r="J82" s="8"/>
      <c r="K82" s="8"/>
      <c r="L82" s="8"/>
      <c r="M82" s="8"/>
      <c r="N82" s="8"/>
      <c r="O82" s="9"/>
      <c r="P82" s="3"/>
      <c r="Q82" s="8"/>
    </row>
    <row r="83" spans="1:17" x14ac:dyDescent="0.3">
      <c r="A83" s="87"/>
      <c r="B83" s="97">
        <v>82</v>
      </c>
      <c r="C83" s="42"/>
      <c r="D83" s="40" t="s">
        <v>117</v>
      </c>
      <c r="E83" s="41">
        <v>30573</v>
      </c>
      <c r="F83" s="40">
        <v>1111123</v>
      </c>
      <c r="G83" s="40">
        <f t="shared" ca="1" si="4"/>
        <v>43</v>
      </c>
      <c r="H83" s="40"/>
      <c r="I83" s="1"/>
      <c r="J83" s="8"/>
      <c r="K83" s="8"/>
      <c r="L83" s="8"/>
      <c r="M83" s="8"/>
      <c r="N83" s="8"/>
      <c r="O83" s="9"/>
      <c r="P83" s="3"/>
      <c r="Q83" s="8"/>
    </row>
    <row r="84" spans="1:17" x14ac:dyDescent="0.3">
      <c r="A84" s="87"/>
      <c r="B84" s="97">
        <v>83</v>
      </c>
      <c r="C84" s="42">
        <v>44294</v>
      </c>
      <c r="D84" s="40" t="s">
        <v>118</v>
      </c>
      <c r="E84" s="41">
        <v>29991</v>
      </c>
      <c r="F84" s="40">
        <v>2114724</v>
      </c>
      <c r="G84" s="40">
        <f t="shared" ca="1" si="4"/>
        <v>44</v>
      </c>
      <c r="H84" s="40"/>
      <c r="I84" s="1"/>
      <c r="J84" s="8"/>
      <c r="K84" s="8"/>
      <c r="L84" s="8"/>
      <c r="M84" s="8"/>
      <c r="N84" s="8"/>
      <c r="O84" s="9"/>
      <c r="P84" s="3"/>
      <c r="Q84" s="8"/>
    </row>
    <row r="85" spans="1:17" x14ac:dyDescent="0.3">
      <c r="A85" s="87"/>
      <c r="B85" s="97">
        <v>84</v>
      </c>
      <c r="C85" s="39"/>
      <c r="D85" s="40" t="s">
        <v>119</v>
      </c>
      <c r="E85" s="41">
        <v>40301</v>
      </c>
      <c r="F85" s="40">
        <v>4412029</v>
      </c>
      <c r="G85" s="40">
        <f t="shared" ca="1" si="4"/>
        <v>16</v>
      </c>
      <c r="H85" s="40"/>
      <c r="I85" s="1" t="s">
        <v>120</v>
      </c>
      <c r="J85" s="8"/>
      <c r="K85" s="8"/>
      <c r="L85" s="8" t="s">
        <v>61</v>
      </c>
      <c r="M85" s="8"/>
      <c r="N85" s="8"/>
      <c r="O85" s="9"/>
      <c r="P85" s="3"/>
      <c r="Q85" s="8"/>
    </row>
    <row r="86" spans="1:17" x14ac:dyDescent="0.3">
      <c r="A86" s="87"/>
      <c r="B86" s="97">
        <v>85</v>
      </c>
      <c r="C86" s="39"/>
      <c r="D86" s="40" t="s">
        <v>121</v>
      </c>
      <c r="E86" s="41">
        <v>40301</v>
      </c>
      <c r="F86" s="40">
        <v>4412034</v>
      </c>
      <c r="G86" s="40">
        <f t="shared" ca="1" si="4"/>
        <v>16</v>
      </c>
      <c r="H86" s="40"/>
      <c r="I86" s="1"/>
      <c r="J86" s="8"/>
      <c r="K86" s="8"/>
      <c r="L86" s="8"/>
      <c r="M86" s="8"/>
      <c r="N86" s="8"/>
      <c r="O86" s="9"/>
      <c r="P86" s="3"/>
      <c r="Q86" s="8"/>
    </row>
    <row r="87" spans="1:17" x14ac:dyDescent="0.3">
      <c r="A87" s="87"/>
      <c r="B87" s="97">
        <v>86</v>
      </c>
      <c r="C87" s="39"/>
      <c r="D87" s="40" t="s">
        <v>122</v>
      </c>
      <c r="E87" s="41">
        <v>40669</v>
      </c>
      <c r="F87" s="40">
        <v>4412027</v>
      </c>
      <c r="G87" s="40">
        <f t="shared" ca="1" si="4"/>
        <v>15</v>
      </c>
      <c r="H87" s="40"/>
      <c r="I87" s="1"/>
      <c r="J87" s="8"/>
      <c r="K87" s="8"/>
      <c r="L87" s="8"/>
      <c r="M87" s="8"/>
      <c r="N87" s="8"/>
      <c r="O87" s="9"/>
      <c r="P87" s="3"/>
      <c r="Q87" s="8"/>
    </row>
    <row r="88" spans="1:17" x14ac:dyDescent="0.3">
      <c r="A88" s="85"/>
      <c r="B88" s="97">
        <v>87</v>
      </c>
      <c r="C88" s="38">
        <v>44295</v>
      </c>
      <c r="D88" s="36" t="s">
        <v>123</v>
      </c>
      <c r="E88" s="37">
        <v>29071</v>
      </c>
      <c r="F88" s="36">
        <v>1350219</v>
      </c>
      <c r="G88" s="36">
        <f t="shared" ca="1" si="4"/>
        <v>47</v>
      </c>
      <c r="H88" s="36"/>
      <c r="I88" s="1" t="s">
        <v>124</v>
      </c>
      <c r="J88" s="8"/>
      <c r="K88" s="8"/>
      <c r="L88" s="8"/>
      <c r="M88" s="8"/>
      <c r="N88" s="8"/>
      <c r="O88" s="9"/>
      <c r="P88" s="3"/>
      <c r="Q88" s="8"/>
    </row>
    <row r="89" spans="1:17" x14ac:dyDescent="0.3">
      <c r="A89" s="85"/>
      <c r="B89" s="97">
        <v>88</v>
      </c>
      <c r="C89" s="35"/>
      <c r="D89" s="36" t="s">
        <v>125</v>
      </c>
      <c r="E89" s="37">
        <v>29980</v>
      </c>
      <c r="F89" s="36">
        <v>2019049</v>
      </c>
      <c r="G89" s="36">
        <f t="shared" ca="1" si="4"/>
        <v>44</v>
      </c>
      <c r="H89" s="36"/>
      <c r="I89" s="1"/>
      <c r="J89" s="8"/>
      <c r="K89" s="8"/>
      <c r="L89" s="8"/>
      <c r="M89" s="8"/>
      <c r="N89" s="8"/>
      <c r="O89" s="9"/>
      <c r="P89" s="3"/>
      <c r="Q89" s="8"/>
    </row>
    <row r="90" spans="1:17" x14ac:dyDescent="0.3">
      <c r="A90" s="85"/>
      <c r="B90" s="97">
        <v>89</v>
      </c>
      <c r="C90" s="35"/>
      <c r="D90" s="36" t="s">
        <v>126</v>
      </c>
      <c r="E90" s="37">
        <v>41923</v>
      </c>
      <c r="F90" s="36">
        <v>4041617</v>
      </c>
      <c r="G90" s="36">
        <f t="shared" ca="1" si="4"/>
        <v>12</v>
      </c>
      <c r="H90" s="36"/>
      <c r="I90" s="1"/>
      <c r="J90" s="8"/>
      <c r="K90" s="8"/>
      <c r="L90" s="8"/>
      <c r="M90" s="8"/>
      <c r="N90" s="8"/>
      <c r="O90" s="9"/>
      <c r="P90" s="3"/>
      <c r="Q90" s="8"/>
    </row>
    <row r="91" spans="1:17" x14ac:dyDescent="0.3">
      <c r="A91" s="85"/>
      <c r="B91" s="97">
        <v>90</v>
      </c>
      <c r="C91" s="38">
        <v>44662</v>
      </c>
      <c r="D91" s="36" t="s">
        <v>127</v>
      </c>
      <c r="E91" s="37"/>
      <c r="F91" s="36"/>
      <c r="G91" s="36"/>
      <c r="H91" s="36"/>
      <c r="I91" s="1" t="s">
        <v>70</v>
      </c>
      <c r="J91" s="8"/>
      <c r="K91" s="8"/>
      <c r="L91" s="8"/>
      <c r="M91" s="8"/>
      <c r="N91" s="8"/>
      <c r="O91" s="9"/>
      <c r="P91" s="3"/>
      <c r="Q91" s="8"/>
    </row>
    <row r="92" spans="1:17" x14ac:dyDescent="0.3">
      <c r="A92" s="81"/>
      <c r="B92" s="97">
        <v>91</v>
      </c>
      <c r="C92" s="45">
        <v>44663</v>
      </c>
      <c r="D92" s="33" t="s">
        <v>128</v>
      </c>
      <c r="E92" s="34">
        <v>30156</v>
      </c>
      <c r="F92" s="33">
        <v>2472012</v>
      </c>
      <c r="G92" s="33">
        <f ca="1">YEAR(TODAY())-YEAR(E92)</f>
        <v>44</v>
      </c>
      <c r="H92" s="33"/>
      <c r="I92" s="1" t="s">
        <v>129</v>
      </c>
      <c r="J92" s="8"/>
      <c r="K92" s="8" t="s">
        <v>74</v>
      </c>
      <c r="L92" s="8"/>
      <c r="M92" s="8"/>
      <c r="N92" s="8"/>
      <c r="O92" s="9"/>
      <c r="P92" s="3"/>
      <c r="Q92" s="8" t="s">
        <v>130</v>
      </c>
    </row>
    <row r="93" spans="1:17" x14ac:dyDescent="0.3">
      <c r="A93" s="85"/>
      <c r="B93" s="97">
        <v>92</v>
      </c>
      <c r="C93" s="38">
        <v>44665</v>
      </c>
      <c r="D93" s="36" t="s">
        <v>131</v>
      </c>
      <c r="E93" s="37"/>
      <c r="F93" s="36"/>
      <c r="G93" s="36"/>
      <c r="H93" s="36"/>
      <c r="I93" s="1" t="s">
        <v>70</v>
      </c>
      <c r="J93" s="8"/>
      <c r="K93" s="8"/>
      <c r="L93" s="8"/>
      <c r="M93" s="8"/>
      <c r="N93" s="8"/>
      <c r="O93" s="9"/>
      <c r="P93" s="3"/>
      <c r="Q93" s="8"/>
    </row>
    <row r="94" spans="1:17" x14ac:dyDescent="0.3">
      <c r="A94" s="84"/>
      <c r="B94" s="97">
        <v>93</v>
      </c>
      <c r="C94" s="43">
        <v>44300</v>
      </c>
      <c r="D94" s="27" t="s">
        <v>132</v>
      </c>
      <c r="E94" s="28">
        <v>31610</v>
      </c>
      <c r="F94" s="27">
        <v>1716811</v>
      </c>
      <c r="G94" s="27">
        <f t="shared" ref="G94:G136" ca="1" si="5">YEAR(TODAY())-YEAR(E94)</f>
        <v>40</v>
      </c>
      <c r="H94" s="27"/>
      <c r="I94" s="1"/>
      <c r="J94" s="8"/>
      <c r="K94" s="8"/>
      <c r="L94" s="8" t="s">
        <v>133</v>
      </c>
      <c r="M94" s="8"/>
      <c r="N94" s="8"/>
      <c r="O94" s="9"/>
      <c r="P94" s="3"/>
      <c r="Q94" s="8"/>
    </row>
    <row r="95" spans="1:17" x14ac:dyDescent="0.3">
      <c r="A95" s="84"/>
      <c r="B95" s="97">
        <v>94</v>
      </c>
      <c r="C95" s="26"/>
      <c r="D95" s="27" t="s">
        <v>134</v>
      </c>
      <c r="E95" s="28">
        <v>31942</v>
      </c>
      <c r="F95" s="27">
        <v>2784210</v>
      </c>
      <c r="G95" s="27">
        <f t="shared" ca="1" si="5"/>
        <v>39</v>
      </c>
      <c r="H95" s="27"/>
      <c r="I95" s="1"/>
      <c r="J95" s="8"/>
      <c r="K95" s="8"/>
      <c r="L95" s="8" t="s">
        <v>135</v>
      </c>
      <c r="M95" s="8"/>
      <c r="N95" s="8"/>
      <c r="O95" s="9"/>
      <c r="P95" s="3"/>
      <c r="Q95" s="8"/>
    </row>
    <row r="96" spans="1:17" x14ac:dyDescent="0.3">
      <c r="A96" s="84"/>
      <c r="B96" s="97">
        <v>95</v>
      </c>
      <c r="C96" s="26"/>
      <c r="D96" s="27" t="s">
        <v>136</v>
      </c>
      <c r="E96" s="28">
        <v>42196</v>
      </c>
      <c r="F96" s="27">
        <v>4412921</v>
      </c>
      <c r="G96" s="27">
        <f t="shared" ca="1" si="5"/>
        <v>11</v>
      </c>
      <c r="H96" s="27"/>
      <c r="I96" s="1"/>
      <c r="J96" s="8"/>
      <c r="K96" s="8"/>
      <c r="L96" s="8" t="s">
        <v>61</v>
      </c>
      <c r="M96" s="8"/>
      <c r="N96" s="8"/>
      <c r="O96" s="9"/>
      <c r="P96" s="3"/>
      <c r="Q96" s="8"/>
    </row>
    <row r="97" spans="1:17" x14ac:dyDescent="0.3">
      <c r="A97" s="84"/>
      <c r="B97" s="97">
        <v>96</v>
      </c>
      <c r="C97" s="26"/>
      <c r="D97" s="27" t="s">
        <v>137</v>
      </c>
      <c r="E97" s="28">
        <v>43108</v>
      </c>
      <c r="F97" s="27">
        <v>3412912</v>
      </c>
      <c r="G97" s="27">
        <f t="shared" ca="1" si="5"/>
        <v>8</v>
      </c>
      <c r="H97" s="27"/>
      <c r="I97" s="1"/>
      <c r="J97" s="8"/>
      <c r="K97" s="8"/>
      <c r="L97" s="8" t="s">
        <v>61</v>
      </c>
      <c r="M97" s="8"/>
      <c r="N97" s="8"/>
      <c r="O97" s="9"/>
      <c r="P97" s="3"/>
      <c r="Q97" s="8"/>
    </row>
    <row r="98" spans="1:17" x14ac:dyDescent="0.3">
      <c r="A98" s="88"/>
      <c r="B98" s="97">
        <v>97</v>
      </c>
      <c r="C98" s="60">
        <v>44667</v>
      </c>
      <c r="D98" s="1" t="s">
        <v>138</v>
      </c>
      <c r="E98" s="2">
        <v>24847</v>
      </c>
      <c r="F98" s="1">
        <v>1478617</v>
      </c>
      <c r="G98" s="1">
        <f ca="1">YEAR(TODAY())-YEAR(E98)</f>
        <v>58</v>
      </c>
      <c r="H98" s="1"/>
      <c r="I98" s="1"/>
      <c r="J98" s="8"/>
      <c r="K98" s="8"/>
      <c r="L98" s="8"/>
      <c r="M98" s="8"/>
      <c r="N98" s="8"/>
      <c r="O98" s="9"/>
      <c r="P98" s="3"/>
      <c r="Q98" s="8"/>
    </row>
    <row r="99" spans="1:17" x14ac:dyDescent="0.3">
      <c r="A99" s="88"/>
      <c r="B99" s="97">
        <v>98</v>
      </c>
      <c r="C99" s="8"/>
      <c r="D99" s="1" t="s">
        <v>139</v>
      </c>
      <c r="E99" s="2">
        <v>34350</v>
      </c>
      <c r="F99" s="1">
        <v>1411822</v>
      </c>
      <c r="G99" s="1">
        <f ca="1">YEAR(TODAY())-YEAR(E99)</f>
        <v>32</v>
      </c>
      <c r="H99" s="1"/>
      <c r="I99" s="1"/>
      <c r="J99" s="8"/>
      <c r="K99" s="8"/>
      <c r="L99" s="8"/>
      <c r="M99" s="8"/>
      <c r="N99" s="8"/>
      <c r="O99" s="9"/>
      <c r="P99" s="3"/>
      <c r="Q99" s="8"/>
    </row>
    <row r="100" spans="1:17" x14ac:dyDescent="0.3">
      <c r="A100" s="88"/>
      <c r="B100" s="97">
        <v>99</v>
      </c>
      <c r="C100" s="8"/>
      <c r="D100" s="1" t="s">
        <v>140</v>
      </c>
      <c r="E100" s="2">
        <v>34963</v>
      </c>
      <c r="F100" s="1">
        <v>2478219</v>
      </c>
      <c r="G100" s="1">
        <f ca="1">YEAR(TODAY())-YEAR(E100)</f>
        <v>31</v>
      </c>
      <c r="H100" s="1"/>
      <c r="I100" s="1"/>
      <c r="J100" s="8"/>
      <c r="K100" s="8"/>
      <c r="L100" s="8"/>
      <c r="M100" s="8"/>
      <c r="N100" s="8"/>
      <c r="O100" s="9"/>
      <c r="P100" s="3"/>
      <c r="Q100" s="8"/>
    </row>
    <row r="101" spans="1:17" x14ac:dyDescent="0.3">
      <c r="A101" s="88"/>
      <c r="B101" s="97">
        <v>100</v>
      </c>
      <c r="C101" s="60">
        <v>44674</v>
      </c>
      <c r="D101" s="1" t="s">
        <v>141</v>
      </c>
      <c r="E101" s="2">
        <v>29984</v>
      </c>
      <c r="F101" s="1">
        <v>1661014</v>
      </c>
      <c r="G101" s="1">
        <f t="shared" ca="1" si="5"/>
        <v>44</v>
      </c>
      <c r="H101" s="1"/>
      <c r="I101" s="1"/>
      <c r="J101" s="8"/>
      <c r="K101" s="8"/>
      <c r="L101" s="8"/>
      <c r="M101" s="8"/>
      <c r="N101" s="8"/>
      <c r="O101" s="9"/>
      <c r="P101" s="3"/>
      <c r="Q101" s="8"/>
    </row>
    <row r="102" spans="1:17" x14ac:dyDescent="0.3">
      <c r="A102" s="88"/>
      <c r="B102" s="97">
        <v>101</v>
      </c>
      <c r="C102" s="8"/>
      <c r="D102" s="1" t="s">
        <v>142</v>
      </c>
      <c r="E102" s="2">
        <v>32114</v>
      </c>
      <c r="F102" s="1">
        <v>2114731</v>
      </c>
      <c r="G102" s="1">
        <f t="shared" ca="1" si="5"/>
        <v>39</v>
      </c>
      <c r="H102" s="1"/>
      <c r="I102" s="1"/>
      <c r="J102" s="8"/>
      <c r="K102" s="8"/>
      <c r="L102" s="8"/>
      <c r="M102" s="8"/>
      <c r="N102" s="8"/>
      <c r="O102" s="9"/>
      <c r="P102" s="3"/>
      <c r="Q102" s="8"/>
    </row>
    <row r="103" spans="1:17" x14ac:dyDescent="0.3">
      <c r="A103" s="82"/>
      <c r="B103" s="97">
        <v>102</v>
      </c>
      <c r="C103" s="44">
        <v>44309</v>
      </c>
      <c r="D103" s="30" t="s">
        <v>143</v>
      </c>
      <c r="E103" s="31">
        <v>30569</v>
      </c>
      <c r="F103" s="30">
        <v>1467316</v>
      </c>
      <c r="G103" s="30">
        <f t="shared" ca="1" si="5"/>
        <v>43</v>
      </c>
      <c r="H103" s="30"/>
      <c r="I103" s="1"/>
      <c r="J103" s="8"/>
      <c r="K103" s="8"/>
      <c r="L103" s="8"/>
      <c r="M103" s="8"/>
      <c r="N103" s="8"/>
      <c r="O103" s="9"/>
      <c r="P103" s="3"/>
      <c r="Q103" s="8"/>
    </row>
    <row r="104" spans="1:17" x14ac:dyDescent="0.3">
      <c r="A104" s="82"/>
      <c r="B104" s="97">
        <v>103</v>
      </c>
      <c r="C104" s="29"/>
      <c r="D104" s="30" t="s">
        <v>144</v>
      </c>
      <c r="E104" s="31">
        <v>31392</v>
      </c>
      <c r="F104" s="30">
        <v>2169314</v>
      </c>
      <c r="G104" s="30">
        <f t="shared" ca="1" si="5"/>
        <v>41</v>
      </c>
      <c r="H104" s="30"/>
      <c r="I104" s="1"/>
      <c r="J104" s="8"/>
      <c r="K104" s="8"/>
      <c r="L104" s="8"/>
      <c r="M104" s="8"/>
      <c r="N104" s="8"/>
      <c r="O104" s="9"/>
      <c r="P104" s="3"/>
      <c r="Q104" s="8"/>
    </row>
    <row r="105" spans="1:17" x14ac:dyDescent="0.3">
      <c r="A105" s="82"/>
      <c r="B105" s="97">
        <v>104</v>
      </c>
      <c r="C105" s="29"/>
      <c r="D105" s="30" t="s">
        <v>145</v>
      </c>
      <c r="E105" s="31">
        <v>40842</v>
      </c>
      <c r="F105" s="30">
        <v>4171315</v>
      </c>
      <c r="G105" s="30">
        <f t="shared" ca="1" si="5"/>
        <v>15</v>
      </c>
      <c r="H105" s="30"/>
      <c r="I105" s="1"/>
      <c r="J105" s="8"/>
      <c r="K105" s="8"/>
      <c r="L105" s="8"/>
      <c r="M105" s="8"/>
      <c r="N105" s="8"/>
      <c r="O105" s="9"/>
      <c r="P105" s="3"/>
      <c r="Q105" s="8"/>
    </row>
    <row r="106" spans="1:17" x14ac:dyDescent="0.3">
      <c r="A106" s="82"/>
      <c r="B106" s="97">
        <v>105</v>
      </c>
      <c r="C106" s="29"/>
      <c r="D106" s="30" t="s">
        <v>146</v>
      </c>
      <c r="E106" s="31">
        <v>41263</v>
      </c>
      <c r="F106" s="30">
        <v>4412219</v>
      </c>
      <c r="G106" s="30">
        <f t="shared" ca="1" si="5"/>
        <v>14</v>
      </c>
      <c r="H106" s="30"/>
      <c r="I106" s="1"/>
      <c r="J106" s="8"/>
      <c r="K106" s="8"/>
      <c r="L106" s="8"/>
      <c r="M106" s="8"/>
      <c r="N106" s="8"/>
      <c r="O106" s="9"/>
      <c r="P106" s="3"/>
      <c r="Q106" s="8"/>
    </row>
    <row r="107" spans="1:17" x14ac:dyDescent="0.3">
      <c r="A107" s="82"/>
      <c r="B107" s="97">
        <v>106</v>
      </c>
      <c r="C107" s="29"/>
      <c r="D107" s="30" t="s">
        <v>147</v>
      </c>
      <c r="E107" s="31">
        <v>42787</v>
      </c>
      <c r="F107" s="30">
        <v>3412615</v>
      </c>
      <c r="G107" s="30">
        <f t="shared" ca="1" si="5"/>
        <v>9</v>
      </c>
      <c r="H107" s="30"/>
      <c r="I107" s="1"/>
      <c r="J107" s="8"/>
      <c r="K107" s="8"/>
      <c r="L107" s="8"/>
      <c r="M107" s="8"/>
      <c r="N107" s="8"/>
      <c r="O107" s="9"/>
      <c r="P107" s="3"/>
      <c r="Q107" s="8"/>
    </row>
    <row r="108" spans="1:17" x14ac:dyDescent="0.3">
      <c r="A108" s="86"/>
      <c r="B108" s="97">
        <v>107</v>
      </c>
      <c r="C108" s="20">
        <v>44317</v>
      </c>
      <c r="D108" s="18" t="s">
        <v>148</v>
      </c>
      <c r="E108" s="18"/>
      <c r="F108" s="18"/>
      <c r="G108" s="18">
        <f t="shared" ca="1" si="5"/>
        <v>126</v>
      </c>
      <c r="H108" s="18"/>
      <c r="I108" s="1"/>
      <c r="J108" s="8"/>
      <c r="K108" s="8"/>
      <c r="L108" s="8"/>
      <c r="M108" s="8"/>
      <c r="N108" s="8"/>
      <c r="O108" s="9"/>
      <c r="P108" s="3"/>
      <c r="Q108" s="8"/>
    </row>
    <row r="109" spans="1:17" x14ac:dyDescent="0.3">
      <c r="A109" s="86"/>
      <c r="B109" s="97">
        <v>108</v>
      </c>
      <c r="C109" s="17"/>
      <c r="D109" s="18" t="s">
        <v>149</v>
      </c>
      <c r="E109" s="19">
        <v>29395</v>
      </c>
      <c r="F109" s="18">
        <v>2523017</v>
      </c>
      <c r="G109" s="18">
        <f t="shared" ca="1" si="5"/>
        <v>46</v>
      </c>
      <c r="H109" s="18"/>
      <c r="I109" s="1"/>
      <c r="J109" s="8"/>
      <c r="K109" s="8"/>
      <c r="L109" s="8"/>
      <c r="M109" s="8"/>
      <c r="N109" s="8"/>
      <c r="O109" s="9"/>
      <c r="P109" s="3"/>
      <c r="Q109" s="8"/>
    </row>
    <row r="110" spans="1:17" x14ac:dyDescent="0.3">
      <c r="A110" s="86"/>
      <c r="B110" s="97">
        <v>109</v>
      </c>
      <c r="C110" s="17"/>
      <c r="D110" s="18" t="s">
        <v>150</v>
      </c>
      <c r="E110" s="18"/>
      <c r="F110" s="18"/>
      <c r="G110" s="18">
        <f t="shared" ca="1" si="5"/>
        <v>126</v>
      </c>
      <c r="H110" s="18"/>
      <c r="I110" s="1"/>
      <c r="J110" s="8"/>
      <c r="K110" s="8"/>
      <c r="L110" s="8"/>
      <c r="M110" s="8"/>
      <c r="N110" s="8"/>
      <c r="O110" s="9"/>
      <c r="P110" s="3"/>
      <c r="Q110" s="8"/>
    </row>
    <row r="111" spans="1:17" x14ac:dyDescent="0.3">
      <c r="A111" s="86"/>
      <c r="B111" s="97">
        <v>110</v>
      </c>
      <c r="C111" s="17"/>
      <c r="D111" s="18" t="s">
        <v>151</v>
      </c>
      <c r="E111" s="18"/>
      <c r="F111" s="18"/>
      <c r="G111" s="18">
        <f t="shared" ca="1" si="5"/>
        <v>126</v>
      </c>
      <c r="H111" s="18"/>
      <c r="I111" s="1"/>
      <c r="J111" s="8"/>
      <c r="K111" s="8"/>
      <c r="L111" s="8"/>
      <c r="M111" s="8"/>
      <c r="N111" s="8"/>
      <c r="O111" s="9"/>
      <c r="P111" s="3"/>
      <c r="Q111" s="8"/>
    </row>
    <row r="112" spans="1:17" x14ac:dyDescent="0.3">
      <c r="A112" s="86"/>
      <c r="B112" s="97">
        <v>111</v>
      </c>
      <c r="C112" s="17"/>
      <c r="D112" s="18" t="s">
        <v>152</v>
      </c>
      <c r="E112" s="19">
        <v>43507</v>
      </c>
      <c r="F112" s="18">
        <v>4412415</v>
      </c>
      <c r="G112" s="18">
        <f t="shared" ca="1" si="5"/>
        <v>7</v>
      </c>
      <c r="H112" s="18"/>
      <c r="I112" s="1"/>
      <c r="J112" s="8"/>
      <c r="K112" s="8"/>
      <c r="L112" s="8"/>
      <c r="M112" s="8"/>
      <c r="N112" s="8"/>
      <c r="O112" s="9"/>
      <c r="P112" s="3"/>
      <c r="Q112" s="8"/>
    </row>
    <row r="113" spans="1:17" x14ac:dyDescent="0.3">
      <c r="A113" s="84"/>
      <c r="B113" s="97">
        <v>112</v>
      </c>
      <c r="C113" s="43"/>
      <c r="D113" s="27" t="s">
        <v>30</v>
      </c>
      <c r="E113" s="28">
        <v>28591</v>
      </c>
      <c r="F113" s="27">
        <v>1804712</v>
      </c>
      <c r="G113" s="27">
        <f t="shared" ca="1" si="5"/>
        <v>48</v>
      </c>
      <c r="H113" s="27"/>
      <c r="I113" s="1"/>
      <c r="J113" s="8"/>
      <c r="K113" s="8"/>
      <c r="L113" s="8"/>
      <c r="M113" s="8"/>
      <c r="N113" s="8"/>
      <c r="O113" s="9"/>
      <c r="P113" s="3"/>
      <c r="Q113" s="8"/>
    </row>
    <row r="114" spans="1:17" x14ac:dyDescent="0.3">
      <c r="A114" s="84"/>
      <c r="B114" s="97">
        <v>113</v>
      </c>
      <c r="C114" s="43">
        <v>44322</v>
      </c>
      <c r="D114" s="27" t="s">
        <v>153</v>
      </c>
      <c r="E114" s="28">
        <v>30284</v>
      </c>
      <c r="F114" s="27">
        <v>2860414</v>
      </c>
      <c r="G114" s="27">
        <f t="shared" ca="1" si="5"/>
        <v>44</v>
      </c>
      <c r="H114" s="27"/>
      <c r="I114" s="1" t="s">
        <v>154</v>
      </c>
      <c r="J114" s="8"/>
      <c r="K114" s="8"/>
      <c r="L114" s="8"/>
      <c r="M114" s="8"/>
      <c r="N114" s="8"/>
      <c r="O114" s="9"/>
      <c r="P114" s="3"/>
      <c r="Q114" s="8"/>
    </row>
    <row r="115" spans="1:17" x14ac:dyDescent="0.3">
      <c r="A115" s="84"/>
      <c r="B115" s="97">
        <v>114</v>
      </c>
      <c r="C115" s="26"/>
      <c r="D115" s="27" t="s">
        <v>155</v>
      </c>
      <c r="E115" s="28">
        <v>40885</v>
      </c>
      <c r="F115" s="27">
        <v>4475917</v>
      </c>
      <c r="G115" s="27">
        <f t="shared" ca="1" si="5"/>
        <v>15</v>
      </c>
      <c r="H115" s="27"/>
      <c r="I115" s="1"/>
      <c r="J115" s="8"/>
      <c r="K115" s="8"/>
      <c r="L115" s="8"/>
      <c r="M115" s="8"/>
      <c r="N115" s="8"/>
      <c r="O115" s="9"/>
      <c r="P115" s="3"/>
      <c r="Q115" s="8"/>
    </row>
    <row r="116" spans="1:17" x14ac:dyDescent="0.3">
      <c r="A116" s="84"/>
      <c r="B116" s="97">
        <v>115</v>
      </c>
      <c r="C116" s="26"/>
      <c r="D116" s="27" t="s">
        <v>156</v>
      </c>
      <c r="E116" s="28">
        <v>41544</v>
      </c>
      <c r="F116" s="27">
        <v>3476037</v>
      </c>
      <c r="G116" s="27">
        <f t="shared" ca="1" si="5"/>
        <v>13</v>
      </c>
      <c r="H116" s="27"/>
      <c r="I116" s="1"/>
      <c r="J116" s="8"/>
      <c r="K116" s="8"/>
      <c r="L116" s="8"/>
      <c r="M116" s="8"/>
      <c r="N116" s="8"/>
      <c r="O116" s="9"/>
      <c r="P116" s="3"/>
      <c r="Q116" s="8"/>
    </row>
    <row r="117" spans="1:17" x14ac:dyDescent="0.3">
      <c r="A117" s="88"/>
      <c r="B117" s="97">
        <v>116</v>
      </c>
      <c r="C117" s="60">
        <v>44687</v>
      </c>
      <c r="D117" s="1" t="s">
        <v>157</v>
      </c>
      <c r="E117" s="2">
        <v>24299</v>
      </c>
      <c r="F117" s="1">
        <v>1226417</v>
      </c>
      <c r="G117" s="1">
        <f t="shared" ca="1" si="5"/>
        <v>60</v>
      </c>
      <c r="H117" s="1"/>
      <c r="I117" s="1"/>
      <c r="J117" s="8"/>
      <c r="K117" s="8"/>
      <c r="L117" s="8"/>
      <c r="M117" s="8"/>
      <c r="N117" s="8"/>
      <c r="O117" s="9"/>
      <c r="P117" s="3"/>
      <c r="Q117" s="8"/>
    </row>
    <row r="118" spans="1:17" x14ac:dyDescent="0.3">
      <c r="A118" s="88"/>
      <c r="B118" s="97">
        <v>117</v>
      </c>
      <c r="C118" s="60">
        <v>44687</v>
      </c>
      <c r="D118" s="1" t="s">
        <v>158</v>
      </c>
      <c r="E118" s="2">
        <v>26444</v>
      </c>
      <c r="F118" s="1">
        <v>2475810</v>
      </c>
      <c r="G118" s="1">
        <f t="shared" ca="1" si="5"/>
        <v>54</v>
      </c>
      <c r="H118" s="1"/>
      <c r="I118" s="1"/>
      <c r="J118" s="8"/>
      <c r="K118" s="8"/>
      <c r="L118" s="8"/>
      <c r="M118" s="8"/>
      <c r="N118" s="8"/>
      <c r="O118" s="9"/>
      <c r="P118" s="3"/>
      <c r="Q118" s="8"/>
    </row>
    <row r="119" spans="1:17" x14ac:dyDescent="0.3">
      <c r="A119" s="88"/>
      <c r="B119" s="97">
        <v>118</v>
      </c>
      <c r="C119" s="8"/>
      <c r="D119" s="1" t="s">
        <v>159</v>
      </c>
      <c r="E119" s="2">
        <v>36832</v>
      </c>
      <c r="F119" s="1">
        <v>3179819</v>
      </c>
      <c r="G119" s="1">
        <f t="shared" ca="1" si="5"/>
        <v>26</v>
      </c>
      <c r="H119" s="1"/>
      <c r="I119" s="1"/>
      <c r="J119" s="8"/>
      <c r="K119" s="8"/>
      <c r="L119" s="8"/>
      <c r="M119" s="8"/>
      <c r="N119" s="8"/>
      <c r="O119" s="9"/>
      <c r="P119" s="3"/>
      <c r="Q119" s="8"/>
    </row>
    <row r="120" spans="1:17" x14ac:dyDescent="0.3">
      <c r="A120" s="88"/>
      <c r="B120" s="97">
        <v>119</v>
      </c>
      <c r="C120" s="8"/>
      <c r="D120" s="1" t="s">
        <v>160</v>
      </c>
      <c r="E120" s="2">
        <v>37434</v>
      </c>
      <c r="F120" s="1">
        <v>3213121</v>
      </c>
      <c r="G120" s="1">
        <f t="shared" ca="1" si="5"/>
        <v>24</v>
      </c>
      <c r="H120" s="1"/>
      <c r="I120" s="1"/>
      <c r="J120" s="8"/>
      <c r="K120" s="8"/>
      <c r="L120" s="8"/>
      <c r="M120" s="8"/>
      <c r="N120" s="8"/>
      <c r="O120" s="9"/>
      <c r="P120" s="3"/>
      <c r="Q120" s="8"/>
    </row>
    <row r="121" spans="1:17" ht="17.25" customHeight="1" x14ac:dyDescent="0.3">
      <c r="A121" s="85"/>
      <c r="B121" s="97">
        <v>120</v>
      </c>
      <c r="C121" s="38">
        <v>44326</v>
      </c>
      <c r="D121" s="36" t="s">
        <v>161</v>
      </c>
      <c r="E121" s="37">
        <v>24046</v>
      </c>
      <c r="F121" s="36">
        <v>1155412</v>
      </c>
      <c r="G121" s="36">
        <f t="shared" ca="1" si="5"/>
        <v>61</v>
      </c>
      <c r="H121" s="36"/>
      <c r="I121" s="1"/>
      <c r="J121" s="8"/>
      <c r="K121" s="8"/>
      <c r="L121" s="8"/>
      <c r="M121" s="8"/>
      <c r="N121" s="8"/>
      <c r="O121" s="9"/>
      <c r="P121" s="3"/>
      <c r="Q121" s="8"/>
    </row>
    <row r="122" spans="1:17" ht="17.25" customHeight="1" x14ac:dyDescent="0.3">
      <c r="A122" s="77"/>
      <c r="B122" s="97">
        <v>121</v>
      </c>
      <c r="C122" s="24">
        <v>44326</v>
      </c>
      <c r="D122" s="22" t="s">
        <v>162</v>
      </c>
      <c r="E122" s="25">
        <v>28357</v>
      </c>
      <c r="F122" s="22">
        <v>1478012</v>
      </c>
      <c r="G122" s="22">
        <f t="shared" ca="1" si="5"/>
        <v>49</v>
      </c>
      <c r="H122" s="22"/>
      <c r="I122" s="1"/>
      <c r="J122" s="8"/>
      <c r="K122" s="8"/>
      <c r="L122" s="8"/>
      <c r="M122" s="8"/>
      <c r="N122" s="8"/>
      <c r="O122" s="9"/>
      <c r="P122" s="3"/>
      <c r="Q122" s="8"/>
    </row>
    <row r="123" spans="1:17" x14ac:dyDescent="0.3">
      <c r="A123" s="87"/>
      <c r="B123" s="97">
        <v>122</v>
      </c>
      <c r="C123" s="39"/>
      <c r="D123" s="40" t="s">
        <v>163</v>
      </c>
      <c r="E123" s="41">
        <v>29175</v>
      </c>
      <c r="F123" s="40">
        <v>2182521</v>
      </c>
      <c r="G123" s="40">
        <f t="shared" ca="1" si="5"/>
        <v>47</v>
      </c>
      <c r="H123" s="40"/>
      <c r="I123" s="1"/>
      <c r="J123" s="8"/>
      <c r="K123" s="8"/>
      <c r="L123" s="8"/>
      <c r="M123" s="8"/>
      <c r="N123" s="8"/>
      <c r="O123" s="9"/>
      <c r="P123" s="3"/>
      <c r="Q123" s="8"/>
    </row>
    <row r="124" spans="1:17" x14ac:dyDescent="0.3">
      <c r="A124" s="87"/>
      <c r="B124" s="97">
        <v>123</v>
      </c>
      <c r="C124" s="39"/>
      <c r="D124" s="40" t="s">
        <v>164</v>
      </c>
      <c r="E124" s="41">
        <v>39062</v>
      </c>
      <c r="F124" s="40">
        <v>4216011</v>
      </c>
      <c r="G124" s="40">
        <f t="shared" ca="1" si="5"/>
        <v>20</v>
      </c>
      <c r="H124" s="40"/>
      <c r="I124" s="1"/>
      <c r="J124" s="8"/>
      <c r="K124" s="8"/>
      <c r="L124" s="8"/>
      <c r="M124" s="8"/>
      <c r="N124" s="8"/>
      <c r="O124" s="9"/>
      <c r="P124" s="3"/>
      <c r="Q124" s="8"/>
    </row>
    <row r="125" spans="1:17" x14ac:dyDescent="0.3">
      <c r="A125" s="87"/>
      <c r="B125" s="97">
        <v>124</v>
      </c>
      <c r="C125" s="39"/>
      <c r="D125" s="40" t="s">
        <v>165</v>
      </c>
      <c r="E125" s="41">
        <v>39664</v>
      </c>
      <c r="F125" s="40">
        <v>4216019</v>
      </c>
      <c r="G125" s="40">
        <f t="shared" ca="1" si="5"/>
        <v>18</v>
      </c>
      <c r="H125" s="40"/>
      <c r="I125" s="1"/>
      <c r="J125" s="8"/>
      <c r="K125" s="8"/>
      <c r="L125" s="8"/>
      <c r="M125" s="8"/>
      <c r="N125" s="8"/>
      <c r="O125" s="9"/>
      <c r="P125" s="3"/>
      <c r="Q125" s="8"/>
    </row>
    <row r="126" spans="1:17" x14ac:dyDescent="0.3">
      <c r="A126" s="88"/>
      <c r="B126" s="97">
        <v>125</v>
      </c>
      <c r="C126" s="8"/>
      <c r="D126" s="1" t="s">
        <v>166</v>
      </c>
      <c r="E126" s="2">
        <v>29367</v>
      </c>
      <c r="F126" s="1">
        <v>2670312</v>
      </c>
      <c r="G126" s="1">
        <f t="shared" ca="1" si="5"/>
        <v>46</v>
      </c>
      <c r="H126" s="1"/>
      <c r="I126" s="1"/>
      <c r="J126" s="8"/>
      <c r="K126" s="8"/>
      <c r="L126" s="8"/>
      <c r="M126" s="8"/>
      <c r="N126" s="8"/>
      <c r="O126" s="9"/>
      <c r="P126" s="3"/>
      <c r="Q126" s="8"/>
    </row>
    <row r="127" spans="1:17" x14ac:dyDescent="0.3">
      <c r="A127" s="88"/>
      <c r="B127" s="97">
        <v>126</v>
      </c>
      <c r="C127" s="60">
        <v>44692</v>
      </c>
      <c r="D127" s="1" t="s">
        <v>167</v>
      </c>
      <c r="E127" s="2">
        <v>29146</v>
      </c>
      <c r="F127" s="1">
        <v>1011129</v>
      </c>
      <c r="G127" s="1">
        <f t="shared" ca="1" si="5"/>
        <v>47</v>
      </c>
      <c r="H127" s="1"/>
      <c r="I127" s="1"/>
      <c r="J127" s="8"/>
      <c r="K127" s="8"/>
      <c r="L127" s="8"/>
      <c r="M127" s="8"/>
      <c r="N127" s="8"/>
      <c r="O127" s="9"/>
      <c r="P127" s="3"/>
      <c r="Q127" s="8"/>
    </row>
    <row r="128" spans="1:17" x14ac:dyDescent="0.3">
      <c r="A128" s="88"/>
      <c r="B128" s="97">
        <v>127</v>
      </c>
      <c r="C128" s="60">
        <v>44692</v>
      </c>
      <c r="D128" s="1" t="s">
        <v>168</v>
      </c>
      <c r="E128" s="2">
        <v>29699</v>
      </c>
      <c r="F128" s="1">
        <v>1790212</v>
      </c>
      <c r="G128" s="1">
        <f ca="1">YEAR(TODAY())-YEAR(E128)</f>
        <v>45</v>
      </c>
      <c r="H128" s="1"/>
      <c r="I128" s="1"/>
      <c r="J128" s="8"/>
      <c r="K128" s="8"/>
      <c r="L128" s="8"/>
      <c r="M128" s="8"/>
      <c r="N128" s="8"/>
      <c r="O128" s="9"/>
      <c r="P128" s="3"/>
      <c r="Q128" s="8"/>
    </row>
    <row r="129" spans="1:17" x14ac:dyDescent="0.3">
      <c r="A129" s="88"/>
      <c r="B129" s="97">
        <v>128</v>
      </c>
      <c r="C129" s="8" t="s">
        <v>169</v>
      </c>
      <c r="D129" s="1" t="s">
        <v>170</v>
      </c>
      <c r="E129" s="2">
        <v>29743</v>
      </c>
      <c r="F129" s="1">
        <v>2682618</v>
      </c>
      <c r="G129" s="1">
        <f ca="1">YEAR(TODAY())-YEAR(E129)</f>
        <v>45</v>
      </c>
      <c r="H129" s="1"/>
      <c r="I129" s="1"/>
      <c r="J129" s="8"/>
      <c r="K129" s="8"/>
      <c r="L129" s="8"/>
      <c r="M129" s="8"/>
      <c r="N129" s="8"/>
      <c r="O129" s="9"/>
      <c r="P129" s="3"/>
      <c r="Q129" s="8"/>
    </row>
    <row r="130" spans="1:17" x14ac:dyDescent="0.3">
      <c r="A130" s="88"/>
      <c r="B130" s="97">
        <v>129</v>
      </c>
      <c r="C130" s="8"/>
      <c r="D130" s="1" t="s">
        <v>171</v>
      </c>
      <c r="E130" s="2">
        <v>40203</v>
      </c>
      <c r="F130" s="1">
        <v>3476221</v>
      </c>
      <c r="G130" s="1">
        <f ca="1">YEAR(TODAY())-YEAR(E130)</f>
        <v>16</v>
      </c>
      <c r="H130" s="1"/>
      <c r="I130" s="1"/>
      <c r="J130" s="8"/>
      <c r="K130" s="8"/>
      <c r="L130" s="8"/>
      <c r="M130" s="8"/>
      <c r="N130" s="8"/>
      <c r="O130" s="9"/>
      <c r="P130" s="3"/>
      <c r="Q130" s="8"/>
    </row>
    <row r="131" spans="1:17" x14ac:dyDescent="0.3">
      <c r="A131" s="88"/>
      <c r="B131" s="97">
        <v>130</v>
      </c>
      <c r="C131" s="8"/>
      <c r="D131" s="1" t="s">
        <v>172</v>
      </c>
      <c r="E131" s="2">
        <v>40630</v>
      </c>
      <c r="F131" s="1">
        <v>3476215</v>
      </c>
      <c r="G131" s="1">
        <f ca="1">YEAR(TODAY())-YEAR(E131)</f>
        <v>15</v>
      </c>
      <c r="H131" s="1"/>
      <c r="I131" s="1"/>
      <c r="J131" s="8"/>
      <c r="K131" s="8"/>
      <c r="L131" s="8"/>
      <c r="M131" s="8"/>
      <c r="N131" s="8"/>
      <c r="O131" s="9"/>
      <c r="P131" s="3"/>
      <c r="Q131" s="8"/>
    </row>
    <row r="132" spans="1:17" x14ac:dyDescent="0.3">
      <c r="A132" s="88"/>
      <c r="B132" s="97">
        <v>131</v>
      </c>
      <c r="C132" s="8"/>
      <c r="D132" s="1" t="s">
        <v>173</v>
      </c>
      <c r="E132" s="2">
        <v>42076</v>
      </c>
      <c r="F132" s="1">
        <v>3768310</v>
      </c>
      <c r="G132" s="1">
        <f ca="1">YEAR(TODAY())-YEAR(E132)</f>
        <v>11</v>
      </c>
      <c r="H132" s="1"/>
      <c r="I132" s="1"/>
      <c r="J132" s="8"/>
      <c r="K132" s="8"/>
      <c r="L132" s="8"/>
      <c r="M132" s="8"/>
      <c r="N132" s="8"/>
      <c r="O132" s="9"/>
      <c r="P132" s="3"/>
      <c r="Q132" s="8"/>
    </row>
    <row r="133" spans="1:17" x14ac:dyDescent="0.3">
      <c r="A133" s="88"/>
      <c r="B133" s="97">
        <v>132</v>
      </c>
      <c r="C133" s="60">
        <v>44693</v>
      </c>
      <c r="D133" s="1" t="s">
        <v>174</v>
      </c>
      <c r="E133" s="2">
        <v>28521</v>
      </c>
      <c r="F133" s="1">
        <v>1822829</v>
      </c>
      <c r="G133" s="1">
        <f t="shared" ca="1" si="5"/>
        <v>48</v>
      </c>
      <c r="H133" s="1"/>
      <c r="I133" s="1" t="s">
        <v>175</v>
      </c>
      <c r="J133" s="8"/>
      <c r="K133" s="8"/>
      <c r="L133" s="8"/>
      <c r="M133" s="8"/>
      <c r="N133" s="8"/>
      <c r="O133" s="9"/>
      <c r="P133" s="3"/>
      <c r="Q133" s="8"/>
    </row>
    <row r="134" spans="1:17" x14ac:dyDescent="0.3">
      <c r="A134" s="88"/>
      <c r="B134" s="97">
        <v>133</v>
      </c>
      <c r="C134" s="8"/>
      <c r="D134" s="1" t="s">
        <v>176</v>
      </c>
      <c r="E134" s="2">
        <v>28323</v>
      </c>
      <c r="F134" s="1">
        <v>2822814</v>
      </c>
      <c r="G134" s="1">
        <f t="shared" ca="1" si="5"/>
        <v>49</v>
      </c>
      <c r="H134" s="1"/>
      <c r="I134" s="1"/>
      <c r="J134" s="8"/>
      <c r="K134" s="8"/>
      <c r="L134" s="8"/>
      <c r="M134" s="8"/>
      <c r="N134" s="8"/>
      <c r="O134" s="9"/>
      <c r="P134" s="3"/>
      <c r="Q134" s="8"/>
    </row>
    <row r="135" spans="1:17" x14ac:dyDescent="0.3">
      <c r="A135" s="88"/>
      <c r="B135" s="97">
        <v>134</v>
      </c>
      <c r="C135" s="8"/>
      <c r="D135" s="1" t="s">
        <v>177</v>
      </c>
      <c r="E135" s="2">
        <v>38789</v>
      </c>
      <c r="F135" s="1">
        <v>4861911</v>
      </c>
      <c r="G135" s="1">
        <f t="shared" ca="1" si="5"/>
        <v>20</v>
      </c>
      <c r="H135" s="1"/>
      <c r="I135" s="1"/>
      <c r="J135" s="8"/>
      <c r="K135" s="8"/>
      <c r="L135" s="8"/>
      <c r="M135" s="8"/>
      <c r="N135" s="8"/>
      <c r="O135" s="9"/>
      <c r="P135" s="3"/>
      <c r="Q135" s="8"/>
    </row>
    <row r="136" spans="1:17" x14ac:dyDescent="0.3">
      <c r="A136" s="88"/>
      <c r="B136" s="97">
        <v>135</v>
      </c>
      <c r="C136" s="8"/>
      <c r="D136" s="1" t="s">
        <v>178</v>
      </c>
      <c r="E136" s="2">
        <v>39448</v>
      </c>
      <c r="F136" s="1">
        <v>4861912</v>
      </c>
      <c r="G136" s="1">
        <f t="shared" ca="1" si="5"/>
        <v>18</v>
      </c>
      <c r="H136" s="1"/>
      <c r="I136" s="1"/>
      <c r="J136" s="8"/>
      <c r="K136" s="8"/>
      <c r="L136" s="8"/>
      <c r="M136" s="8"/>
      <c r="N136" s="8"/>
      <c r="O136" s="9"/>
      <c r="P136" s="3"/>
      <c r="Q136" s="8"/>
    </row>
    <row r="137" spans="1:17" x14ac:dyDescent="0.3">
      <c r="A137" s="85"/>
      <c r="B137" s="97">
        <v>136</v>
      </c>
      <c r="C137" s="38">
        <v>44331</v>
      </c>
      <c r="D137" s="36" t="s">
        <v>179</v>
      </c>
      <c r="E137" s="37">
        <v>27251</v>
      </c>
      <c r="F137" s="36">
        <v>1468525</v>
      </c>
      <c r="G137" s="36">
        <f ca="1">YEAR(TODAY())-YEAR(E137)</f>
        <v>52</v>
      </c>
      <c r="H137" s="36"/>
      <c r="I137" s="1"/>
      <c r="J137" s="8"/>
      <c r="K137" s="8"/>
      <c r="L137" s="8"/>
      <c r="M137" s="8"/>
      <c r="N137" s="8"/>
      <c r="O137" s="9"/>
      <c r="P137" s="3"/>
      <c r="Q137" s="8"/>
    </row>
    <row r="138" spans="1:17" x14ac:dyDescent="0.3">
      <c r="A138" s="85"/>
      <c r="B138" s="97">
        <v>137</v>
      </c>
      <c r="C138" s="35"/>
      <c r="D138" s="36" t="s">
        <v>180</v>
      </c>
      <c r="E138" s="37">
        <v>29803</v>
      </c>
      <c r="F138" s="36">
        <v>2411511</v>
      </c>
      <c r="G138" s="36">
        <f ca="1">YEAR(TODAY())-YEAR(E138)</f>
        <v>45</v>
      </c>
      <c r="H138" s="36"/>
      <c r="I138" s="1"/>
      <c r="J138" s="8"/>
      <c r="K138" s="8"/>
      <c r="L138" s="8"/>
      <c r="M138" s="8"/>
      <c r="N138" s="8"/>
      <c r="O138" s="9"/>
      <c r="P138" s="3"/>
      <c r="Q138" s="8"/>
    </row>
    <row r="139" spans="1:17" x14ac:dyDescent="0.3">
      <c r="A139" s="85"/>
      <c r="B139" s="97">
        <v>138</v>
      </c>
      <c r="C139" s="35"/>
      <c r="D139" s="36" t="s">
        <v>181</v>
      </c>
      <c r="E139" s="37">
        <v>40262</v>
      </c>
      <c r="F139" s="36">
        <v>3476014</v>
      </c>
      <c r="G139" s="36">
        <f ca="1">YEAR(TODAY())-YEAR(E139)</f>
        <v>16</v>
      </c>
      <c r="H139" s="36"/>
      <c r="I139" s="1"/>
      <c r="J139" s="8"/>
      <c r="K139" s="8"/>
      <c r="L139" s="8"/>
      <c r="M139" s="8"/>
      <c r="N139" s="8"/>
      <c r="O139" s="9"/>
      <c r="P139" s="3"/>
      <c r="Q139" s="8"/>
    </row>
    <row r="140" spans="1:17" x14ac:dyDescent="0.3">
      <c r="A140" s="85"/>
      <c r="B140" s="97">
        <v>139</v>
      </c>
      <c r="C140" s="35"/>
      <c r="D140" s="36" t="s">
        <v>182</v>
      </c>
      <c r="E140" s="37">
        <v>41338</v>
      </c>
      <c r="F140" s="36">
        <v>4476025</v>
      </c>
      <c r="G140" s="36">
        <f ca="1">YEAR(TODAY())-YEAR(E140)</f>
        <v>13</v>
      </c>
      <c r="H140" s="36"/>
      <c r="I140" s="1"/>
      <c r="J140" s="8"/>
      <c r="K140" s="8"/>
      <c r="L140" s="8"/>
      <c r="M140" s="8"/>
      <c r="N140" s="8"/>
      <c r="O140" s="9"/>
      <c r="P140" s="3"/>
      <c r="Q140" s="8"/>
    </row>
    <row r="141" spans="1:17" x14ac:dyDescent="0.3">
      <c r="A141" s="85"/>
      <c r="B141" s="97">
        <v>140</v>
      </c>
      <c r="C141" s="35"/>
      <c r="D141" s="36" t="s">
        <v>183</v>
      </c>
      <c r="E141" s="37">
        <v>24980</v>
      </c>
      <c r="F141" s="36">
        <v>4476025</v>
      </c>
      <c r="G141" s="36">
        <f ca="1">YEAR(TODAY())-YEAR(E141)</f>
        <v>58</v>
      </c>
      <c r="H141" s="36"/>
      <c r="I141" s="1"/>
      <c r="J141" s="8"/>
      <c r="K141" s="8"/>
      <c r="L141" s="8"/>
      <c r="M141" s="8"/>
      <c r="N141" s="8"/>
      <c r="O141" s="9"/>
      <c r="P141" s="3"/>
      <c r="Q141" s="8"/>
    </row>
    <row r="142" spans="1:17" ht="99" x14ac:dyDescent="0.3">
      <c r="A142" s="87"/>
      <c r="B142" s="97">
        <v>141</v>
      </c>
      <c r="C142" s="42"/>
      <c r="D142" s="40" t="s">
        <v>184</v>
      </c>
      <c r="E142" s="41">
        <v>28870</v>
      </c>
      <c r="F142" s="40">
        <v>2804315</v>
      </c>
      <c r="G142" s="54">
        <f t="shared" ref="G142:G166" ca="1" si="6">YEAR(TODAY())-YEAR(E142)</f>
        <v>47</v>
      </c>
      <c r="H142" s="54"/>
      <c r="I142" s="55"/>
      <c r="J142" s="8"/>
      <c r="K142" s="55" t="s">
        <v>185</v>
      </c>
      <c r="L142" s="1"/>
      <c r="M142" s="1"/>
      <c r="N142" s="1"/>
      <c r="O142" s="3"/>
      <c r="P142" s="3"/>
      <c r="Q142" s="1"/>
    </row>
    <row r="143" spans="1:17" x14ac:dyDescent="0.3">
      <c r="A143" s="87"/>
      <c r="B143" s="97">
        <v>142</v>
      </c>
      <c r="C143" s="42">
        <v>44338</v>
      </c>
      <c r="D143" s="40" t="s">
        <v>186</v>
      </c>
      <c r="E143" s="41">
        <v>28014</v>
      </c>
      <c r="F143" s="40">
        <v>1109410</v>
      </c>
      <c r="G143" s="40">
        <f t="shared" ca="1" si="6"/>
        <v>50</v>
      </c>
      <c r="H143" s="40"/>
      <c r="I143" s="1"/>
      <c r="J143" s="8"/>
      <c r="K143" s="1"/>
      <c r="L143" s="1"/>
      <c r="M143" s="1"/>
      <c r="N143" s="1"/>
      <c r="O143" s="3"/>
      <c r="P143" s="3"/>
      <c r="Q143" s="1"/>
    </row>
    <row r="144" spans="1:17" x14ac:dyDescent="0.3">
      <c r="A144" s="87"/>
      <c r="B144" s="97">
        <v>143</v>
      </c>
      <c r="C144" s="39"/>
      <c r="D144" s="40" t="s">
        <v>187</v>
      </c>
      <c r="E144" s="41">
        <v>39282</v>
      </c>
      <c r="F144" s="40">
        <v>3412512</v>
      </c>
      <c r="G144" s="40">
        <f t="shared" ca="1" si="6"/>
        <v>19</v>
      </c>
      <c r="H144" s="40"/>
      <c r="I144" s="1"/>
      <c r="J144" s="8"/>
      <c r="K144" s="1"/>
      <c r="L144" s="1"/>
      <c r="M144" s="1"/>
      <c r="N144" s="1"/>
      <c r="O144" s="3"/>
      <c r="P144" s="3"/>
      <c r="Q144" s="1"/>
    </row>
    <row r="145" spans="1:17" x14ac:dyDescent="0.3">
      <c r="A145" s="87"/>
      <c r="B145" s="97">
        <v>144</v>
      </c>
      <c r="C145" s="39"/>
      <c r="D145" s="40" t="s">
        <v>188</v>
      </c>
      <c r="E145" s="41">
        <v>41178</v>
      </c>
      <c r="F145" s="40">
        <v>4412527</v>
      </c>
      <c r="G145" s="40">
        <f t="shared" ca="1" si="6"/>
        <v>14</v>
      </c>
      <c r="H145" s="40"/>
      <c r="I145" s="1"/>
      <c r="J145" s="8"/>
      <c r="K145" s="1"/>
      <c r="L145" s="1"/>
      <c r="M145" s="1"/>
      <c r="N145" s="1"/>
      <c r="O145" s="3"/>
      <c r="P145" s="3"/>
      <c r="Q145" s="1"/>
    </row>
    <row r="146" spans="1:17" x14ac:dyDescent="0.3">
      <c r="A146" s="77"/>
      <c r="B146" s="97">
        <v>145</v>
      </c>
      <c r="C146" s="24">
        <v>44343</v>
      </c>
      <c r="D146" s="22" t="s">
        <v>189</v>
      </c>
      <c r="E146" s="25">
        <v>31376</v>
      </c>
      <c r="F146" s="22">
        <v>2053111</v>
      </c>
      <c r="G146" s="22">
        <f t="shared" ca="1" si="6"/>
        <v>41</v>
      </c>
      <c r="H146" s="22"/>
      <c r="I146" s="1"/>
      <c r="J146" s="8"/>
      <c r="K146" s="8"/>
      <c r="L146" s="8"/>
      <c r="M146" s="8"/>
      <c r="N146" s="8"/>
      <c r="O146" s="9"/>
      <c r="P146" s="3"/>
      <c r="Q146" s="8"/>
    </row>
    <row r="147" spans="1:17" x14ac:dyDescent="0.3">
      <c r="A147" s="77"/>
      <c r="B147" s="97">
        <v>146</v>
      </c>
      <c r="C147" s="24"/>
      <c r="D147" s="22" t="s">
        <v>190</v>
      </c>
      <c r="E147" s="25">
        <v>30654</v>
      </c>
      <c r="F147" s="22">
        <v>1122715</v>
      </c>
      <c r="G147" s="22">
        <f t="shared" ca="1" si="6"/>
        <v>43</v>
      </c>
      <c r="H147" s="22"/>
      <c r="I147" s="1"/>
      <c r="J147" s="8"/>
      <c r="K147" s="8"/>
      <c r="L147" s="8"/>
      <c r="M147" s="8"/>
      <c r="N147" s="8"/>
      <c r="O147" s="9"/>
      <c r="P147" s="3"/>
      <c r="Q147" s="8"/>
    </row>
    <row r="148" spans="1:17" x14ac:dyDescent="0.3">
      <c r="A148" s="77"/>
      <c r="B148" s="97">
        <v>147</v>
      </c>
      <c r="C148" s="21"/>
      <c r="D148" s="22" t="s">
        <v>191</v>
      </c>
      <c r="E148" s="25">
        <v>42850</v>
      </c>
      <c r="F148" s="22">
        <v>3047112</v>
      </c>
      <c r="G148" s="22">
        <f t="shared" ca="1" si="6"/>
        <v>9</v>
      </c>
      <c r="H148" s="22"/>
      <c r="I148" s="1"/>
      <c r="J148" s="8"/>
      <c r="K148" s="8"/>
      <c r="L148" s="8"/>
      <c r="M148" s="8"/>
      <c r="N148" s="8"/>
      <c r="O148" s="9"/>
      <c r="P148" s="3"/>
      <c r="Q148" s="8"/>
    </row>
    <row r="149" spans="1:17" x14ac:dyDescent="0.3">
      <c r="A149" s="84"/>
      <c r="B149" s="97">
        <v>148</v>
      </c>
      <c r="C149" s="26"/>
      <c r="D149" s="27" t="s">
        <v>192</v>
      </c>
      <c r="E149" s="28">
        <v>29496</v>
      </c>
      <c r="F149" s="27">
        <v>1457316</v>
      </c>
      <c r="G149" s="27">
        <f t="shared" ca="1" si="6"/>
        <v>46</v>
      </c>
      <c r="H149" s="27"/>
      <c r="I149" s="1"/>
      <c r="J149" s="8"/>
      <c r="K149" s="8"/>
      <c r="L149" s="8"/>
      <c r="M149" s="8"/>
      <c r="N149" s="8"/>
      <c r="O149" s="9"/>
      <c r="P149" s="3"/>
      <c r="Q149" s="8"/>
    </row>
    <row r="150" spans="1:17" x14ac:dyDescent="0.3">
      <c r="A150" s="84"/>
      <c r="B150" s="97">
        <v>149</v>
      </c>
      <c r="C150" s="43">
        <v>44347</v>
      </c>
      <c r="D150" s="27" t="s">
        <v>193</v>
      </c>
      <c r="E150" s="28">
        <v>30011</v>
      </c>
      <c r="F150" s="27">
        <v>2457213</v>
      </c>
      <c r="G150" s="27">
        <f t="shared" ca="1" si="6"/>
        <v>44</v>
      </c>
      <c r="H150" s="27"/>
      <c r="I150" s="1"/>
      <c r="J150" s="8"/>
      <c r="K150" s="8"/>
      <c r="L150" s="8"/>
      <c r="M150" s="8"/>
      <c r="N150" s="8"/>
      <c r="O150" s="9"/>
      <c r="P150" s="3"/>
      <c r="Q150" s="8"/>
    </row>
    <row r="151" spans="1:17" x14ac:dyDescent="0.3">
      <c r="A151" s="84"/>
      <c r="B151" s="97">
        <v>150</v>
      </c>
      <c r="C151" s="26"/>
      <c r="D151" s="27" t="s">
        <v>194</v>
      </c>
      <c r="E151" s="28">
        <v>40505</v>
      </c>
      <c r="F151" s="27">
        <v>4412017</v>
      </c>
      <c r="G151" s="27">
        <f t="shared" ca="1" si="6"/>
        <v>16</v>
      </c>
      <c r="H151" s="27"/>
      <c r="I151" s="1"/>
      <c r="J151" s="8"/>
      <c r="K151" s="8"/>
      <c r="L151" s="8"/>
      <c r="M151" s="8"/>
      <c r="N151" s="8"/>
      <c r="O151" s="9"/>
      <c r="P151" s="3"/>
      <c r="Q151" s="8"/>
    </row>
    <row r="152" spans="1:17" x14ac:dyDescent="0.3">
      <c r="A152" s="84"/>
      <c r="B152" s="97">
        <v>151</v>
      </c>
      <c r="C152" s="26"/>
      <c r="D152" s="27" t="s">
        <v>195</v>
      </c>
      <c r="E152" s="28">
        <v>42219</v>
      </c>
      <c r="F152" s="27">
        <v>4412016</v>
      </c>
      <c r="G152" s="27">
        <f t="shared" ca="1" si="6"/>
        <v>11</v>
      </c>
      <c r="H152" s="27"/>
      <c r="I152" s="1"/>
      <c r="J152" s="8"/>
      <c r="K152" s="8"/>
      <c r="L152" s="8"/>
      <c r="M152" s="8"/>
      <c r="N152" s="8"/>
      <c r="O152" s="9"/>
      <c r="P152" s="3"/>
      <c r="Q152" s="8"/>
    </row>
    <row r="153" spans="1:17" x14ac:dyDescent="0.3">
      <c r="A153" s="82"/>
      <c r="B153" s="97">
        <v>152</v>
      </c>
      <c r="C153" s="44">
        <v>44347</v>
      </c>
      <c r="D153" s="30" t="s">
        <v>106</v>
      </c>
      <c r="E153" s="31">
        <v>30625</v>
      </c>
      <c r="F153" s="30">
        <v>1852518</v>
      </c>
      <c r="G153" s="30">
        <f t="shared" ca="1" si="6"/>
        <v>43</v>
      </c>
      <c r="H153" s="30"/>
      <c r="I153" s="1"/>
      <c r="J153" s="8"/>
      <c r="K153" s="8"/>
      <c r="L153" s="8" t="s">
        <v>196</v>
      </c>
      <c r="M153" s="8"/>
      <c r="N153" s="8"/>
      <c r="O153" s="9"/>
      <c r="P153" s="3"/>
      <c r="Q153" s="8"/>
    </row>
    <row r="154" spans="1:17" x14ac:dyDescent="0.3">
      <c r="A154" s="82"/>
      <c r="B154" s="97">
        <v>153</v>
      </c>
      <c r="C154" s="29"/>
      <c r="D154" s="30" t="s">
        <v>197</v>
      </c>
      <c r="E154" s="31">
        <v>32114</v>
      </c>
      <c r="F154" s="30">
        <v>2114725</v>
      </c>
      <c r="G154" s="30">
        <f t="shared" ca="1" si="6"/>
        <v>39</v>
      </c>
      <c r="H154" s="30"/>
      <c r="I154" s="1"/>
      <c r="J154" s="8"/>
      <c r="K154" s="8"/>
      <c r="L154" s="8" t="s">
        <v>70</v>
      </c>
      <c r="M154" s="8"/>
      <c r="N154" s="8"/>
      <c r="O154" s="9"/>
      <c r="P154" s="3"/>
      <c r="Q154" s="8"/>
    </row>
    <row r="155" spans="1:17" x14ac:dyDescent="0.3">
      <c r="A155" s="82"/>
      <c r="B155" s="97">
        <v>154</v>
      </c>
      <c r="C155" s="29"/>
      <c r="D155" s="30" t="s">
        <v>198</v>
      </c>
      <c r="E155" s="31">
        <v>41590</v>
      </c>
      <c r="F155" s="30">
        <v>4853413</v>
      </c>
      <c r="G155" s="30">
        <f t="shared" ca="1" si="6"/>
        <v>13</v>
      </c>
      <c r="H155" s="30"/>
      <c r="I155" s="1"/>
      <c r="J155" s="8"/>
      <c r="K155" s="8"/>
      <c r="L155" s="8" t="s">
        <v>199</v>
      </c>
      <c r="M155" s="8"/>
      <c r="N155" s="8"/>
      <c r="O155" s="9"/>
      <c r="P155" s="3"/>
      <c r="Q155" s="8"/>
    </row>
    <row r="156" spans="1:17" x14ac:dyDescent="0.3">
      <c r="A156" s="82"/>
      <c r="B156" s="97">
        <v>155</v>
      </c>
      <c r="C156" s="29"/>
      <c r="D156" s="30" t="s">
        <v>200</v>
      </c>
      <c r="E156" s="31">
        <v>42241</v>
      </c>
      <c r="F156" s="30">
        <v>4853421</v>
      </c>
      <c r="G156" s="30">
        <f t="shared" ca="1" si="6"/>
        <v>11</v>
      </c>
      <c r="H156" s="30"/>
      <c r="I156" s="1"/>
      <c r="J156" s="8"/>
      <c r="K156" s="8"/>
      <c r="L156" s="8" t="s">
        <v>61</v>
      </c>
      <c r="M156" s="8"/>
      <c r="N156" s="8"/>
      <c r="O156" s="9"/>
      <c r="P156" s="3"/>
      <c r="Q156" s="8"/>
    </row>
    <row r="157" spans="1:17" x14ac:dyDescent="0.3">
      <c r="A157" s="88"/>
      <c r="B157" s="97">
        <v>156</v>
      </c>
      <c r="C157" s="60">
        <v>44715</v>
      </c>
      <c r="D157" s="1" t="s">
        <v>201</v>
      </c>
      <c r="E157" s="2">
        <v>21148</v>
      </c>
      <c r="F157" s="1">
        <v>2655818</v>
      </c>
      <c r="G157" s="1">
        <f t="shared" ca="1" si="6"/>
        <v>69</v>
      </c>
      <c r="H157" s="1"/>
      <c r="I157" s="1" t="s">
        <v>202</v>
      </c>
      <c r="J157" s="8"/>
      <c r="K157" s="8"/>
      <c r="L157" s="8"/>
      <c r="M157" s="8"/>
      <c r="N157" s="8"/>
      <c r="O157" s="9"/>
      <c r="P157" s="3"/>
      <c r="Q157" s="8"/>
    </row>
    <row r="158" spans="1:17" x14ac:dyDescent="0.3">
      <c r="A158" s="77"/>
      <c r="B158" s="97">
        <v>157</v>
      </c>
      <c r="C158" s="24">
        <v>44351</v>
      </c>
      <c r="D158" s="22" t="s">
        <v>203</v>
      </c>
      <c r="E158" s="25">
        <v>28731</v>
      </c>
      <c r="F158" s="22">
        <v>1124017</v>
      </c>
      <c r="G158" s="22">
        <f t="shared" ca="1" si="6"/>
        <v>48</v>
      </c>
      <c r="H158" s="22"/>
      <c r="I158" s="1"/>
      <c r="J158" s="8"/>
      <c r="K158" s="8"/>
      <c r="L158" s="8"/>
      <c r="M158" s="8"/>
      <c r="N158" s="8"/>
      <c r="O158" s="9"/>
      <c r="P158" s="3"/>
      <c r="Q158" s="8"/>
    </row>
    <row r="159" spans="1:17" x14ac:dyDescent="0.3">
      <c r="A159" s="88"/>
      <c r="B159" s="97">
        <v>158</v>
      </c>
      <c r="C159" s="60">
        <v>44737</v>
      </c>
      <c r="D159" s="1" t="s">
        <v>204</v>
      </c>
      <c r="E159" s="2">
        <v>29397</v>
      </c>
      <c r="F159" s="1">
        <v>1127110</v>
      </c>
      <c r="G159" s="1">
        <f t="shared" ca="1" si="6"/>
        <v>46</v>
      </c>
      <c r="H159" s="1"/>
      <c r="I159" s="1"/>
      <c r="J159" s="8"/>
      <c r="K159" s="8"/>
      <c r="L159" s="8"/>
      <c r="M159" s="8"/>
      <c r="N159" s="8"/>
      <c r="O159" s="9"/>
      <c r="P159" s="3"/>
      <c r="Q159" s="8"/>
    </row>
    <row r="160" spans="1:17" x14ac:dyDescent="0.3">
      <c r="A160" s="88"/>
      <c r="B160" s="97">
        <v>159</v>
      </c>
      <c r="C160" s="8"/>
      <c r="D160" s="1" t="s">
        <v>205</v>
      </c>
      <c r="E160" s="2">
        <v>29511</v>
      </c>
      <c r="F160" s="1">
        <v>2114717</v>
      </c>
      <c r="G160" s="1">
        <f t="shared" ca="1" si="6"/>
        <v>46</v>
      </c>
      <c r="H160" s="1"/>
      <c r="I160" s="1"/>
      <c r="J160" s="8"/>
      <c r="K160" s="8"/>
      <c r="L160" s="8"/>
      <c r="M160" s="8"/>
      <c r="N160" s="8"/>
      <c r="O160" s="9"/>
      <c r="P160" s="3"/>
      <c r="Q160" s="8"/>
    </row>
    <row r="161" spans="1:17" x14ac:dyDescent="0.3">
      <c r="A161" s="88"/>
      <c r="B161" s="97">
        <v>160</v>
      </c>
      <c r="C161" s="8"/>
      <c r="D161" s="1" t="s">
        <v>206</v>
      </c>
      <c r="E161" s="2">
        <v>40518</v>
      </c>
      <c r="F161" s="1">
        <v>3903116</v>
      </c>
      <c r="G161" s="1">
        <f t="shared" ca="1" si="6"/>
        <v>16</v>
      </c>
      <c r="H161" s="1"/>
      <c r="I161" s="1"/>
      <c r="J161" s="8"/>
      <c r="K161" s="8"/>
      <c r="L161" s="8"/>
      <c r="M161" s="8"/>
      <c r="N161" s="8"/>
      <c r="O161" s="9"/>
      <c r="P161" s="3"/>
      <c r="Q161" s="8"/>
    </row>
    <row r="162" spans="1:17" x14ac:dyDescent="0.3">
      <c r="A162" s="88"/>
      <c r="B162" s="97">
        <v>161</v>
      </c>
      <c r="C162" s="8"/>
      <c r="D162" s="1" t="s">
        <v>207</v>
      </c>
      <c r="E162" s="2">
        <v>40518</v>
      </c>
      <c r="F162" s="1">
        <v>4903119</v>
      </c>
      <c r="G162" s="1">
        <f t="shared" ca="1" si="6"/>
        <v>16</v>
      </c>
      <c r="H162" s="1"/>
      <c r="I162" s="1"/>
      <c r="J162" s="8"/>
      <c r="K162" s="8"/>
      <c r="L162" s="8"/>
      <c r="M162" s="8"/>
      <c r="N162" s="8"/>
      <c r="O162" s="9"/>
      <c r="P162" s="3"/>
      <c r="Q162" s="8"/>
    </row>
    <row r="163" spans="1:17" x14ac:dyDescent="0.3">
      <c r="A163" s="77"/>
      <c r="B163" s="97">
        <v>162</v>
      </c>
      <c r="C163" s="24">
        <v>44375</v>
      </c>
      <c r="D163" s="22" t="s">
        <v>208</v>
      </c>
      <c r="E163" s="25">
        <v>28816</v>
      </c>
      <c r="F163" s="22">
        <v>2102027</v>
      </c>
      <c r="G163" s="22">
        <f t="shared" ca="1" si="6"/>
        <v>48</v>
      </c>
      <c r="H163" s="22"/>
      <c r="I163" s="1"/>
      <c r="J163" s="8"/>
      <c r="K163" s="8"/>
      <c r="L163" s="8"/>
      <c r="M163" s="8"/>
      <c r="N163" s="8"/>
      <c r="O163" s="9"/>
      <c r="P163" s="3"/>
      <c r="Q163" s="8"/>
    </row>
    <row r="164" spans="1:17" x14ac:dyDescent="0.3">
      <c r="A164" s="77"/>
      <c r="B164" s="97">
        <v>163</v>
      </c>
      <c r="C164" s="21"/>
      <c r="D164" s="22" t="s">
        <v>209</v>
      </c>
      <c r="E164" s="25">
        <v>40422</v>
      </c>
      <c r="F164" s="22">
        <v>3108613</v>
      </c>
      <c r="G164" s="22">
        <f t="shared" ca="1" si="6"/>
        <v>16</v>
      </c>
      <c r="H164" s="22"/>
      <c r="I164" s="1"/>
      <c r="J164" s="8"/>
      <c r="K164" s="8"/>
      <c r="L164" s="8"/>
      <c r="M164" s="8"/>
      <c r="N164" s="8"/>
      <c r="O164" s="9"/>
      <c r="P164" s="3"/>
      <c r="Q164" s="8"/>
    </row>
    <row r="165" spans="1:17" x14ac:dyDescent="0.3">
      <c r="A165" s="77"/>
      <c r="B165" s="97">
        <v>164</v>
      </c>
      <c r="C165" s="21"/>
      <c r="D165" s="22" t="s">
        <v>210</v>
      </c>
      <c r="E165" s="25">
        <v>40910</v>
      </c>
      <c r="F165" s="22">
        <v>4111421</v>
      </c>
      <c r="G165" s="22">
        <f t="shared" ca="1" si="6"/>
        <v>14</v>
      </c>
      <c r="H165" s="22"/>
      <c r="I165" s="1"/>
      <c r="J165" s="8"/>
      <c r="K165" s="8"/>
      <c r="L165" s="8"/>
      <c r="M165" s="8"/>
      <c r="N165" s="8"/>
      <c r="O165" s="9"/>
      <c r="P165" s="3"/>
      <c r="Q165" s="8"/>
    </row>
    <row r="166" spans="1:17" x14ac:dyDescent="0.3">
      <c r="A166" s="77"/>
      <c r="B166" s="97">
        <v>165</v>
      </c>
      <c r="C166" s="21"/>
      <c r="D166" s="22" t="s">
        <v>211</v>
      </c>
      <c r="E166" s="25">
        <v>27885</v>
      </c>
      <c r="F166" s="22">
        <v>1106117</v>
      </c>
      <c r="G166" s="22">
        <f t="shared" ca="1" si="6"/>
        <v>50</v>
      </c>
      <c r="H166" s="22"/>
      <c r="I166" s="1"/>
      <c r="J166" s="8" t="s">
        <v>90</v>
      </c>
      <c r="K166" s="8"/>
      <c r="L166" s="8"/>
      <c r="M166" s="8"/>
      <c r="N166" s="8"/>
      <c r="O166" s="9"/>
      <c r="P166" s="3"/>
      <c r="Q166" s="8"/>
    </row>
    <row r="167" spans="1:17" x14ac:dyDescent="0.3">
      <c r="A167" s="87"/>
      <c r="B167" s="97">
        <v>166</v>
      </c>
      <c r="C167" s="42">
        <v>44357</v>
      </c>
      <c r="D167" s="40" t="s">
        <v>212</v>
      </c>
      <c r="E167" s="41">
        <v>21353</v>
      </c>
      <c r="F167" s="40">
        <v>1079515</v>
      </c>
      <c r="G167" s="40">
        <f ca="1">YEAR(TODAY())-YEAR(E167)</f>
        <v>68</v>
      </c>
      <c r="H167" s="40"/>
      <c r="I167" s="1" t="s">
        <v>70</v>
      </c>
      <c r="J167" s="8"/>
      <c r="K167" s="8"/>
      <c r="L167" s="8"/>
      <c r="M167" s="8"/>
      <c r="N167" s="8"/>
      <c r="O167" s="9"/>
      <c r="P167" s="3"/>
      <c r="Q167" s="8"/>
    </row>
    <row r="168" spans="1:17" x14ac:dyDescent="0.3">
      <c r="A168" s="87"/>
      <c r="B168" s="97">
        <v>167</v>
      </c>
      <c r="C168" s="39"/>
      <c r="D168" s="40" t="s">
        <v>213</v>
      </c>
      <c r="E168" s="41">
        <v>24793</v>
      </c>
      <c r="F168" s="40">
        <v>2173425</v>
      </c>
      <c r="G168" s="40">
        <f ca="1">YEAR(TODAY())-YEAR(E168)</f>
        <v>59</v>
      </c>
      <c r="H168" s="40"/>
      <c r="I168" s="1"/>
      <c r="J168" s="8">
        <v>202006</v>
      </c>
      <c r="K168" s="8"/>
      <c r="L168" s="8"/>
      <c r="M168" s="8"/>
      <c r="N168" s="8"/>
      <c r="O168" s="9"/>
      <c r="P168" s="3"/>
      <c r="Q168" s="8"/>
    </row>
    <row r="169" spans="1:17" x14ac:dyDescent="0.3">
      <c r="A169" s="87"/>
      <c r="B169" s="97">
        <v>168</v>
      </c>
      <c r="C169" s="39"/>
      <c r="D169" s="40" t="s">
        <v>214</v>
      </c>
      <c r="E169" s="41">
        <v>33526</v>
      </c>
      <c r="F169" s="40">
        <v>2083211</v>
      </c>
      <c r="G169" s="40">
        <f ca="1">YEAR(TODAY())-YEAR(E169)</f>
        <v>35</v>
      </c>
      <c r="H169" s="40"/>
      <c r="I169" s="1"/>
      <c r="J169" s="8"/>
      <c r="K169" s="8"/>
      <c r="L169" s="8"/>
      <c r="M169" s="8"/>
      <c r="N169" s="8"/>
      <c r="O169" s="9"/>
      <c r="P169" s="3"/>
      <c r="Q169" s="8"/>
    </row>
    <row r="170" spans="1:17" x14ac:dyDescent="0.3">
      <c r="A170" s="87"/>
      <c r="B170" s="97">
        <v>169</v>
      </c>
      <c r="C170" s="39"/>
      <c r="D170" s="40" t="s">
        <v>215</v>
      </c>
      <c r="E170" s="41">
        <v>34295</v>
      </c>
      <c r="F170" s="40">
        <v>1083212</v>
      </c>
      <c r="G170" s="40">
        <f ca="1">YEAR(TODAY())-YEAR(E170)</f>
        <v>33</v>
      </c>
      <c r="H170" s="40"/>
      <c r="I170" s="1"/>
      <c r="J170" s="8"/>
      <c r="K170" s="8"/>
      <c r="L170" s="8"/>
      <c r="M170" s="8"/>
      <c r="N170" s="8"/>
      <c r="O170" s="9"/>
      <c r="P170" s="3"/>
      <c r="Q170" s="8"/>
    </row>
    <row r="171" spans="1:17" x14ac:dyDescent="0.3">
      <c r="A171" s="77"/>
      <c r="B171" s="97">
        <v>170</v>
      </c>
      <c r="C171" s="24">
        <v>44360</v>
      </c>
      <c r="D171" s="22" t="s">
        <v>216</v>
      </c>
      <c r="E171" s="25">
        <v>30591</v>
      </c>
      <c r="F171" s="22">
        <v>2451211</v>
      </c>
      <c r="G171" s="22">
        <f t="shared" ref="G171:G177" ca="1" si="7">YEAR(TODAY())-YEAR(E171)</f>
        <v>43</v>
      </c>
      <c r="H171" s="22"/>
      <c r="I171" s="1" t="s">
        <v>217</v>
      </c>
      <c r="J171" s="8"/>
      <c r="K171" s="8"/>
      <c r="L171" s="8"/>
      <c r="M171" s="8"/>
      <c r="N171" s="8"/>
      <c r="O171" s="9"/>
      <c r="P171" s="3"/>
      <c r="Q171" s="8"/>
    </row>
    <row r="172" spans="1:17" x14ac:dyDescent="0.3">
      <c r="A172" s="77"/>
      <c r="B172" s="97">
        <v>171</v>
      </c>
      <c r="C172" s="21"/>
      <c r="D172" s="22" t="s">
        <v>218</v>
      </c>
      <c r="E172" s="25">
        <v>29689</v>
      </c>
      <c r="F172" s="22">
        <v>1462415</v>
      </c>
      <c r="G172" s="22">
        <f t="shared" ca="1" si="7"/>
        <v>45</v>
      </c>
      <c r="H172" s="22"/>
      <c r="I172" s="1"/>
      <c r="J172" s="8"/>
      <c r="K172" s="8"/>
      <c r="L172" s="8"/>
      <c r="M172" s="8"/>
      <c r="N172" s="8"/>
      <c r="O172" s="9"/>
      <c r="P172" s="3"/>
      <c r="Q172" s="8"/>
    </row>
    <row r="173" spans="1:17" x14ac:dyDescent="0.3">
      <c r="A173" s="77"/>
      <c r="B173" s="97">
        <v>172</v>
      </c>
      <c r="C173" s="21"/>
      <c r="D173" s="22" t="s">
        <v>219</v>
      </c>
      <c r="E173" s="25">
        <v>42350</v>
      </c>
      <c r="F173" s="22">
        <v>3475921</v>
      </c>
      <c r="G173" s="22">
        <f t="shared" ca="1" si="7"/>
        <v>11</v>
      </c>
      <c r="H173" s="22"/>
      <c r="I173" s="1"/>
      <c r="J173" s="8"/>
      <c r="K173" s="8"/>
      <c r="L173" s="8"/>
      <c r="M173" s="8"/>
      <c r="N173" s="8"/>
      <c r="O173" s="9"/>
      <c r="P173" s="3"/>
      <c r="Q173" s="8"/>
    </row>
    <row r="174" spans="1:17" x14ac:dyDescent="0.3">
      <c r="A174" s="77"/>
      <c r="B174" s="97">
        <v>173</v>
      </c>
      <c r="C174" s="21"/>
      <c r="D174" s="22" t="s">
        <v>220</v>
      </c>
      <c r="E174" s="25">
        <v>43028</v>
      </c>
      <c r="F174" s="22">
        <v>4412417</v>
      </c>
      <c r="G174" s="22">
        <f t="shared" ca="1" si="7"/>
        <v>9</v>
      </c>
      <c r="H174" s="22"/>
      <c r="I174" s="1"/>
      <c r="J174" s="8"/>
      <c r="K174" s="8"/>
      <c r="L174" s="8"/>
      <c r="M174" s="8"/>
      <c r="N174" s="8"/>
      <c r="O174" s="9"/>
      <c r="P174" s="3"/>
      <c r="Q174" s="8"/>
    </row>
    <row r="175" spans="1:17" x14ac:dyDescent="0.3">
      <c r="A175" s="77"/>
      <c r="B175" s="97">
        <v>174</v>
      </c>
      <c r="C175" s="24">
        <v>44729</v>
      </c>
      <c r="D175" s="22" t="s">
        <v>221</v>
      </c>
      <c r="E175" s="25">
        <v>27954</v>
      </c>
      <c r="F175" s="22">
        <v>6100026</v>
      </c>
      <c r="G175" s="22">
        <f t="shared" ca="1" si="7"/>
        <v>50</v>
      </c>
      <c r="H175" s="22"/>
      <c r="I175" s="1"/>
      <c r="J175" s="8"/>
      <c r="K175" s="8"/>
      <c r="L175" s="8"/>
      <c r="M175" s="8"/>
      <c r="N175" s="8"/>
      <c r="O175" s="9"/>
      <c r="P175" s="3"/>
      <c r="Q175" s="8"/>
    </row>
    <row r="176" spans="1:17" x14ac:dyDescent="0.3">
      <c r="A176" s="85"/>
      <c r="B176" s="97">
        <v>175</v>
      </c>
      <c r="C176" s="38">
        <v>44371</v>
      </c>
      <c r="D176" s="36" t="s">
        <v>222</v>
      </c>
      <c r="E176" s="37">
        <v>29353</v>
      </c>
      <c r="F176" s="36">
        <v>1411411</v>
      </c>
      <c r="G176" s="36">
        <f t="shared" ca="1" si="7"/>
        <v>46</v>
      </c>
      <c r="H176" s="36"/>
      <c r="I176" s="1"/>
      <c r="J176" s="8"/>
      <c r="K176" s="8"/>
      <c r="L176" s="8"/>
      <c r="M176" s="8"/>
      <c r="N176" s="8"/>
      <c r="O176" s="9"/>
      <c r="P176" s="3"/>
      <c r="Q176" s="8"/>
    </row>
    <row r="177" spans="1:17" x14ac:dyDescent="0.3">
      <c r="A177" s="85"/>
      <c r="B177" s="97">
        <v>176</v>
      </c>
      <c r="C177" s="35"/>
      <c r="D177" s="36" t="s">
        <v>223</v>
      </c>
      <c r="E177" s="37">
        <v>30243</v>
      </c>
      <c r="F177" s="36">
        <v>2182615</v>
      </c>
      <c r="G177" s="36">
        <f t="shared" ca="1" si="7"/>
        <v>44</v>
      </c>
      <c r="H177" s="36"/>
      <c r="I177" s="1"/>
      <c r="J177" s="8"/>
      <c r="K177" s="8"/>
      <c r="L177" s="8"/>
      <c r="M177" s="8"/>
      <c r="N177" s="8"/>
      <c r="O177" s="9"/>
      <c r="P177" s="3"/>
      <c r="Q177" s="8"/>
    </row>
    <row r="178" spans="1:17" x14ac:dyDescent="0.3">
      <c r="A178" s="87"/>
      <c r="B178" s="97">
        <v>177</v>
      </c>
      <c r="C178" s="42">
        <v>44372</v>
      </c>
      <c r="D178" s="40" t="s">
        <v>224</v>
      </c>
      <c r="E178" s="41">
        <v>28592</v>
      </c>
      <c r="F178" s="40">
        <v>1253821</v>
      </c>
      <c r="G178" s="40">
        <f ca="1">YEAR(TODAY())-YEAR(E178)</f>
        <v>48</v>
      </c>
      <c r="H178" s="40"/>
      <c r="I178" s="1" t="s">
        <v>225</v>
      </c>
      <c r="J178" s="8"/>
      <c r="K178" s="8"/>
      <c r="L178" s="8"/>
      <c r="M178" s="8"/>
      <c r="N178" s="8"/>
      <c r="O178" s="9"/>
      <c r="P178" s="3"/>
      <c r="Q178" s="8"/>
    </row>
    <row r="179" spans="1:17" x14ac:dyDescent="0.3">
      <c r="A179" s="82"/>
      <c r="B179" s="97">
        <v>178</v>
      </c>
      <c r="C179" s="44"/>
      <c r="D179" s="30" t="s">
        <v>226</v>
      </c>
      <c r="E179" s="31">
        <v>26300</v>
      </c>
      <c r="F179" s="30">
        <v>1573311</v>
      </c>
      <c r="G179" s="30">
        <f t="shared" ref="G179:G188" ca="1" si="8">YEAR(TODAY())-YEAR(E179)</f>
        <v>54</v>
      </c>
      <c r="H179" s="30"/>
      <c r="I179" s="1"/>
      <c r="J179" s="8"/>
      <c r="K179" s="8"/>
      <c r="L179" s="8"/>
      <c r="M179" s="8"/>
      <c r="N179" s="8"/>
      <c r="O179" s="9"/>
      <c r="P179" s="3"/>
      <c r="Q179" s="8"/>
    </row>
    <row r="180" spans="1:17" x14ac:dyDescent="0.3">
      <c r="A180" s="82"/>
      <c r="B180" s="97">
        <v>179</v>
      </c>
      <c r="C180" s="44">
        <v>44374</v>
      </c>
      <c r="D180" s="30" t="s">
        <v>227</v>
      </c>
      <c r="E180" s="31">
        <v>26783</v>
      </c>
      <c r="F180" s="30">
        <v>2329417</v>
      </c>
      <c r="G180" s="30">
        <f t="shared" ca="1" si="8"/>
        <v>53</v>
      </c>
      <c r="H180" s="30"/>
      <c r="I180" s="1"/>
      <c r="J180" s="8"/>
      <c r="K180" s="8"/>
      <c r="L180" s="8"/>
      <c r="M180" s="8"/>
      <c r="N180" s="8"/>
      <c r="O180" s="9"/>
      <c r="P180" s="3"/>
      <c r="Q180" s="8"/>
    </row>
    <row r="181" spans="1:17" x14ac:dyDescent="0.3">
      <c r="A181" s="82"/>
      <c r="B181" s="97">
        <v>180</v>
      </c>
      <c r="C181" s="29"/>
      <c r="D181" s="30" t="s">
        <v>228</v>
      </c>
      <c r="E181" s="31">
        <v>16470</v>
      </c>
      <c r="F181" s="30">
        <v>2573316</v>
      </c>
      <c r="G181" s="30">
        <f t="shared" ca="1" si="8"/>
        <v>81</v>
      </c>
      <c r="H181" s="30"/>
      <c r="I181" s="1"/>
      <c r="J181" s="8"/>
      <c r="K181" s="8"/>
      <c r="L181" s="8"/>
      <c r="M181" s="8"/>
      <c r="N181" s="8"/>
      <c r="O181" s="9"/>
      <c r="P181" s="3"/>
      <c r="Q181" s="8"/>
    </row>
    <row r="182" spans="1:17" x14ac:dyDescent="0.3">
      <c r="A182" s="82"/>
      <c r="B182" s="97">
        <v>181</v>
      </c>
      <c r="C182" s="29"/>
      <c r="D182" s="30" t="s">
        <v>229</v>
      </c>
      <c r="E182" s="31">
        <v>36902</v>
      </c>
      <c r="F182" s="30">
        <v>3419411</v>
      </c>
      <c r="G182" s="30">
        <f t="shared" ca="1" si="8"/>
        <v>25</v>
      </c>
      <c r="H182" s="30"/>
      <c r="I182" s="1"/>
      <c r="J182" s="8"/>
      <c r="K182" s="8"/>
      <c r="L182" s="8"/>
      <c r="M182" s="8"/>
      <c r="N182" s="8"/>
      <c r="O182" s="9"/>
      <c r="P182" s="3"/>
      <c r="Q182" s="8"/>
    </row>
    <row r="183" spans="1:17" x14ac:dyDescent="0.3">
      <c r="A183" s="82"/>
      <c r="B183" s="97">
        <v>182</v>
      </c>
      <c r="C183" s="29"/>
      <c r="D183" s="30" t="s">
        <v>230</v>
      </c>
      <c r="E183" s="31">
        <v>37382</v>
      </c>
      <c r="F183" s="30">
        <v>3419414</v>
      </c>
      <c r="G183" s="30">
        <f t="shared" ca="1" si="8"/>
        <v>24</v>
      </c>
      <c r="H183" s="30"/>
      <c r="I183" s="1"/>
      <c r="J183" s="8"/>
      <c r="K183" s="8"/>
      <c r="L183" s="8"/>
      <c r="M183" s="8"/>
      <c r="N183" s="8"/>
      <c r="O183" s="9"/>
      <c r="P183" s="3"/>
      <c r="Q183" s="8"/>
    </row>
    <row r="184" spans="1:17" x14ac:dyDescent="0.3">
      <c r="A184" s="88"/>
      <c r="B184" s="97">
        <v>183</v>
      </c>
      <c r="C184" s="60">
        <v>44741</v>
      </c>
      <c r="D184" s="1" t="s">
        <v>231</v>
      </c>
      <c r="E184" s="2">
        <v>29262</v>
      </c>
      <c r="F184" s="1">
        <v>2682711</v>
      </c>
      <c r="G184" s="1">
        <f ca="1">YEAR(TODAY())-YEAR(E184)</f>
        <v>46</v>
      </c>
      <c r="H184" s="1"/>
      <c r="I184" s="1" t="s">
        <v>232</v>
      </c>
      <c r="J184" s="8"/>
      <c r="K184" s="8"/>
      <c r="L184" s="8"/>
      <c r="M184" s="8"/>
      <c r="N184" s="8"/>
      <c r="O184" s="9"/>
      <c r="P184" s="3"/>
      <c r="Q184" s="8"/>
    </row>
    <row r="185" spans="1:17" x14ac:dyDescent="0.3">
      <c r="A185" s="88"/>
      <c r="B185" s="97">
        <v>184</v>
      </c>
      <c r="C185" s="8"/>
      <c r="D185" s="1" t="s">
        <v>233</v>
      </c>
      <c r="E185" s="2">
        <v>43575</v>
      </c>
      <c r="F185" s="1">
        <v>4055414</v>
      </c>
      <c r="G185" s="1">
        <f ca="1">YEAR(TODAY())-YEAR(E185)</f>
        <v>7</v>
      </c>
      <c r="H185" s="1"/>
      <c r="I185" s="1"/>
      <c r="J185" s="8"/>
      <c r="K185" s="8"/>
      <c r="L185" s="8"/>
      <c r="M185" s="8"/>
      <c r="N185" s="8"/>
      <c r="O185" s="9"/>
      <c r="P185" s="3"/>
      <c r="Q185" s="8"/>
    </row>
    <row r="186" spans="1:17" x14ac:dyDescent="0.3">
      <c r="A186" s="81"/>
      <c r="B186" s="97">
        <v>185</v>
      </c>
      <c r="C186" s="45">
        <v>44378</v>
      </c>
      <c r="D186" s="33" t="s">
        <v>128</v>
      </c>
      <c r="E186" s="34">
        <v>30156</v>
      </c>
      <c r="F186" s="33">
        <v>2472012</v>
      </c>
      <c r="G186" s="33">
        <f t="shared" ca="1" si="8"/>
        <v>44</v>
      </c>
      <c r="H186" s="33"/>
      <c r="I186" s="1" t="s">
        <v>234</v>
      </c>
      <c r="J186" s="8"/>
      <c r="K186" s="8" t="s">
        <v>74</v>
      </c>
      <c r="L186" s="8"/>
      <c r="M186" s="8"/>
      <c r="N186" s="8"/>
      <c r="O186" s="9"/>
      <c r="P186" s="3"/>
      <c r="Q186" s="8" t="s">
        <v>130</v>
      </c>
    </row>
    <row r="187" spans="1:17" x14ac:dyDescent="0.3">
      <c r="A187" s="81"/>
      <c r="B187" s="97">
        <v>186</v>
      </c>
      <c r="C187" s="32"/>
      <c r="D187" s="33" t="s">
        <v>235</v>
      </c>
      <c r="E187" s="33"/>
      <c r="F187" s="33"/>
      <c r="G187" s="33">
        <f t="shared" ca="1" si="8"/>
        <v>126</v>
      </c>
      <c r="H187" s="33"/>
      <c r="I187" s="1"/>
      <c r="J187" s="8"/>
      <c r="K187" s="8"/>
      <c r="L187" s="8"/>
      <c r="M187" s="8"/>
      <c r="N187" s="8"/>
      <c r="O187" s="9"/>
      <c r="P187" s="3"/>
      <c r="Q187" s="8"/>
    </row>
    <row r="188" spans="1:17" x14ac:dyDescent="0.3">
      <c r="A188" s="81"/>
      <c r="B188" s="97">
        <v>187</v>
      </c>
      <c r="C188" s="32"/>
      <c r="D188" s="33" t="s">
        <v>236</v>
      </c>
      <c r="E188" s="33"/>
      <c r="F188" s="33"/>
      <c r="G188" s="33">
        <f t="shared" ca="1" si="8"/>
        <v>126</v>
      </c>
      <c r="H188" s="33"/>
      <c r="I188" s="1"/>
      <c r="J188" s="8"/>
      <c r="K188" s="8"/>
      <c r="L188" s="8"/>
      <c r="M188" s="8"/>
      <c r="N188" s="8"/>
      <c r="O188" s="9"/>
      <c r="P188" s="3"/>
      <c r="Q188" s="8"/>
    </row>
    <row r="189" spans="1:17" x14ac:dyDescent="0.3">
      <c r="A189" s="82"/>
      <c r="B189" s="97">
        <v>188</v>
      </c>
      <c r="C189" s="44">
        <v>44379</v>
      </c>
      <c r="D189" s="30" t="s">
        <v>237</v>
      </c>
      <c r="E189" s="31">
        <v>29270</v>
      </c>
      <c r="F189" s="30">
        <v>2140415</v>
      </c>
      <c r="G189" s="30">
        <f ca="1">YEAR(TODAY())-YEAR(E189)</f>
        <v>46</v>
      </c>
      <c r="H189" s="30"/>
      <c r="I189" s="1" t="s">
        <v>238</v>
      </c>
      <c r="J189" s="8"/>
      <c r="K189" s="8"/>
      <c r="L189" s="8"/>
      <c r="M189" s="8"/>
      <c r="N189" s="8"/>
      <c r="O189" s="9"/>
      <c r="P189" s="3"/>
      <c r="Q189" s="8"/>
    </row>
    <row r="190" spans="1:17" x14ac:dyDescent="0.3">
      <c r="A190" s="82"/>
      <c r="B190" s="97">
        <v>189</v>
      </c>
      <c r="C190" s="29"/>
      <c r="D190" s="30" t="s">
        <v>239</v>
      </c>
      <c r="E190" s="31">
        <v>40282</v>
      </c>
      <c r="F190" s="30">
        <v>3475927</v>
      </c>
      <c r="G190" s="30">
        <f ca="1">YEAR(TODAY())-YEAR(E190)</f>
        <v>16</v>
      </c>
      <c r="H190" s="30"/>
      <c r="I190" s="1"/>
      <c r="J190" s="8"/>
      <c r="K190" s="8"/>
      <c r="L190" s="8"/>
      <c r="M190" s="8"/>
      <c r="N190" s="8"/>
      <c r="O190" s="9"/>
      <c r="P190" s="3"/>
      <c r="Q190" s="8"/>
    </row>
    <row r="191" spans="1:17" x14ac:dyDescent="0.3">
      <c r="A191" s="82"/>
      <c r="B191" s="97">
        <v>190</v>
      </c>
      <c r="C191" s="29"/>
      <c r="D191" s="30" t="s">
        <v>240</v>
      </c>
      <c r="E191" s="31">
        <v>43532</v>
      </c>
      <c r="F191" s="30">
        <v>3411711</v>
      </c>
      <c r="G191" s="30">
        <f ca="1">YEAR(TODAY())-YEAR(E191)</f>
        <v>7</v>
      </c>
      <c r="H191" s="30"/>
      <c r="I191" s="1"/>
      <c r="J191" s="8"/>
      <c r="K191" s="8"/>
      <c r="L191" s="8"/>
      <c r="M191" s="8"/>
      <c r="N191" s="8"/>
      <c r="O191" s="9"/>
      <c r="P191" s="3"/>
      <c r="Q191" s="8"/>
    </row>
    <row r="192" spans="1:17" x14ac:dyDescent="0.3">
      <c r="A192" s="88"/>
      <c r="B192" s="97">
        <v>191</v>
      </c>
      <c r="C192" s="60">
        <v>44745</v>
      </c>
      <c r="D192" s="1" t="s">
        <v>241</v>
      </c>
      <c r="E192" s="2">
        <v>24821</v>
      </c>
      <c r="F192" s="1">
        <v>1243337</v>
      </c>
      <c r="G192" s="1">
        <f t="shared" ref="G192:G206" ca="1" si="9">YEAR(TODAY())-YEAR(E192)</f>
        <v>59</v>
      </c>
      <c r="H192" s="1"/>
      <c r="I192" s="1"/>
      <c r="J192" s="8"/>
      <c r="K192" s="8"/>
      <c r="L192" s="8"/>
      <c r="M192" s="8"/>
      <c r="N192" s="8"/>
      <c r="O192" s="9"/>
      <c r="P192" s="3"/>
      <c r="Q192" s="8"/>
    </row>
    <row r="193" spans="1:17" x14ac:dyDescent="0.3">
      <c r="A193" s="88"/>
      <c r="B193" s="97">
        <v>192</v>
      </c>
      <c r="C193" s="8"/>
      <c r="D193" s="1" t="s">
        <v>242</v>
      </c>
      <c r="E193" s="2">
        <v>35325</v>
      </c>
      <c r="F193" s="1">
        <v>1243312</v>
      </c>
      <c r="G193" s="1">
        <f t="shared" ca="1" si="9"/>
        <v>30</v>
      </c>
      <c r="H193" s="1"/>
      <c r="I193" s="1"/>
      <c r="J193" s="8"/>
      <c r="K193" s="8"/>
      <c r="L193" s="8"/>
      <c r="M193" s="8"/>
      <c r="N193" s="8"/>
      <c r="O193" s="9"/>
      <c r="P193" s="3"/>
      <c r="Q193" s="8"/>
    </row>
    <row r="194" spans="1:17" x14ac:dyDescent="0.3">
      <c r="A194" s="88"/>
      <c r="B194" s="97">
        <v>193</v>
      </c>
      <c r="C194" s="60">
        <v>44750</v>
      </c>
      <c r="D194" s="1" t="s">
        <v>243</v>
      </c>
      <c r="E194" s="2">
        <v>20096</v>
      </c>
      <c r="F194" s="1">
        <v>1411714</v>
      </c>
      <c r="G194" s="1">
        <f t="shared" ca="1" si="9"/>
        <v>71</v>
      </c>
      <c r="H194" s="1"/>
      <c r="I194" s="1"/>
      <c r="J194" s="8"/>
      <c r="K194" s="8"/>
      <c r="L194" s="8"/>
      <c r="M194" s="8"/>
      <c r="N194" s="8"/>
      <c r="O194" s="9"/>
      <c r="P194" s="3"/>
      <c r="Q194" s="8"/>
    </row>
    <row r="195" spans="1:17" x14ac:dyDescent="0.3">
      <c r="A195" s="88"/>
      <c r="B195" s="97">
        <v>194</v>
      </c>
      <c r="C195" s="8"/>
      <c r="D195" s="2" t="s">
        <v>244</v>
      </c>
      <c r="E195" s="2">
        <v>22174</v>
      </c>
      <c r="F195" s="1">
        <v>2403118</v>
      </c>
      <c r="G195" s="1">
        <f t="shared" ca="1" si="9"/>
        <v>66</v>
      </c>
      <c r="H195" s="1"/>
      <c r="I195" s="1"/>
      <c r="J195" s="8"/>
      <c r="K195" s="8"/>
      <c r="L195" s="8"/>
      <c r="M195" s="8"/>
      <c r="N195" s="8"/>
      <c r="O195" s="9"/>
      <c r="P195" s="3"/>
      <c r="Q195" s="8"/>
    </row>
    <row r="196" spans="1:17" x14ac:dyDescent="0.3">
      <c r="A196" s="8"/>
      <c r="B196" s="97">
        <v>195</v>
      </c>
      <c r="C196" s="60">
        <v>44749</v>
      </c>
      <c r="D196" s="1" t="s">
        <v>245</v>
      </c>
      <c r="E196" s="2">
        <v>26072</v>
      </c>
      <c r="F196" s="1">
        <v>1023711</v>
      </c>
      <c r="G196" s="1">
        <f t="shared" ca="1" si="9"/>
        <v>55</v>
      </c>
      <c r="H196" s="1"/>
      <c r="I196" s="1"/>
      <c r="J196" s="8"/>
      <c r="K196" s="8"/>
      <c r="L196" s="8"/>
      <c r="M196" s="8"/>
      <c r="N196" s="8"/>
      <c r="O196" s="9"/>
      <c r="P196" s="3"/>
      <c r="Q196" s="8"/>
    </row>
    <row r="197" spans="1:17" x14ac:dyDescent="0.3">
      <c r="A197" s="8"/>
      <c r="B197" s="97">
        <v>196</v>
      </c>
      <c r="C197" s="8"/>
      <c r="D197" s="1" t="s">
        <v>246</v>
      </c>
      <c r="E197" s="2">
        <v>28203</v>
      </c>
      <c r="F197" s="1">
        <v>2631711</v>
      </c>
      <c r="G197" s="1">
        <f t="shared" ca="1" si="9"/>
        <v>49</v>
      </c>
      <c r="H197" s="1"/>
      <c r="I197" s="1"/>
      <c r="J197" s="8"/>
      <c r="K197" s="8"/>
      <c r="L197" s="8"/>
      <c r="M197" s="8"/>
      <c r="N197" s="8"/>
      <c r="O197" s="9"/>
      <c r="P197" s="3"/>
      <c r="Q197" s="8"/>
    </row>
    <row r="198" spans="1:17" x14ac:dyDescent="0.3">
      <c r="A198" s="8"/>
      <c r="B198" s="97">
        <v>197</v>
      </c>
      <c r="C198" s="8"/>
      <c r="D198" s="1" t="s">
        <v>247</v>
      </c>
      <c r="E198" s="2">
        <v>35696</v>
      </c>
      <c r="F198" s="1">
        <v>1033211</v>
      </c>
      <c r="G198" s="1">
        <f t="shared" ca="1" si="9"/>
        <v>29</v>
      </c>
      <c r="H198" s="1"/>
      <c r="I198" s="1"/>
      <c r="J198" s="8"/>
      <c r="K198" s="8"/>
      <c r="L198" s="8"/>
      <c r="M198" s="8"/>
      <c r="N198" s="8"/>
      <c r="O198" s="9"/>
      <c r="P198" s="3"/>
      <c r="Q198" s="8"/>
    </row>
    <row r="199" spans="1:17" x14ac:dyDescent="0.3">
      <c r="A199" s="8"/>
      <c r="B199" s="97">
        <v>198</v>
      </c>
      <c r="C199" s="8"/>
      <c r="D199" s="1" t="s">
        <v>248</v>
      </c>
      <c r="E199" s="2">
        <v>36583</v>
      </c>
      <c r="F199" s="1">
        <v>4411725</v>
      </c>
      <c r="G199" s="1">
        <f t="shared" ca="1" si="9"/>
        <v>26</v>
      </c>
      <c r="H199" s="1"/>
      <c r="I199" s="1"/>
      <c r="J199" s="8"/>
      <c r="K199" s="8"/>
      <c r="L199" s="8"/>
      <c r="M199" s="8"/>
      <c r="N199" s="8"/>
      <c r="O199" s="9"/>
      <c r="P199" s="3"/>
      <c r="Q199" s="8"/>
    </row>
    <row r="200" spans="1:17" x14ac:dyDescent="0.3">
      <c r="A200" s="8"/>
      <c r="B200" s="97">
        <v>199</v>
      </c>
      <c r="C200" s="8"/>
      <c r="D200" s="1" t="s">
        <v>249</v>
      </c>
      <c r="E200" s="2">
        <v>37227</v>
      </c>
      <c r="F200" s="1">
        <v>4411721</v>
      </c>
      <c r="G200" s="1">
        <f t="shared" ca="1" si="9"/>
        <v>25</v>
      </c>
      <c r="H200" s="1"/>
      <c r="I200" s="1"/>
      <c r="J200" s="8"/>
      <c r="K200" s="8"/>
      <c r="L200" s="8"/>
      <c r="M200" s="8"/>
      <c r="N200" s="8"/>
      <c r="O200" s="9"/>
      <c r="P200" s="3"/>
      <c r="Q200" s="8"/>
    </row>
    <row r="201" spans="1:17" x14ac:dyDescent="0.3">
      <c r="A201" s="8"/>
      <c r="B201" s="97">
        <v>200</v>
      </c>
      <c r="C201" s="8"/>
      <c r="D201" s="1" t="s">
        <v>250</v>
      </c>
      <c r="E201" s="2">
        <v>39792</v>
      </c>
      <c r="F201" s="1">
        <v>3412020</v>
      </c>
      <c r="G201" s="1">
        <f t="shared" ca="1" si="9"/>
        <v>18</v>
      </c>
      <c r="H201" s="1"/>
      <c r="I201" s="1"/>
      <c r="J201" s="8"/>
      <c r="K201" s="8"/>
      <c r="L201" s="8"/>
      <c r="M201" s="8"/>
      <c r="N201" s="8"/>
      <c r="O201" s="9"/>
      <c r="P201" s="3"/>
      <c r="Q201" s="8"/>
    </row>
    <row r="202" spans="1:17" x14ac:dyDescent="0.3">
      <c r="A202" s="88"/>
      <c r="B202" s="97">
        <v>201</v>
      </c>
      <c r="C202" s="60">
        <v>44751</v>
      </c>
      <c r="D202" s="1" t="s">
        <v>251</v>
      </c>
      <c r="E202" s="2">
        <v>27676</v>
      </c>
      <c r="F202" s="1">
        <v>1119839</v>
      </c>
      <c r="G202" s="1">
        <f t="shared" ca="1" si="9"/>
        <v>51</v>
      </c>
      <c r="H202" s="1"/>
      <c r="I202" s="1"/>
      <c r="J202" s="8"/>
      <c r="K202" s="8"/>
      <c r="L202" s="8"/>
      <c r="M202" s="8"/>
      <c r="N202" s="8"/>
      <c r="O202" s="9"/>
      <c r="P202" s="3"/>
      <c r="Q202" s="8"/>
    </row>
    <row r="203" spans="1:17" x14ac:dyDescent="0.3">
      <c r="A203" s="88"/>
      <c r="B203" s="97">
        <v>202</v>
      </c>
      <c r="C203" s="8"/>
      <c r="D203" s="1" t="s">
        <v>252</v>
      </c>
      <c r="E203" s="2">
        <v>28318</v>
      </c>
      <c r="F203" s="1">
        <v>2464517</v>
      </c>
      <c r="G203" s="1">
        <f t="shared" ca="1" si="9"/>
        <v>49</v>
      </c>
      <c r="H203" s="1"/>
      <c r="I203" s="1"/>
      <c r="J203" s="8"/>
      <c r="K203" s="8"/>
      <c r="L203" s="8"/>
      <c r="M203" s="8"/>
      <c r="N203" s="8"/>
      <c r="O203" s="9"/>
      <c r="P203" s="3"/>
      <c r="Q203" s="8"/>
    </row>
    <row r="204" spans="1:17" x14ac:dyDescent="0.3">
      <c r="A204" s="88"/>
      <c r="B204" s="97">
        <v>203</v>
      </c>
      <c r="C204" s="8"/>
      <c r="D204" s="1" t="s">
        <v>253</v>
      </c>
      <c r="E204" s="2">
        <v>39893</v>
      </c>
      <c r="F204" s="1">
        <v>4096115</v>
      </c>
      <c r="G204" s="1">
        <f t="shared" ca="1" si="9"/>
        <v>17</v>
      </c>
      <c r="H204" s="1"/>
      <c r="I204" s="1"/>
      <c r="J204" s="8"/>
      <c r="K204" s="8"/>
      <c r="L204" s="8"/>
      <c r="M204" s="8"/>
      <c r="N204" s="8"/>
      <c r="O204" s="9"/>
      <c r="P204" s="3"/>
      <c r="Q204" s="8"/>
    </row>
    <row r="205" spans="1:17" x14ac:dyDescent="0.3">
      <c r="A205" s="88"/>
      <c r="B205" s="97">
        <v>204</v>
      </c>
      <c r="C205" s="8"/>
      <c r="D205" s="1" t="s">
        <v>254</v>
      </c>
      <c r="E205" s="2">
        <v>40448</v>
      </c>
      <c r="F205" s="1">
        <v>4096128</v>
      </c>
      <c r="G205" s="1">
        <f t="shared" ca="1" si="9"/>
        <v>16</v>
      </c>
      <c r="H205" s="1"/>
      <c r="I205" s="1"/>
      <c r="J205" s="8"/>
      <c r="K205" s="8"/>
      <c r="L205" s="8"/>
      <c r="M205" s="8"/>
      <c r="N205" s="8"/>
      <c r="O205" s="9"/>
      <c r="P205" s="3"/>
      <c r="Q205" s="8"/>
    </row>
    <row r="206" spans="1:17" x14ac:dyDescent="0.3">
      <c r="A206" s="88"/>
      <c r="B206" s="97">
        <v>205</v>
      </c>
      <c r="C206" s="8"/>
      <c r="D206" s="1" t="s">
        <v>255</v>
      </c>
      <c r="E206" s="2">
        <v>42067</v>
      </c>
      <c r="F206" s="1">
        <v>3109615</v>
      </c>
      <c r="G206" s="1">
        <f t="shared" ca="1" si="9"/>
        <v>11</v>
      </c>
      <c r="H206" s="1"/>
      <c r="I206" s="1"/>
      <c r="J206" s="8"/>
      <c r="K206" s="8"/>
      <c r="L206" s="8"/>
      <c r="M206" s="8"/>
      <c r="N206" s="8"/>
      <c r="O206" s="9"/>
      <c r="P206" s="3"/>
      <c r="Q206" s="8"/>
    </row>
    <row r="207" spans="1:17" x14ac:dyDescent="0.3">
      <c r="A207" s="84"/>
      <c r="B207" s="97">
        <v>206</v>
      </c>
      <c r="C207" s="43">
        <v>44388</v>
      </c>
      <c r="D207" s="27" t="s">
        <v>256</v>
      </c>
      <c r="E207" s="28">
        <v>26353</v>
      </c>
      <c r="F207" s="27">
        <v>1804916</v>
      </c>
      <c r="G207" s="27">
        <f ca="1">YEAR(TODAY())-YEAR(E207)</f>
        <v>54</v>
      </c>
      <c r="H207" s="27"/>
      <c r="I207" s="1" t="s">
        <v>225</v>
      </c>
      <c r="J207" s="8"/>
      <c r="K207" s="8"/>
      <c r="L207" s="8"/>
      <c r="M207" s="8"/>
      <c r="N207" s="8"/>
      <c r="O207" s="9"/>
      <c r="P207" s="3"/>
      <c r="Q207" s="8"/>
    </row>
    <row r="208" spans="1:17" x14ac:dyDescent="0.3">
      <c r="A208" s="84"/>
      <c r="B208" s="97">
        <v>207</v>
      </c>
      <c r="C208" s="26"/>
      <c r="D208" s="27" t="s">
        <v>257</v>
      </c>
      <c r="E208" s="28">
        <v>28075</v>
      </c>
      <c r="F208" s="27">
        <v>2042917</v>
      </c>
      <c r="G208" s="27">
        <f ca="1">YEAR(TODAY())-YEAR(E208)</f>
        <v>50</v>
      </c>
      <c r="H208" s="27"/>
      <c r="I208" s="1"/>
      <c r="J208" s="8"/>
      <c r="K208" s="8"/>
      <c r="L208" s="8"/>
      <c r="M208" s="8"/>
      <c r="N208" s="8"/>
      <c r="O208" s="9"/>
      <c r="P208" s="3"/>
      <c r="Q208" s="8"/>
    </row>
    <row r="209" spans="1:17" x14ac:dyDescent="0.3">
      <c r="A209" s="84"/>
      <c r="B209" s="97">
        <v>208</v>
      </c>
      <c r="C209" s="26"/>
      <c r="D209" s="27" t="s">
        <v>258</v>
      </c>
      <c r="E209" s="28">
        <v>39828</v>
      </c>
      <c r="F209" s="27">
        <v>4401314</v>
      </c>
      <c r="G209" s="27">
        <f ca="1">YEAR(TODAY())-YEAR(E209)</f>
        <v>17</v>
      </c>
      <c r="H209" s="27"/>
      <c r="I209" s="1"/>
      <c r="J209" s="8"/>
      <c r="K209" s="8"/>
      <c r="L209" s="8"/>
      <c r="M209" s="8"/>
      <c r="N209" s="8"/>
      <c r="O209" s="9"/>
      <c r="P209" s="3"/>
      <c r="Q209" s="8"/>
    </row>
    <row r="210" spans="1:17" x14ac:dyDescent="0.3">
      <c r="A210" s="84"/>
      <c r="B210" s="97">
        <v>209</v>
      </c>
      <c r="C210" s="26"/>
      <c r="D210" s="27" t="s">
        <v>259</v>
      </c>
      <c r="E210" s="28">
        <v>17397</v>
      </c>
      <c r="F210" s="27">
        <v>1002516</v>
      </c>
      <c r="G210" s="27">
        <f ca="1">YEAR(TODAY())-YEAR(E210)</f>
        <v>79</v>
      </c>
      <c r="H210" s="27"/>
      <c r="I210" s="1"/>
      <c r="J210" s="8"/>
      <c r="K210" s="8"/>
      <c r="L210" s="8"/>
      <c r="M210" s="8"/>
      <c r="N210" s="8"/>
      <c r="O210" s="9"/>
      <c r="P210" s="3"/>
      <c r="Q210" s="8"/>
    </row>
    <row r="211" spans="1:17" x14ac:dyDescent="0.3">
      <c r="A211" s="88"/>
      <c r="B211" s="97">
        <v>210</v>
      </c>
      <c r="C211" s="60">
        <v>44755</v>
      </c>
      <c r="D211" s="1" t="s">
        <v>260</v>
      </c>
      <c r="E211" s="2">
        <v>30333</v>
      </c>
      <c r="F211" s="1">
        <v>1656914</v>
      </c>
      <c r="G211" s="1">
        <f t="shared" ref="G211:G222" ca="1" si="10">YEAR(TODAY())-YEAR(E211)</f>
        <v>43</v>
      </c>
      <c r="H211" s="1"/>
      <c r="I211" s="1"/>
      <c r="J211" s="8"/>
      <c r="K211" s="8"/>
      <c r="L211" s="8"/>
      <c r="M211" s="8"/>
      <c r="N211" s="8"/>
      <c r="O211" s="9"/>
      <c r="P211" s="3"/>
      <c r="Q211" s="8"/>
    </row>
    <row r="212" spans="1:17" x14ac:dyDescent="0.3">
      <c r="A212" s="88"/>
      <c r="B212" s="97">
        <v>211</v>
      </c>
      <c r="C212" s="8"/>
      <c r="D212" s="1" t="s">
        <v>261</v>
      </c>
      <c r="E212" s="2">
        <v>31972</v>
      </c>
      <c r="F212" s="1">
        <v>2328218</v>
      </c>
      <c r="G212" s="1">
        <f t="shared" ca="1" si="10"/>
        <v>39</v>
      </c>
      <c r="H212" s="1"/>
      <c r="I212" s="1"/>
      <c r="J212" s="8"/>
      <c r="K212" s="8"/>
      <c r="L212" s="8"/>
      <c r="M212" s="8"/>
      <c r="N212" s="8"/>
      <c r="O212" s="9"/>
      <c r="P212" s="3"/>
      <c r="Q212" s="8"/>
    </row>
    <row r="213" spans="1:17" x14ac:dyDescent="0.3">
      <c r="A213" s="88"/>
      <c r="B213" s="97">
        <v>212</v>
      </c>
      <c r="C213" s="8"/>
      <c r="D213" s="1" t="s">
        <v>262</v>
      </c>
      <c r="E213" s="2">
        <v>40841</v>
      </c>
      <c r="F213" s="1">
        <v>4475914</v>
      </c>
      <c r="G213" s="1">
        <f t="shared" ca="1" si="10"/>
        <v>15</v>
      </c>
      <c r="H213" s="1"/>
      <c r="I213" s="1"/>
      <c r="J213" s="8"/>
      <c r="K213" s="8"/>
      <c r="L213" s="8"/>
      <c r="M213" s="8"/>
      <c r="N213" s="8"/>
      <c r="O213" s="9"/>
      <c r="P213" s="3"/>
      <c r="Q213" s="8"/>
    </row>
    <row r="214" spans="1:17" x14ac:dyDescent="0.3">
      <c r="A214" s="88"/>
      <c r="B214" s="97">
        <v>213</v>
      </c>
      <c r="C214" s="8"/>
      <c r="D214" s="1" t="s">
        <v>263</v>
      </c>
      <c r="E214" s="2">
        <v>41253</v>
      </c>
      <c r="F214" s="1">
        <v>4475925</v>
      </c>
      <c r="G214" s="1">
        <f t="shared" ca="1" si="10"/>
        <v>14</v>
      </c>
      <c r="H214" s="1"/>
      <c r="I214" s="1"/>
      <c r="J214" s="8"/>
      <c r="K214" s="8"/>
      <c r="L214" s="8"/>
      <c r="M214" s="8"/>
      <c r="N214" s="8"/>
      <c r="O214" s="9"/>
      <c r="P214" s="3"/>
      <c r="Q214" s="8"/>
    </row>
    <row r="215" spans="1:17" x14ac:dyDescent="0.3">
      <c r="A215" s="88"/>
      <c r="B215" s="97">
        <v>214</v>
      </c>
      <c r="C215" s="8"/>
      <c r="D215" s="1" t="s">
        <v>264</v>
      </c>
      <c r="E215" s="2">
        <v>42412</v>
      </c>
      <c r="F215" s="1">
        <v>3475922</v>
      </c>
      <c r="G215" s="1">
        <f t="shared" ca="1" si="10"/>
        <v>10</v>
      </c>
      <c r="H215" s="1"/>
      <c r="I215" s="1"/>
      <c r="J215" s="8"/>
      <c r="K215" s="8"/>
      <c r="L215" s="8"/>
      <c r="M215" s="8"/>
      <c r="N215" s="8"/>
      <c r="O215" s="9"/>
      <c r="P215" s="3"/>
      <c r="Q215" s="8"/>
    </row>
    <row r="216" spans="1:17" x14ac:dyDescent="0.3">
      <c r="A216" s="88"/>
      <c r="B216" s="97">
        <v>215</v>
      </c>
      <c r="C216" s="8"/>
      <c r="D216" s="1" t="s">
        <v>265</v>
      </c>
      <c r="E216" s="2">
        <v>33921</v>
      </c>
      <c r="F216" s="1">
        <v>2328113</v>
      </c>
      <c r="G216" s="1">
        <f t="shared" ca="1" si="10"/>
        <v>34</v>
      </c>
      <c r="H216" s="1"/>
      <c r="I216" s="1"/>
      <c r="J216" s="8"/>
      <c r="K216" s="8"/>
      <c r="L216" s="8"/>
      <c r="M216" s="8"/>
      <c r="N216" s="8"/>
      <c r="O216" s="9"/>
      <c r="P216" s="3"/>
      <c r="Q216" s="8"/>
    </row>
    <row r="217" spans="1:17" x14ac:dyDescent="0.3">
      <c r="A217" s="88"/>
      <c r="B217" s="97">
        <v>216</v>
      </c>
      <c r="C217" s="8"/>
      <c r="D217" s="1" t="s">
        <v>266</v>
      </c>
      <c r="E217" s="2">
        <v>32368</v>
      </c>
      <c r="F217" s="1">
        <v>2328217</v>
      </c>
      <c r="G217" s="1">
        <f t="shared" ca="1" si="10"/>
        <v>38</v>
      </c>
      <c r="H217" s="1"/>
      <c r="I217" s="1"/>
      <c r="J217" s="8"/>
      <c r="K217" s="8"/>
      <c r="L217" s="8"/>
      <c r="M217" s="8"/>
      <c r="N217" s="8"/>
      <c r="O217" s="9"/>
      <c r="P217" s="3"/>
      <c r="Q217" s="8"/>
    </row>
    <row r="218" spans="1:17" x14ac:dyDescent="0.3">
      <c r="A218" s="85"/>
      <c r="B218" s="97">
        <v>217</v>
      </c>
      <c r="C218" s="38">
        <v>44391</v>
      </c>
      <c r="D218" s="36" t="s">
        <v>267</v>
      </c>
      <c r="E218" s="37">
        <v>28880</v>
      </c>
      <c r="F218" s="36">
        <v>1915218</v>
      </c>
      <c r="G218" s="36">
        <f t="shared" ca="1" si="10"/>
        <v>47</v>
      </c>
      <c r="H218" s="36"/>
      <c r="I218" s="1"/>
      <c r="J218" s="8"/>
      <c r="K218" s="8"/>
      <c r="L218" s="8"/>
      <c r="M218" s="8"/>
      <c r="N218" s="8"/>
      <c r="O218" s="9"/>
      <c r="P218" s="3"/>
      <c r="Q218" s="8"/>
    </row>
    <row r="219" spans="1:17" x14ac:dyDescent="0.3">
      <c r="A219" s="85"/>
      <c r="B219" s="97">
        <v>218</v>
      </c>
      <c r="C219" s="35"/>
      <c r="D219" s="36" t="s">
        <v>268</v>
      </c>
      <c r="E219" s="37">
        <v>29163</v>
      </c>
      <c r="F219" s="36">
        <v>2807614</v>
      </c>
      <c r="G219" s="36">
        <f t="shared" ca="1" si="10"/>
        <v>47</v>
      </c>
      <c r="H219" s="36"/>
      <c r="I219" s="1"/>
      <c r="J219" s="8"/>
      <c r="K219" s="8"/>
      <c r="L219" s="8"/>
      <c r="M219" s="8"/>
      <c r="N219" s="8"/>
      <c r="O219" s="9"/>
      <c r="P219" s="3"/>
      <c r="Q219" s="8"/>
    </row>
    <row r="220" spans="1:17" x14ac:dyDescent="0.3">
      <c r="A220" s="85"/>
      <c r="B220" s="97">
        <v>219</v>
      </c>
      <c r="C220" s="35"/>
      <c r="D220" s="36" t="s">
        <v>269</v>
      </c>
      <c r="E220" s="37">
        <v>39845</v>
      </c>
      <c r="F220" s="36">
        <v>3182518</v>
      </c>
      <c r="G220" s="36">
        <f t="shared" ca="1" si="10"/>
        <v>17</v>
      </c>
      <c r="H220" s="36"/>
      <c r="I220" s="1"/>
      <c r="J220" s="8"/>
      <c r="K220" s="8"/>
      <c r="L220" s="8"/>
      <c r="M220" s="8"/>
      <c r="N220" s="8"/>
      <c r="O220" s="9"/>
      <c r="P220" s="3"/>
      <c r="Q220" s="8"/>
    </row>
    <row r="221" spans="1:17" x14ac:dyDescent="0.3">
      <c r="A221" s="85"/>
      <c r="B221" s="97">
        <v>220</v>
      </c>
      <c r="C221" s="35"/>
      <c r="D221" s="36" t="s">
        <v>270</v>
      </c>
      <c r="E221" s="37">
        <v>40538</v>
      </c>
      <c r="F221" s="36">
        <v>4182517</v>
      </c>
      <c r="G221" s="36">
        <f t="shared" ca="1" si="10"/>
        <v>16</v>
      </c>
      <c r="H221" s="36"/>
      <c r="I221" s="1"/>
      <c r="J221" s="8"/>
      <c r="K221" s="8"/>
      <c r="L221" s="8"/>
      <c r="M221" s="8"/>
      <c r="N221" s="8"/>
      <c r="O221" s="9"/>
      <c r="P221" s="3"/>
      <c r="Q221" s="8"/>
    </row>
    <row r="222" spans="1:17" x14ac:dyDescent="0.3">
      <c r="A222" s="85"/>
      <c r="B222" s="97">
        <v>221</v>
      </c>
      <c r="C222" s="35"/>
      <c r="D222" s="36" t="s">
        <v>271</v>
      </c>
      <c r="E222" s="37">
        <v>41754</v>
      </c>
      <c r="F222" s="36">
        <v>3182514</v>
      </c>
      <c r="G222" s="36">
        <f t="shared" ca="1" si="10"/>
        <v>12</v>
      </c>
      <c r="H222" s="36"/>
      <c r="I222" s="1"/>
      <c r="J222" s="8"/>
      <c r="K222" s="8"/>
      <c r="L222" s="8"/>
      <c r="M222" s="8"/>
      <c r="N222" s="8"/>
      <c r="O222" s="9"/>
      <c r="P222" s="3"/>
      <c r="Q222" s="8"/>
    </row>
    <row r="223" spans="1:17" x14ac:dyDescent="0.3">
      <c r="A223" s="88"/>
      <c r="B223" s="97">
        <v>222</v>
      </c>
      <c r="C223" s="60">
        <v>44757</v>
      </c>
      <c r="D223" s="1" t="s">
        <v>272</v>
      </c>
      <c r="E223" s="2">
        <v>28464</v>
      </c>
      <c r="F223" s="1">
        <v>1122725</v>
      </c>
      <c r="G223" s="1">
        <f ca="1">YEAR(TODAY())-YEAR(E223)</f>
        <v>49</v>
      </c>
      <c r="H223" s="1"/>
      <c r="I223" s="1"/>
      <c r="J223" s="8"/>
      <c r="K223" s="8"/>
      <c r="L223" s="8"/>
      <c r="M223" s="8"/>
      <c r="N223" s="8"/>
      <c r="O223" s="9"/>
      <c r="P223" s="3"/>
      <c r="Q223" s="8"/>
    </row>
    <row r="224" spans="1:17" x14ac:dyDescent="0.3">
      <c r="A224" s="88"/>
      <c r="B224" s="97">
        <v>223</v>
      </c>
      <c r="C224" s="8"/>
      <c r="D224" s="1" t="s">
        <v>273</v>
      </c>
      <c r="E224" s="2">
        <v>28457</v>
      </c>
      <c r="F224" s="1">
        <v>2122611</v>
      </c>
      <c r="G224" s="1">
        <f ca="1">YEAR(TODAY())-YEAR(E224)</f>
        <v>49</v>
      </c>
      <c r="H224" s="1"/>
      <c r="I224" s="1"/>
      <c r="J224" s="8"/>
      <c r="K224" s="8"/>
      <c r="L224" s="8"/>
      <c r="M224" s="8"/>
      <c r="N224" s="8"/>
      <c r="O224" s="9"/>
      <c r="P224" s="3"/>
      <c r="Q224" s="8"/>
    </row>
    <row r="225" spans="1:17" x14ac:dyDescent="0.3">
      <c r="A225" s="88"/>
      <c r="B225" s="97">
        <v>224</v>
      </c>
      <c r="C225" s="8"/>
      <c r="D225" s="1" t="s">
        <v>274</v>
      </c>
      <c r="E225" s="2">
        <v>38767</v>
      </c>
      <c r="F225" s="1">
        <v>4904612</v>
      </c>
      <c r="G225" s="1">
        <f ca="1">YEAR(TODAY())-YEAR(E225)</f>
        <v>20</v>
      </c>
      <c r="H225" s="1"/>
      <c r="I225" s="1"/>
      <c r="J225" s="8"/>
      <c r="K225" s="8"/>
      <c r="L225" s="8"/>
      <c r="M225" s="8"/>
      <c r="N225" s="8"/>
      <c r="O225" s="9"/>
      <c r="P225" s="3"/>
      <c r="Q225" s="8"/>
    </row>
    <row r="226" spans="1:17" x14ac:dyDescent="0.3">
      <c r="A226" s="77"/>
      <c r="B226" s="97">
        <v>225</v>
      </c>
      <c r="C226" s="24">
        <v>44397</v>
      </c>
      <c r="D226" s="22" t="s">
        <v>275</v>
      </c>
      <c r="E226" s="25">
        <v>31941</v>
      </c>
      <c r="F226" s="22">
        <v>2908117</v>
      </c>
      <c r="G226" s="22">
        <f t="shared" ref="G226:G241" ca="1" si="11">YEAR(TODAY())-YEAR(E226)</f>
        <v>39</v>
      </c>
      <c r="H226" s="22"/>
      <c r="I226" s="1"/>
      <c r="J226" s="8" t="s">
        <v>276</v>
      </c>
      <c r="K226" s="8"/>
      <c r="L226" s="8"/>
      <c r="M226" s="8"/>
      <c r="N226" s="8"/>
      <c r="O226" s="9"/>
      <c r="P226" s="3"/>
      <c r="Q226" s="8"/>
    </row>
    <row r="227" spans="1:17" x14ac:dyDescent="0.3">
      <c r="A227" s="77"/>
      <c r="B227" s="97">
        <v>226</v>
      </c>
      <c r="C227" s="21"/>
      <c r="D227" s="22" t="s">
        <v>277</v>
      </c>
      <c r="E227" s="25">
        <v>31451</v>
      </c>
      <c r="F227" s="22">
        <v>1057511</v>
      </c>
      <c r="G227" s="22">
        <f t="shared" ca="1" si="11"/>
        <v>40</v>
      </c>
      <c r="H227" s="22"/>
      <c r="I227" s="1"/>
      <c r="J227" s="8" t="s">
        <v>276</v>
      </c>
      <c r="K227" s="8"/>
      <c r="L227" s="8"/>
      <c r="M227" s="8"/>
      <c r="N227" s="8"/>
      <c r="O227" s="9"/>
      <c r="P227" s="3"/>
      <c r="Q227" s="8"/>
    </row>
    <row r="228" spans="1:17" x14ac:dyDescent="0.3">
      <c r="A228" s="77"/>
      <c r="B228" s="97">
        <v>227</v>
      </c>
      <c r="C228" s="21"/>
      <c r="D228" s="22" t="s">
        <v>278</v>
      </c>
      <c r="E228" s="25">
        <v>41653</v>
      </c>
      <c r="F228" s="22">
        <v>4412211</v>
      </c>
      <c r="G228" s="22">
        <f t="shared" ca="1" si="11"/>
        <v>12</v>
      </c>
      <c r="H228" s="22"/>
      <c r="I228" s="1"/>
      <c r="J228" s="8" t="s">
        <v>276</v>
      </c>
      <c r="K228" s="8"/>
      <c r="L228" s="8"/>
      <c r="M228" s="8"/>
      <c r="N228" s="8"/>
      <c r="O228" s="9"/>
      <c r="P228" s="3"/>
      <c r="Q228" s="8"/>
    </row>
    <row r="229" spans="1:17" x14ac:dyDescent="0.3">
      <c r="A229" s="77"/>
      <c r="B229" s="97">
        <v>228</v>
      </c>
      <c r="C229" s="21"/>
      <c r="D229" s="22" t="s">
        <v>279</v>
      </c>
      <c r="E229" s="25">
        <v>42432</v>
      </c>
      <c r="F229" s="22">
        <v>4476014</v>
      </c>
      <c r="G229" s="22">
        <f t="shared" ca="1" si="11"/>
        <v>10</v>
      </c>
      <c r="H229" s="22"/>
      <c r="I229" s="1"/>
      <c r="J229" s="8" t="s">
        <v>276</v>
      </c>
      <c r="K229" s="8"/>
      <c r="L229" s="8" t="s">
        <v>276</v>
      </c>
      <c r="M229" s="8"/>
      <c r="N229" s="8"/>
      <c r="O229" s="9"/>
      <c r="P229" s="3"/>
      <c r="Q229" s="8"/>
    </row>
    <row r="230" spans="1:17" x14ac:dyDescent="0.3">
      <c r="A230" s="82"/>
      <c r="B230" s="97">
        <v>229</v>
      </c>
      <c r="C230" s="44">
        <v>44399</v>
      </c>
      <c r="D230" s="30" t="s">
        <v>280</v>
      </c>
      <c r="E230" s="31">
        <v>20338</v>
      </c>
      <c r="F230" s="30">
        <v>1009327</v>
      </c>
      <c r="G230" s="30">
        <f t="shared" ca="1" si="11"/>
        <v>71</v>
      </c>
      <c r="H230" s="30"/>
      <c r="I230" s="1"/>
      <c r="J230" s="8"/>
      <c r="K230" s="8"/>
      <c r="L230" s="8"/>
      <c r="M230" s="8"/>
      <c r="N230" s="8"/>
      <c r="O230" s="9"/>
      <c r="P230" s="3"/>
      <c r="Q230" s="8"/>
    </row>
    <row r="231" spans="1:17" x14ac:dyDescent="0.3">
      <c r="A231" s="82"/>
      <c r="B231" s="97">
        <v>230</v>
      </c>
      <c r="C231" s="29"/>
      <c r="D231" s="30" t="s">
        <v>281</v>
      </c>
      <c r="E231" s="31">
        <v>19633</v>
      </c>
      <c r="F231" s="30">
        <v>2221220</v>
      </c>
      <c r="G231" s="30">
        <f t="shared" ca="1" si="11"/>
        <v>73</v>
      </c>
      <c r="H231" s="30"/>
      <c r="I231" s="1"/>
      <c r="J231" s="8"/>
      <c r="K231" s="8"/>
      <c r="L231" s="8"/>
      <c r="M231" s="8"/>
      <c r="N231" s="8"/>
      <c r="O231" s="9"/>
      <c r="P231" s="3"/>
      <c r="Q231" s="8"/>
    </row>
    <row r="232" spans="1:17" x14ac:dyDescent="0.3">
      <c r="A232" s="87"/>
      <c r="B232" s="97">
        <v>231</v>
      </c>
      <c r="C232" s="42">
        <v>44399</v>
      </c>
      <c r="D232" s="40" t="s">
        <v>282</v>
      </c>
      <c r="E232" s="41">
        <v>30074</v>
      </c>
      <c r="F232" s="40">
        <v>2183115</v>
      </c>
      <c r="G232" s="40">
        <f t="shared" ca="1" si="11"/>
        <v>44</v>
      </c>
      <c r="H232" s="40"/>
      <c r="I232" s="40"/>
      <c r="J232" s="8"/>
      <c r="K232" s="8"/>
      <c r="L232" s="8" t="s">
        <v>44</v>
      </c>
      <c r="M232" s="8"/>
      <c r="N232" s="8"/>
      <c r="O232" s="9"/>
      <c r="P232" s="3"/>
      <c r="Q232" s="8"/>
    </row>
    <row r="233" spans="1:17" x14ac:dyDescent="0.3">
      <c r="A233" s="85"/>
      <c r="B233" s="97">
        <v>232</v>
      </c>
      <c r="C233" s="38">
        <v>44399</v>
      </c>
      <c r="D233" s="36" t="s">
        <v>283</v>
      </c>
      <c r="E233" s="37">
        <v>31190</v>
      </c>
      <c r="F233" s="36">
        <v>1473911</v>
      </c>
      <c r="G233" s="36">
        <f t="shared" ca="1" si="11"/>
        <v>41</v>
      </c>
      <c r="H233" s="36"/>
      <c r="I233" s="1"/>
      <c r="J233" s="8"/>
      <c r="K233" s="8"/>
      <c r="L233" s="8"/>
      <c r="M233" s="8"/>
      <c r="N233" s="8"/>
      <c r="O233" s="9"/>
      <c r="P233" s="3"/>
      <c r="Q233" s="8"/>
    </row>
    <row r="234" spans="1:17" x14ac:dyDescent="0.3">
      <c r="A234" s="85"/>
      <c r="B234" s="97">
        <v>233</v>
      </c>
      <c r="C234" s="35"/>
      <c r="D234" s="36" t="s">
        <v>284</v>
      </c>
      <c r="E234" s="37">
        <v>33121</v>
      </c>
      <c r="F234" s="36">
        <v>2617119</v>
      </c>
      <c r="G234" s="36">
        <f t="shared" ca="1" si="11"/>
        <v>36</v>
      </c>
      <c r="H234" s="36"/>
      <c r="I234" s="1"/>
      <c r="J234" s="8"/>
      <c r="K234" s="8"/>
      <c r="L234" s="8"/>
      <c r="M234" s="8"/>
      <c r="N234" s="8"/>
      <c r="O234" s="9"/>
      <c r="P234" s="3"/>
      <c r="Q234" s="8"/>
    </row>
    <row r="235" spans="1:17" x14ac:dyDescent="0.3">
      <c r="A235" s="85"/>
      <c r="B235" s="97">
        <v>234</v>
      </c>
      <c r="C235" s="35"/>
      <c r="D235" s="36" t="s">
        <v>285</v>
      </c>
      <c r="E235" s="37"/>
      <c r="F235" s="36"/>
      <c r="G235" s="36"/>
      <c r="H235" s="36"/>
      <c r="I235" s="1"/>
      <c r="J235" s="8"/>
      <c r="K235" s="8"/>
      <c r="L235" s="8"/>
      <c r="M235" s="8"/>
      <c r="N235" s="8"/>
      <c r="O235" s="9"/>
      <c r="P235" s="3"/>
      <c r="Q235" s="8"/>
    </row>
    <row r="236" spans="1:17" x14ac:dyDescent="0.3">
      <c r="A236" s="88"/>
      <c r="B236" s="97">
        <v>235</v>
      </c>
      <c r="C236" s="60">
        <v>44766</v>
      </c>
      <c r="D236" s="1" t="s">
        <v>286</v>
      </c>
      <c r="E236" s="2">
        <v>29610</v>
      </c>
      <c r="F236" s="1">
        <v>1350113</v>
      </c>
      <c r="G236" s="1">
        <f ca="1">YEAR(TODAY())-YEAR(E236)</f>
        <v>45</v>
      </c>
      <c r="H236" s="1"/>
      <c r="I236" s="1"/>
      <c r="J236" s="8"/>
      <c r="K236" s="8"/>
      <c r="L236" s="8"/>
      <c r="M236" s="8"/>
      <c r="N236" s="8"/>
      <c r="O236" s="9"/>
      <c r="P236" s="3"/>
      <c r="Q236" s="8"/>
    </row>
    <row r="237" spans="1:17" x14ac:dyDescent="0.3">
      <c r="A237" s="88"/>
      <c r="B237" s="97">
        <v>236</v>
      </c>
      <c r="C237" s="8"/>
      <c r="D237" s="1" t="s">
        <v>287</v>
      </c>
      <c r="E237" s="2">
        <v>29787</v>
      </c>
      <c r="F237" s="1">
        <v>2012516</v>
      </c>
      <c r="G237" s="1">
        <f ca="1">YEAR(TODAY())-YEAR(E237)</f>
        <v>45</v>
      </c>
      <c r="H237" s="1"/>
      <c r="I237" s="1"/>
      <c r="J237" s="8"/>
      <c r="K237" s="8"/>
      <c r="L237" s="8"/>
      <c r="M237" s="8"/>
      <c r="N237" s="8"/>
      <c r="O237" s="9"/>
      <c r="P237" s="3"/>
      <c r="Q237" s="8"/>
    </row>
    <row r="238" spans="1:17" x14ac:dyDescent="0.3">
      <c r="A238" s="88"/>
      <c r="B238" s="97">
        <v>237</v>
      </c>
      <c r="C238" s="8"/>
      <c r="D238" s="1" t="s">
        <v>288</v>
      </c>
      <c r="E238" s="2">
        <v>41351</v>
      </c>
      <c r="F238" s="1">
        <v>3078532</v>
      </c>
      <c r="G238" s="1">
        <f ca="1">YEAR(TODAY())-YEAR(E238)</f>
        <v>13</v>
      </c>
      <c r="H238" s="1"/>
      <c r="I238" s="1"/>
      <c r="J238" s="8"/>
      <c r="K238" s="8"/>
      <c r="L238" s="8"/>
      <c r="M238" s="8"/>
      <c r="N238" s="8"/>
      <c r="O238" s="9"/>
      <c r="P238" s="3"/>
      <c r="Q238" s="8"/>
    </row>
    <row r="239" spans="1:17" x14ac:dyDescent="0.3">
      <c r="A239" s="88"/>
      <c r="B239" s="97">
        <v>238</v>
      </c>
      <c r="C239" s="8"/>
      <c r="D239" s="1" t="s">
        <v>289</v>
      </c>
      <c r="E239" s="2">
        <v>42329</v>
      </c>
      <c r="F239" s="1">
        <v>3078511</v>
      </c>
      <c r="G239" s="1">
        <f ca="1">YEAR(TODAY())-YEAR(E239)</f>
        <v>11</v>
      </c>
      <c r="H239" s="1"/>
      <c r="I239" s="1"/>
      <c r="J239" s="8"/>
      <c r="K239" s="8"/>
      <c r="L239" s="8"/>
      <c r="M239" s="8"/>
      <c r="N239" s="8"/>
      <c r="O239" s="9"/>
      <c r="P239" s="3"/>
      <c r="Q239" s="8"/>
    </row>
    <row r="240" spans="1:17" x14ac:dyDescent="0.3">
      <c r="A240" s="88"/>
      <c r="B240" s="97">
        <v>239</v>
      </c>
      <c r="C240" s="8"/>
      <c r="D240" s="1" t="s">
        <v>290</v>
      </c>
      <c r="E240" s="2">
        <v>18535</v>
      </c>
      <c r="F240" s="1">
        <v>1011913</v>
      </c>
      <c r="G240" s="1">
        <f ca="1">YEAR(TODAY())-YEAR(E240)</f>
        <v>76</v>
      </c>
      <c r="H240" s="1"/>
      <c r="I240" s="1"/>
      <c r="J240" s="8"/>
      <c r="K240" s="8"/>
      <c r="L240" s="8"/>
      <c r="M240" s="8"/>
      <c r="N240" s="8"/>
      <c r="O240" s="9"/>
      <c r="P240" s="3"/>
      <c r="Q240" s="8"/>
    </row>
    <row r="241" spans="1:17" x14ac:dyDescent="0.3">
      <c r="A241" s="87"/>
      <c r="B241" s="97">
        <v>240</v>
      </c>
      <c r="C241" s="42">
        <v>44766</v>
      </c>
      <c r="D241" s="40" t="s">
        <v>291</v>
      </c>
      <c r="E241" s="41">
        <v>27187</v>
      </c>
      <c r="F241" s="40">
        <v>1545610</v>
      </c>
      <c r="G241" s="40">
        <f t="shared" ca="1" si="11"/>
        <v>52</v>
      </c>
      <c r="H241" s="40"/>
      <c r="I241" s="40" t="s">
        <v>292</v>
      </c>
      <c r="J241" s="8"/>
      <c r="K241" s="8"/>
      <c r="L241" s="8"/>
      <c r="M241" s="8"/>
      <c r="N241" s="8"/>
      <c r="O241" s="9"/>
      <c r="P241" s="3"/>
      <c r="Q241" s="8"/>
    </row>
    <row r="242" spans="1:17" x14ac:dyDescent="0.3">
      <c r="A242" s="88"/>
      <c r="B242" s="97">
        <v>241</v>
      </c>
      <c r="C242" s="8"/>
      <c r="D242" s="1" t="s">
        <v>293</v>
      </c>
      <c r="E242" s="2">
        <v>28692</v>
      </c>
      <c r="F242" s="1">
        <v>1057711</v>
      </c>
      <c r="G242" s="1">
        <f ca="1">YEAR(TODAY())-YEAR(E242)</f>
        <v>48</v>
      </c>
      <c r="H242" s="1"/>
      <c r="I242" s="1"/>
      <c r="J242" s="8"/>
      <c r="K242" s="8"/>
      <c r="L242" s="8"/>
      <c r="M242" s="8"/>
      <c r="N242" s="8"/>
      <c r="O242" s="9"/>
      <c r="P242" s="3"/>
      <c r="Q242" s="8"/>
    </row>
    <row r="243" spans="1:17" x14ac:dyDescent="0.3">
      <c r="A243" s="88"/>
      <c r="B243" s="97">
        <v>242</v>
      </c>
      <c r="C243" s="60">
        <v>44772</v>
      </c>
      <c r="D243" s="1" t="s">
        <v>294</v>
      </c>
      <c r="E243" s="2">
        <v>28890</v>
      </c>
      <c r="F243" s="1">
        <v>2476616</v>
      </c>
      <c r="G243" s="1">
        <f ca="1">YEAR(TODAY())-YEAR(E243)</f>
        <v>47</v>
      </c>
      <c r="H243" s="1"/>
      <c r="I243" s="1"/>
      <c r="J243" s="8"/>
      <c r="K243" s="8"/>
      <c r="L243" s="8"/>
      <c r="M243" s="8"/>
      <c r="N243" s="8"/>
      <c r="O243" s="9"/>
      <c r="P243" s="3"/>
      <c r="Q243" s="8"/>
    </row>
    <row r="244" spans="1:17" x14ac:dyDescent="0.3">
      <c r="A244" s="88"/>
      <c r="B244" s="97">
        <v>243</v>
      </c>
      <c r="C244" s="8"/>
      <c r="D244" s="1" t="s">
        <v>295</v>
      </c>
      <c r="E244" s="2">
        <v>39125</v>
      </c>
      <c r="F244" s="1">
        <v>3412510</v>
      </c>
      <c r="G244" s="1">
        <f ca="1">YEAR(TODAY())-YEAR(E244)</f>
        <v>19</v>
      </c>
      <c r="H244" s="1"/>
      <c r="I244" s="1"/>
      <c r="J244" s="8"/>
      <c r="K244" s="8"/>
      <c r="L244" s="8"/>
      <c r="M244" s="8"/>
      <c r="N244" s="8"/>
      <c r="O244" s="9"/>
      <c r="P244" s="3"/>
      <c r="Q244" s="8"/>
    </row>
    <row r="245" spans="1:17" x14ac:dyDescent="0.3">
      <c r="A245" s="88"/>
      <c r="B245" s="97">
        <v>244</v>
      </c>
      <c r="C245" s="8"/>
      <c r="D245" s="1" t="s">
        <v>296</v>
      </c>
      <c r="E245" s="2">
        <v>39683</v>
      </c>
      <c r="F245" s="1">
        <v>4412511</v>
      </c>
      <c r="G245" s="1">
        <f ca="1">YEAR(TODAY())-YEAR(E245)</f>
        <v>18</v>
      </c>
      <c r="H245" s="1"/>
      <c r="I245" s="1"/>
      <c r="J245" s="8"/>
      <c r="K245" s="8"/>
      <c r="L245" s="8"/>
      <c r="M245" s="8"/>
      <c r="N245" s="8"/>
      <c r="O245" s="9"/>
      <c r="P245" s="3"/>
      <c r="Q245" s="8"/>
    </row>
    <row r="246" spans="1:17" x14ac:dyDescent="0.3">
      <c r="A246" s="88"/>
      <c r="B246" s="97">
        <v>245</v>
      </c>
      <c r="C246" s="8"/>
      <c r="D246" s="1" t="s">
        <v>297</v>
      </c>
      <c r="E246" s="2">
        <v>40396</v>
      </c>
      <c r="F246" s="1">
        <v>4412512</v>
      </c>
      <c r="G246" s="1">
        <f ca="1">YEAR(TODAY())-YEAR(E246)</f>
        <v>16</v>
      </c>
      <c r="H246" s="1"/>
      <c r="I246" s="1"/>
      <c r="J246" s="8"/>
      <c r="K246" s="8"/>
      <c r="L246" s="8"/>
      <c r="M246" s="8"/>
      <c r="N246" s="8"/>
      <c r="O246" s="9"/>
      <c r="P246" s="3"/>
      <c r="Q246" s="8"/>
    </row>
    <row r="247" spans="1:17" x14ac:dyDescent="0.3">
      <c r="A247" s="84"/>
      <c r="B247" s="97">
        <v>246</v>
      </c>
      <c r="C247" s="43">
        <v>44410</v>
      </c>
      <c r="D247" s="27" t="s">
        <v>226</v>
      </c>
      <c r="E247" s="28">
        <v>26300</v>
      </c>
      <c r="F247" s="27">
        <v>1573311</v>
      </c>
      <c r="G247" s="27">
        <f t="shared" ref="G247:G256" ca="1" si="12">YEAR(TODAY())-YEAR(E247)</f>
        <v>54</v>
      </c>
      <c r="H247" s="27"/>
      <c r="I247" s="1"/>
      <c r="J247" s="8"/>
      <c r="K247" s="8"/>
      <c r="L247" s="8"/>
      <c r="M247" s="8"/>
      <c r="N247" s="8"/>
      <c r="O247" s="9"/>
      <c r="P247" s="3"/>
      <c r="Q247" s="8"/>
    </row>
    <row r="248" spans="1:17" x14ac:dyDescent="0.3">
      <c r="A248" s="82"/>
      <c r="B248" s="97">
        <v>247</v>
      </c>
      <c r="C248" s="44">
        <v>44776</v>
      </c>
      <c r="D248" s="30" t="s">
        <v>99</v>
      </c>
      <c r="E248" s="31">
        <v>18224</v>
      </c>
      <c r="F248" s="30">
        <v>1823616</v>
      </c>
      <c r="G248" s="30">
        <f t="shared" ca="1" si="12"/>
        <v>77</v>
      </c>
      <c r="H248" s="30"/>
      <c r="I248" s="30"/>
      <c r="J248" s="8"/>
      <c r="K248" s="8"/>
      <c r="L248" s="8"/>
      <c r="M248" s="8"/>
      <c r="N248" s="8"/>
      <c r="O248" s="9"/>
      <c r="P248" s="3"/>
      <c r="Q248" s="8"/>
    </row>
    <row r="249" spans="1:17" x14ac:dyDescent="0.3">
      <c r="A249" s="85"/>
      <c r="B249" s="97">
        <v>248</v>
      </c>
      <c r="C249" s="38">
        <v>44779</v>
      </c>
      <c r="D249" s="36" t="s">
        <v>252</v>
      </c>
      <c r="E249" s="37">
        <v>28318</v>
      </c>
      <c r="F249" s="36">
        <v>2464517</v>
      </c>
      <c r="G249" s="36">
        <f t="shared" ca="1" si="12"/>
        <v>49</v>
      </c>
      <c r="H249" s="36"/>
      <c r="I249" s="1" t="s">
        <v>298</v>
      </c>
      <c r="J249" s="8"/>
      <c r="K249" s="8"/>
      <c r="L249" s="8"/>
      <c r="M249" s="8"/>
      <c r="N249" s="8"/>
      <c r="O249" s="9"/>
      <c r="P249" s="3"/>
      <c r="Q249" s="8"/>
    </row>
    <row r="250" spans="1:17" x14ac:dyDescent="0.3">
      <c r="A250" s="81"/>
      <c r="B250" s="97">
        <v>249</v>
      </c>
      <c r="C250" s="42">
        <v>44783</v>
      </c>
      <c r="D250" s="40" t="s">
        <v>299</v>
      </c>
      <c r="E250" s="41">
        <v>28377</v>
      </c>
      <c r="F250" s="40">
        <v>1455911</v>
      </c>
      <c r="G250" s="40">
        <f t="shared" ca="1" si="12"/>
        <v>49</v>
      </c>
      <c r="H250" s="40"/>
      <c r="I250" s="40" t="s">
        <v>70</v>
      </c>
      <c r="J250" s="39" t="s">
        <v>300</v>
      </c>
      <c r="K250" s="39"/>
      <c r="L250" s="39"/>
      <c r="M250" s="8"/>
      <c r="N250" s="8"/>
      <c r="O250" s="9"/>
      <c r="P250" s="3"/>
      <c r="Q250" s="39"/>
    </row>
    <row r="251" spans="1:17" x14ac:dyDescent="0.3">
      <c r="A251" s="81"/>
      <c r="B251" s="97">
        <v>250</v>
      </c>
      <c r="C251" s="39"/>
      <c r="D251" s="40" t="s">
        <v>208</v>
      </c>
      <c r="E251" s="41">
        <v>29478</v>
      </c>
      <c r="F251" s="40">
        <v>2542812</v>
      </c>
      <c r="G251" s="40">
        <f t="shared" ca="1" si="12"/>
        <v>46</v>
      </c>
      <c r="H251" s="40"/>
      <c r="I251" s="40"/>
      <c r="J251" s="39" t="s">
        <v>301</v>
      </c>
      <c r="K251" s="39"/>
      <c r="L251" s="39"/>
      <c r="M251" s="8"/>
      <c r="N251" s="8"/>
      <c r="O251" s="9"/>
      <c r="P251" s="3"/>
      <c r="Q251" s="39"/>
    </row>
    <row r="252" spans="1:17" x14ac:dyDescent="0.3">
      <c r="A252" s="81"/>
      <c r="B252" s="97">
        <v>251</v>
      </c>
      <c r="C252" s="39"/>
      <c r="D252" s="40" t="s">
        <v>302</v>
      </c>
      <c r="E252" s="41">
        <v>42665</v>
      </c>
      <c r="F252" s="40">
        <v>4412919</v>
      </c>
      <c r="G252" s="40">
        <f t="shared" ca="1" si="12"/>
        <v>10</v>
      </c>
      <c r="H252" s="40"/>
      <c r="I252" s="40"/>
      <c r="J252" s="39"/>
      <c r="K252" s="39"/>
      <c r="L252" s="39"/>
      <c r="M252" s="8"/>
      <c r="N252" s="8"/>
      <c r="O252" s="9"/>
      <c r="P252" s="3"/>
      <c r="Q252" s="39"/>
    </row>
    <row r="253" spans="1:17" x14ac:dyDescent="0.3">
      <c r="A253" s="81"/>
      <c r="B253" s="97">
        <v>252</v>
      </c>
      <c r="C253" s="39"/>
      <c r="D253" s="40" t="s">
        <v>303</v>
      </c>
      <c r="E253" s="41">
        <v>43693</v>
      </c>
      <c r="F253" s="40">
        <v>3542815</v>
      </c>
      <c r="G253" s="40">
        <f t="shared" ca="1" si="12"/>
        <v>7</v>
      </c>
      <c r="H253" s="40"/>
      <c r="I253" s="40"/>
      <c r="J253" s="39"/>
      <c r="K253" s="39"/>
      <c r="L253" s="39"/>
      <c r="M253" s="8"/>
      <c r="N253" s="8"/>
      <c r="O253" s="9"/>
      <c r="P253" s="3"/>
      <c r="Q253" s="39"/>
    </row>
    <row r="254" spans="1:17" x14ac:dyDescent="0.3">
      <c r="A254" s="90"/>
      <c r="B254" s="97">
        <v>253</v>
      </c>
      <c r="C254" s="53">
        <v>44787</v>
      </c>
      <c r="D254" s="51" t="s">
        <v>304</v>
      </c>
      <c r="E254" s="100"/>
      <c r="F254" s="101"/>
      <c r="G254" s="101"/>
      <c r="H254" s="101"/>
      <c r="I254" s="51" t="s">
        <v>305</v>
      </c>
      <c r="J254" s="8"/>
      <c r="K254" s="8"/>
      <c r="L254" s="8"/>
      <c r="M254" s="8"/>
      <c r="N254" s="8"/>
      <c r="O254" s="9"/>
      <c r="P254" s="3"/>
      <c r="Q254" s="8"/>
    </row>
    <row r="255" spans="1:17" x14ac:dyDescent="0.3">
      <c r="A255" s="88"/>
      <c r="B255" s="97">
        <v>254</v>
      </c>
      <c r="C255" s="60">
        <v>44790</v>
      </c>
      <c r="D255" s="1" t="s">
        <v>306</v>
      </c>
      <c r="E255" s="2">
        <v>25606</v>
      </c>
      <c r="F255" s="1">
        <v>1055511</v>
      </c>
      <c r="G255" s="1">
        <f t="shared" ca="1" si="12"/>
        <v>56</v>
      </c>
      <c r="H255" s="1"/>
      <c r="I255" s="1" t="s">
        <v>307</v>
      </c>
      <c r="J255" s="8"/>
      <c r="K255" s="8"/>
      <c r="L255" s="8"/>
      <c r="M255" s="8"/>
      <c r="N255" s="8"/>
      <c r="O255" s="9"/>
      <c r="P255" s="3"/>
      <c r="Q255" s="8"/>
    </row>
    <row r="256" spans="1:17" x14ac:dyDescent="0.3">
      <c r="A256" s="88"/>
      <c r="B256" s="97">
        <v>255</v>
      </c>
      <c r="C256" s="60"/>
      <c r="D256" s="1" t="s">
        <v>184</v>
      </c>
      <c r="E256" s="2">
        <v>29031</v>
      </c>
      <c r="F256" s="1">
        <v>2149238</v>
      </c>
      <c r="G256" s="1">
        <f t="shared" ca="1" si="12"/>
        <v>47</v>
      </c>
      <c r="H256" s="1"/>
      <c r="I256" s="1"/>
      <c r="J256" s="8"/>
      <c r="K256" s="8"/>
      <c r="L256" s="8"/>
      <c r="M256" s="8"/>
      <c r="N256" s="8"/>
      <c r="O256" s="9"/>
      <c r="P256" s="3"/>
      <c r="Q256" s="8"/>
    </row>
    <row r="257" spans="1:17" x14ac:dyDescent="0.3">
      <c r="A257" s="90"/>
      <c r="B257" s="97">
        <v>256</v>
      </c>
      <c r="C257" s="53">
        <v>44794</v>
      </c>
      <c r="D257" s="51" t="s">
        <v>83</v>
      </c>
      <c r="E257" s="52"/>
      <c r="F257" s="51"/>
      <c r="G257" s="51"/>
      <c r="H257" s="51"/>
      <c r="I257" s="51" t="s">
        <v>305</v>
      </c>
      <c r="J257" s="8"/>
      <c r="K257" s="8"/>
      <c r="L257" s="8"/>
      <c r="M257" s="8"/>
      <c r="N257" s="8"/>
      <c r="O257" s="9"/>
      <c r="P257" s="3"/>
      <c r="Q257" s="8"/>
    </row>
    <row r="258" spans="1:17" x14ac:dyDescent="0.3">
      <c r="A258" s="88"/>
      <c r="B258" s="97">
        <v>257</v>
      </c>
      <c r="C258" s="60">
        <v>44794</v>
      </c>
      <c r="D258" s="1" t="s">
        <v>308</v>
      </c>
      <c r="E258" s="2">
        <v>19591</v>
      </c>
      <c r="F258" s="1">
        <v>1792613</v>
      </c>
      <c r="G258" s="1">
        <f t="shared" ref="G258:G265" ca="1" si="13">YEAR(TODAY())-YEAR(E258)</f>
        <v>73</v>
      </c>
      <c r="H258" s="1"/>
      <c r="I258" s="1" t="s">
        <v>309</v>
      </c>
      <c r="J258" s="8"/>
      <c r="K258" s="8"/>
      <c r="L258" s="8"/>
      <c r="M258" s="8"/>
      <c r="N258" s="8"/>
      <c r="O258" s="9"/>
      <c r="P258" s="3"/>
      <c r="Q258" s="8"/>
    </row>
    <row r="259" spans="1:17" x14ac:dyDescent="0.3">
      <c r="A259" s="88"/>
      <c r="B259" s="97">
        <v>258</v>
      </c>
      <c r="C259" s="8" t="s">
        <v>169</v>
      </c>
      <c r="D259" s="1" t="s">
        <v>310</v>
      </c>
      <c r="E259" s="2">
        <v>31006</v>
      </c>
      <c r="F259" s="1">
        <v>2691810</v>
      </c>
      <c r="G259" s="1">
        <f t="shared" ca="1" si="13"/>
        <v>42</v>
      </c>
      <c r="H259" s="1"/>
      <c r="I259" s="1"/>
      <c r="J259" s="8"/>
      <c r="K259" s="8"/>
      <c r="L259" s="8"/>
      <c r="M259" s="8"/>
      <c r="N259" s="8"/>
      <c r="O259" s="9"/>
      <c r="P259" s="3"/>
      <c r="Q259" s="8"/>
    </row>
    <row r="260" spans="1:17" x14ac:dyDescent="0.3">
      <c r="A260" s="88"/>
      <c r="B260" s="97">
        <v>259</v>
      </c>
      <c r="C260" s="8" t="s">
        <v>169</v>
      </c>
      <c r="D260" s="1" t="s">
        <v>311</v>
      </c>
      <c r="E260" s="2">
        <v>29314</v>
      </c>
      <c r="F260" s="1">
        <v>1697012</v>
      </c>
      <c r="G260" s="1">
        <f t="shared" ca="1" si="13"/>
        <v>46</v>
      </c>
      <c r="H260" s="1"/>
      <c r="I260" s="1"/>
      <c r="J260" s="8"/>
      <c r="K260" s="8"/>
      <c r="L260" s="8"/>
      <c r="M260" s="8"/>
      <c r="N260" s="8"/>
      <c r="O260" s="9"/>
      <c r="P260" s="3"/>
      <c r="Q260" s="8"/>
    </row>
    <row r="261" spans="1:17" x14ac:dyDescent="0.3">
      <c r="A261" s="88"/>
      <c r="B261" s="97">
        <v>260</v>
      </c>
      <c r="C261" s="8"/>
      <c r="D261" s="1" t="s">
        <v>312</v>
      </c>
      <c r="E261" s="2">
        <v>40825</v>
      </c>
      <c r="F261" s="1">
        <v>3692114</v>
      </c>
      <c r="G261" s="1">
        <f t="shared" ca="1" si="13"/>
        <v>15</v>
      </c>
      <c r="H261" s="1"/>
      <c r="I261" s="1"/>
      <c r="J261" s="8"/>
      <c r="K261" s="8"/>
      <c r="L261" s="8"/>
      <c r="M261" s="8"/>
      <c r="N261" s="8"/>
      <c r="O261" s="9"/>
      <c r="P261" s="3"/>
      <c r="Q261" s="8"/>
    </row>
    <row r="262" spans="1:17" x14ac:dyDescent="0.3">
      <c r="A262" s="84"/>
      <c r="B262" s="97">
        <v>261</v>
      </c>
      <c r="C262" s="43">
        <v>44797</v>
      </c>
      <c r="D262" s="27" t="s">
        <v>313</v>
      </c>
      <c r="E262" s="28">
        <v>28135</v>
      </c>
      <c r="F262" s="27">
        <v>1457427</v>
      </c>
      <c r="G262" s="27">
        <f t="shared" ca="1" si="13"/>
        <v>49</v>
      </c>
      <c r="H262" s="27"/>
      <c r="I262" s="27" t="s">
        <v>35</v>
      </c>
      <c r="J262" s="8"/>
      <c r="K262" s="8"/>
      <c r="L262" s="8"/>
      <c r="M262" s="8"/>
      <c r="N262" s="8"/>
      <c r="O262" s="9"/>
      <c r="P262" s="3"/>
      <c r="Q262" s="8"/>
    </row>
    <row r="263" spans="1:17" x14ac:dyDescent="0.3">
      <c r="A263" s="84"/>
      <c r="B263" s="97">
        <v>262</v>
      </c>
      <c r="C263" s="26"/>
      <c r="D263" s="27" t="s">
        <v>314</v>
      </c>
      <c r="E263" s="28">
        <v>28358</v>
      </c>
      <c r="F263" s="27">
        <v>2709815</v>
      </c>
      <c r="G263" s="27">
        <f t="shared" ca="1" si="13"/>
        <v>49</v>
      </c>
      <c r="H263" s="27"/>
      <c r="I263" s="27"/>
      <c r="J263" s="8"/>
      <c r="K263" s="8"/>
      <c r="L263" s="8"/>
      <c r="M263" s="8"/>
      <c r="N263" s="8"/>
      <c r="O263" s="9"/>
      <c r="P263" s="3"/>
      <c r="Q263" s="8"/>
    </row>
    <row r="264" spans="1:17" x14ac:dyDescent="0.3">
      <c r="A264" s="84"/>
      <c r="B264" s="97">
        <v>263</v>
      </c>
      <c r="C264" s="26"/>
      <c r="D264" s="27" t="s">
        <v>315</v>
      </c>
      <c r="E264" s="28">
        <v>40263</v>
      </c>
      <c r="F264" s="27">
        <v>4412514</v>
      </c>
      <c r="G264" s="27">
        <f t="shared" ca="1" si="13"/>
        <v>16</v>
      </c>
      <c r="H264" s="27"/>
      <c r="I264" s="27"/>
      <c r="J264" s="8"/>
      <c r="K264" s="8"/>
      <c r="L264" s="8"/>
      <c r="M264" s="8"/>
      <c r="N264" s="8"/>
      <c r="O264" s="9"/>
      <c r="P264" s="3"/>
      <c r="Q264" s="8"/>
    </row>
    <row r="265" spans="1:17" x14ac:dyDescent="0.3">
      <c r="A265" s="84"/>
      <c r="B265" s="97">
        <v>264</v>
      </c>
      <c r="C265" s="26"/>
      <c r="D265" s="27" t="s">
        <v>316</v>
      </c>
      <c r="E265" s="28">
        <v>41039</v>
      </c>
      <c r="F265" s="27">
        <v>3412526</v>
      </c>
      <c r="G265" s="27">
        <f t="shared" ca="1" si="13"/>
        <v>14</v>
      </c>
      <c r="H265" s="27"/>
      <c r="I265" s="27"/>
      <c r="J265" s="8"/>
      <c r="K265" s="8"/>
      <c r="L265" s="8"/>
      <c r="M265" s="8"/>
      <c r="N265" s="8"/>
      <c r="O265" s="9"/>
      <c r="P265" s="3"/>
      <c r="Q265" s="8"/>
    </row>
    <row r="266" spans="1:17" x14ac:dyDescent="0.3">
      <c r="A266" s="84"/>
      <c r="B266" s="97">
        <v>265</v>
      </c>
      <c r="C266" s="43">
        <v>44801</v>
      </c>
      <c r="D266" s="27" t="s">
        <v>317</v>
      </c>
      <c r="E266" s="28"/>
      <c r="F266" s="27"/>
      <c r="G266" s="27"/>
      <c r="H266" s="27"/>
      <c r="I266" s="27" t="s">
        <v>33</v>
      </c>
      <c r="J266" s="8"/>
      <c r="K266" s="8"/>
      <c r="L266" s="8"/>
      <c r="M266" s="8"/>
      <c r="N266" s="8"/>
      <c r="O266" s="9"/>
      <c r="P266" s="3"/>
      <c r="Q266" s="8"/>
    </row>
    <row r="267" spans="1:17" x14ac:dyDescent="0.3">
      <c r="A267" s="84"/>
      <c r="B267" s="97">
        <v>266</v>
      </c>
      <c r="C267" s="43">
        <v>44804</v>
      </c>
      <c r="D267" s="27" t="s">
        <v>317</v>
      </c>
      <c r="E267" s="28"/>
      <c r="F267" s="27"/>
      <c r="G267" s="27"/>
      <c r="H267" s="27"/>
      <c r="I267" s="27" t="s">
        <v>70</v>
      </c>
      <c r="J267" s="8"/>
      <c r="K267" s="8"/>
      <c r="L267" s="8"/>
      <c r="M267" s="8"/>
      <c r="N267" s="8"/>
      <c r="O267" s="9"/>
      <c r="P267" s="3"/>
      <c r="Q267" s="8"/>
    </row>
    <row r="268" spans="1:17" x14ac:dyDescent="0.3">
      <c r="A268" s="82"/>
      <c r="B268" s="97">
        <v>267</v>
      </c>
      <c r="C268" s="44">
        <v>44435</v>
      </c>
      <c r="D268" s="30" t="s">
        <v>318</v>
      </c>
      <c r="E268" s="31">
        <v>28502</v>
      </c>
      <c r="F268" s="30">
        <v>1823612</v>
      </c>
      <c r="G268" s="30">
        <f t="shared" ref="G268:G308" ca="1" si="14">YEAR(TODAY())-YEAR(E268)</f>
        <v>48</v>
      </c>
      <c r="H268" s="30"/>
      <c r="I268" s="1"/>
      <c r="J268" s="8"/>
      <c r="K268" s="8"/>
      <c r="L268" s="8"/>
      <c r="M268" s="8"/>
      <c r="N268" s="8"/>
      <c r="O268" s="9"/>
      <c r="P268" s="3"/>
      <c r="Q268" s="8"/>
    </row>
    <row r="269" spans="1:17" x14ac:dyDescent="0.3">
      <c r="A269" s="87"/>
      <c r="B269" s="97">
        <v>268</v>
      </c>
      <c r="C269" s="42">
        <v>44437</v>
      </c>
      <c r="D269" s="40" t="s">
        <v>319</v>
      </c>
      <c r="E269" s="41">
        <v>28918</v>
      </c>
      <c r="F269" s="40">
        <v>2468714</v>
      </c>
      <c r="G269" s="40">
        <f t="shared" ca="1" si="14"/>
        <v>47</v>
      </c>
      <c r="H269" s="40"/>
      <c r="I269" s="1" t="s">
        <v>320</v>
      </c>
      <c r="J269" s="8"/>
      <c r="K269" s="8"/>
      <c r="L269" s="8"/>
      <c r="M269" s="8"/>
      <c r="N269" s="8"/>
      <c r="O269" s="9"/>
      <c r="P269" s="3"/>
      <c r="Q269" s="8"/>
    </row>
    <row r="270" spans="1:17" x14ac:dyDescent="0.3">
      <c r="B270" s="97">
        <v>269</v>
      </c>
      <c r="C270" s="60">
        <v>44439</v>
      </c>
      <c r="D270" s="1" t="s">
        <v>72</v>
      </c>
      <c r="E270" s="2">
        <v>28275</v>
      </c>
      <c r="F270" s="1">
        <v>1476315</v>
      </c>
      <c r="G270" s="1">
        <f t="shared" ca="1" si="14"/>
        <v>49</v>
      </c>
      <c r="H270" s="1"/>
      <c r="I270" s="1" t="s">
        <v>321</v>
      </c>
      <c r="J270" s="8"/>
      <c r="K270" s="8" t="s">
        <v>74</v>
      </c>
      <c r="L270" s="8"/>
      <c r="M270" s="8"/>
      <c r="N270" s="8"/>
      <c r="O270" s="9"/>
      <c r="P270" s="3"/>
      <c r="Q270" s="8" t="s">
        <v>75</v>
      </c>
    </row>
    <row r="271" spans="1:17" x14ac:dyDescent="0.3">
      <c r="A271" s="91"/>
      <c r="B271" s="97">
        <v>270</v>
      </c>
      <c r="C271" s="24">
        <v>44441</v>
      </c>
      <c r="D271" s="22" t="s">
        <v>322</v>
      </c>
      <c r="E271" s="25">
        <v>29594</v>
      </c>
      <c r="F271" s="22">
        <v>1411810</v>
      </c>
      <c r="G271" s="22">
        <f t="shared" ca="1" si="14"/>
        <v>45</v>
      </c>
      <c r="H271" s="22"/>
      <c r="I271" s="22" t="s">
        <v>323</v>
      </c>
      <c r="J271" s="8"/>
      <c r="K271" s="8"/>
      <c r="L271" s="8"/>
      <c r="M271" s="8"/>
      <c r="N271" s="8"/>
      <c r="O271" s="9"/>
      <c r="P271" s="3"/>
      <c r="Q271" s="8"/>
    </row>
    <row r="272" spans="1:17" x14ac:dyDescent="0.3">
      <c r="A272" s="77"/>
      <c r="B272" s="97">
        <v>271</v>
      </c>
      <c r="C272" s="22"/>
      <c r="D272" s="22" t="s">
        <v>324</v>
      </c>
      <c r="E272" s="25">
        <v>32370</v>
      </c>
      <c r="F272" s="22">
        <v>2520519</v>
      </c>
      <c r="G272" s="22">
        <f t="shared" ca="1" si="14"/>
        <v>38</v>
      </c>
      <c r="H272" s="22"/>
      <c r="I272" s="22"/>
      <c r="J272" s="8"/>
      <c r="K272" s="8"/>
      <c r="L272" s="8"/>
      <c r="M272" s="8"/>
      <c r="N272" s="8"/>
      <c r="O272" s="9"/>
      <c r="P272" s="3"/>
      <c r="Q272" s="8"/>
    </row>
    <row r="273" spans="1:17" x14ac:dyDescent="0.3">
      <c r="A273" s="77"/>
      <c r="B273" s="97">
        <v>272</v>
      </c>
      <c r="C273" s="22"/>
      <c r="D273" s="22" t="s">
        <v>325</v>
      </c>
      <c r="E273" s="25">
        <v>40730</v>
      </c>
      <c r="F273" s="22">
        <v>4412717</v>
      </c>
      <c r="G273" s="22">
        <f t="shared" ca="1" si="14"/>
        <v>15</v>
      </c>
      <c r="H273" s="22"/>
      <c r="I273" s="22"/>
      <c r="J273" s="8"/>
      <c r="K273" s="8"/>
      <c r="L273" s="8"/>
      <c r="M273" s="8"/>
      <c r="N273" s="8"/>
      <c r="O273" s="9"/>
      <c r="P273" s="3"/>
      <c r="Q273" s="8"/>
    </row>
    <row r="274" spans="1:17" x14ac:dyDescent="0.3">
      <c r="A274" s="77"/>
      <c r="B274" s="97">
        <v>273</v>
      </c>
      <c r="C274" s="22"/>
      <c r="D274" s="22" t="s">
        <v>326</v>
      </c>
      <c r="E274" s="25">
        <v>41372</v>
      </c>
      <c r="F274" s="22">
        <v>3412731</v>
      </c>
      <c r="G274" s="22">
        <f t="shared" ca="1" si="14"/>
        <v>13</v>
      </c>
      <c r="H274" s="22"/>
      <c r="I274" s="22"/>
      <c r="J274" s="8"/>
      <c r="K274" s="8"/>
      <c r="L274" s="8"/>
      <c r="M274" s="8"/>
      <c r="N274" s="8"/>
      <c r="O274" s="9"/>
      <c r="P274" s="3"/>
      <c r="Q274" s="8"/>
    </row>
    <row r="275" spans="1:17" x14ac:dyDescent="0.3">
      <c r="A275" s="82"/>
      <c r="B275" s="97">
        <v>274</v>
      </c>
      <c r="C275" s="29"/>
      <c r="D275" s="30" t="s">
        <v>327</v>
      </c>
      <c r="E275" s="31">
        <v>30584</v>
      </c>
      <c r="F275" s="30">
        <v>2716811</v>
      </c>
      <c r="G275" s="30">
        <f t="shared" ca="1" si="14"/>
        <v>43</v>
      </c>
      <c r="H275" s="30"/>
      <c r="I275" s="1"/>
      <c r="J275" s="8"/>
      <c r="K275" s="8"/>
      <c r="L275" s="8"/>
      <c r="M275" s="8"/>
      <c r="N275" s="8"/>
      <c r="O275" s="9"/>
      <c r="P275" s="3"/>
      <c r="Q275" s="8"/>
    </row>
    <row r="276" spans="1:17" x14ac:dyDescent="0.3">
      <c r="A276" s="82"/>
      <c r="B276" s="97">
        <v>275</v>
      </c>
      <c r="C276" s="29"/>
      <c r="D276" s="30" t="s">
        <v>328</v>
      </c>
      <c r="E276" s="31">
        <v>42907</v>
      </c>
      <c r="F276" s="30">
        <v>4475910</v>
      </c>
      <c r="G276" s="30">
        <f t="shared" ca="1" si="14"/>
        <v>9</v>
      </c>
      <c r="H276" s="30"/>
      <c r="I276" s="1"/>
      <c r="J276" s="8"/>
      <c r="K276" s="8"/>
      <c r="L276" s="8"/>
      <c r="M276" s="8"/>
      <c r="N276" s="8"/>
      <c r="O276" s="9"/>
      <c r="P276" s="3"/>
      <c r="Q276" s="8"/>
    </row>
    <row r="277" spans="1:17" x14ac:dyDescent="0.3">
      <c r="A277" s="82"/>
      <c r="B277" s="97">
        <v>276</v>
      </c>
      <c r="C277" s="44">
        <v>44442</v>
      </c>
      <c r="D277" s="30" t="s">
        <v>329</v>
      </c>
      <c r="E277" s="31">
        <v>21611</v>
      </c>
      <c r="F277" s="30">
        <v>2357318</v>
      </c>
      <c r="G277" s="30">
        <f t="shared" ca="1" si="14"/>
        <v>67</v>
      </c>
      <c r="H277" s="30"/>
      <c r="I277" s="1" t="s">
        <v>37</v>
      </c>
      <c r="J277" s="8"/>
      <c r="K277" s="8"/>
      <c r="L277" s="8"/>
      <c r="M277" s="8"/>
      <c r="N277" s="8"/>
      <c r="O277" s="9"/>
      <c r="P277" s="3"/>
      <c r="Q277" s="8"/>
    </row>
    <row r="278" spans="1:17" x14ac:dyDescent="0.3">
      <c r="A278" s="82"/>
      <c r="B278" s="97">
        <v>277</v>
      </c>
      <c r="C278" s="29"/>
      <c r="D278" s="30" t="s">
        <v>330</v>
      </c>
      <c r="E278" s="31">
        <v>21224</v>
      </c>
      <c r="F278" s="30">
        <v>2047313</v>
      </c>
      <c r="G278" s="30">
        <f t="shared" ca="1" si="14"/>
        <v>68</v>
      </c>
      <c r="H278" s="30"/>
      <c r="I278" s="1"/>
      <c r="J278" s="8"/>
      <c r="K278" s="8"/>
      <c r="L278" s="8"/>
      <c r="M278" s="8"/>
      <c r="N278" s="8"/>
      <c r="O278" s="9"/>
      <c r="P278" s="3"/>
      <c r="Q278" s="8"/>
    </row>
    <row r="279" spans="1:17" x14ac:dyDescent="0.3">
      <c r="A279" s="77"/>
      <c r="B279" s="97">
        <v>278</v>
      </c>
      <c r="C279" s="24">
        <v>44447</v>
      </c>
      <c r="D279" s="22" t="s">
        <v>331</v>
      </c>
      <c r="E279" s="25">
        <v>29028</v>
      </c>
      <c r="F279" s="22">
        <v>1334917</v>
      </c>
      <c r="G279" s="22">
        <f t="shared" ca="1" si="14"/>
        <v>47</v>
      </c>
      <c r="H279" s="22"/>
      <c r="I279" s="1"/>
      <c r="J279" s="8"/>
      <c r="K279" s="8"/>
      <c r="L279" s="8"/>
      <c r="M279" s="8"/>
      <c r="N279" s="8"/>
      <c r="O279" s="9"/>
      <c r="P279" s="3"/>
      <c r="Q279" s="8"/>
    </row>
    <row r="280" spans="1:17" x14ac:dyDescent="0.3">
      <c r="A280" s="77"/>
      <c r="B280" s="97">
        <v>279</v>
      </c>
      <c r="C280" s="21"/>
      <c r="D280" s="22" t="s">
        <v>332</v>
      </c>
      <c r="E280" s="25">
        <v>30916</v>
      </c>
      <c r="F280" s="22">
        <v>2223510</v>
      </c>
      <c r="G280" s="22">
        <f t="shared" ca="1" si="14"/>
        <v>42</v>
      </c>
      <c r="H280" s="22"/>
      <c r="I280" s="1"/>
      <c r="J280" s="8"/>
      <c r="K280" s="8"/>
      <c r="L280" s="8"/>
      <c r="M280" s="8"/>
      <c r="N280" s="8"/>
      <c r="O280" s="9"/>
      <c r="P280" s="3"/>
      <c r="Q280" s="8"/>
    </row>
    <row r="281" spans="1:17" x14ac:dyDescent="0.3">
      <c r="A281" s="77"/>
      <c r="B281" s="97">
        <v>280</v>
      </c>
      <c r="C281" s="21"/>
      <c r="D281" s="22" t="s">
        <v>333</v>
      </c>
      <c r="E281" s="25">
        <v>39278</v>
      </c>
      <c r="F281" s="22">
        <v>4408911</v>
      </c>
      <c r="G281" s="22">
        <f t="shared" ca="1" si="14"/>
        <v>19</v>
      </c>
      <c r="H281" s="22"/>
      <c r="I281" s="1"/>
      <c r="J281" s="8"/>
      <c r="K281" s="8"/>
      <c r="L281" s="8"/>
      <c r="M281" s="8"/>
      <c r="N281" s="8"/>
      <c r="O281" s="9"/>
      <c r="P281" s="3"/>
      <c r="Q281" s="8"/>
    </row>
    <row r="282" spans="1:17" x14ac:dyDescent="0.3">
      <c r="A282" s="88"/>
      <c r="B282" s="97">
        <v>281</v>
      </c>
      <c r="C282" s="60">
        <v>44814</v>
      </c>
      <c r="D282" s="1" t="s">
        <v>334</v>
      </c>
      <c r="E282" s="2">
        <v>32528</v>
      </c>
      <c r="F282" s="1">
        <v>1852815</v>
      </c>
      <c r="G282" s="1">
        <f t="shared" ca="1" si="14"/>
        <v>37</v>
      </c>
      <c r="H282" s="1"/>
      <c r="I282" s="1" t="s">
        <v>70</v>
      </c>
      <c r="J282" s="8"/>
      <c r="K282" s="8"/>
      <c r="L282" s="8"/>
      <c r="M282" s="8"/>
      <c r="N282" s="8"/>
      <c r="O282" s="9"/>
      <c r="P282" s="3"/>
      <c r="Q282" s="8"/>
    </row>
    <row r="283" spans="1:17" x14ac:dyDescent="0.3">
      <c r="A283" s="82"/>
      <c r="B283" s="97">
        <v>282</v>
      </c>
      <c r="C283" s="44">
        <v>44821</v>
      </c>
      <c r="D283" s="30" t="s">
        <v>335</v>
      </c>
      <c r="E283" s="31">
        <v>30041</v>
      </c>
      <c r="F283" s="30">
        <v>1475911</v>
      </c>
      <c r="G283" s="30">
        <f t="shared" ca="1" si="14"/>
        <v>44</v>
      </c>
      <c r="H283" s="30"/>
      <c r="I283" s="1" t="s">
        <v>70</v>
      </c>
      <c r="J283" s="8"/>
      <c r="K283" s="1" t="s">
        <v>336</v>
      </c>
      <c r="L283" s="8"/>
      <c r="M283" s="8"/>
      <c r="N283" s="8"/>
      <c r="O283" s="9"/>
      <c r="P283" s="3"/>
      <c r="Q283" s="8"/>
    </row>
    <row r="284" spans="1:17" x14ac:dyDescent="0.3">
      <c r="A284" s="88"/>
      <c r="B284" s="97">
        <v>283</v>
      </c>
      <c r="C284" s="60">
        <v>44831</v>
      </c>
      <c r="D284" s="1" t="s">
        <v>337</v>
      </c>
      <c r="E284" s="2">
        <v>29993</v>
      </c>
      <c r="F284" s="1">
        <v>1682734</v>
      </c>
      <c r="G284" s="1">
        <f t="shared" ca="1" si="14"/>
        <v>44</v>
      </c>
      <c r="H284" s="1"/>
      <c r="I284" s="1" t="s">
        <v>61</v>
      </c>
      <c r="J284" s="8"/>
      <c r="K284" s="8"/>
      <c r="L284" s="8"/>
      <c r="M284" s="8"/>
      <c r="N284" s="8"/>
      <c r="O284" s="9"/>
      <c r="P284" s="3"/>
      <c r="Q284" s="8"/>
    </row>
    <row r="285" spans="1:17" x14ac:dyDescent="0.3">
      <c r="A285" s="92"/>
      <c r="B285" s="97">
        <v>284</v>
      </c>
      <c r="C285" s="71">
        <v>44476</v>
      </c>
      <c r="D285" s="72" t="s">
        <v>338</v>
      </c>
      <c r="E285" s="73">
        <v>28515</v>
      </c>
      <c r="F285" s="74">
        <v>1860416</v>
      </c>
      <c r="G285" s="74">
        <f t="shared" ca="1" si="14"/>
        <v>48</v>
      </c>
      <c r="H285" s="74"/>
      <c r="I285" s="75" t="s">
        <v>225</v>
      </c>
      <c r="J285" s="8"/>
      <c r="K285" s="8"/>
      <c r="L285" s="8"/>
      <c r="M285" s="8"/>
      <c r="N285" s="8"/>
      <c r="O285" s="9"/>
      <c r="P285" s="3"/>
      <c r="Q285" s="8"/>
    </row>
    <row r="286" spans="1:17" x14ac:dyDescent="0.3">
      <c r="A286" s="92"/>
      <c r="B286" s="97">
        <v>285</v>
      </c>
      <c r="C286" s="70"/>
      <c r="D286" s="72" t="s">
        <v>339</v>
      </c>
      <c r="E286" s="73">
        <v>41279</v>
      </c>
      <c r="F286" s="74">
        <v>3475916</v>
      </c>
      <c r="G286" s="74">
        <f t="shared" ca="1" si="14"/>
        <v>13</v>
      </c>
      <c r="H286" s="74"/>
      <c r="I286" s="75"/>
      <c r="J286" s="8"/>
      <c r="K286" s="8"/>
      <c r="L286" s="8"/>
      <c r="M286" s="8"/>
      <c r="N286" s="8"/>
      <c r="O286" s="9"/>
      <c r="P286" s="3"/>
      <c r="Q286" s="8"/>
    </row>
    <row r="287" spans="1:17" x14ac:dyDescent="0.3">
      <c r="A287" s="92"/>
      <c r="B287" s="97">
        <v>286</v>
      </c>
      <c r="C287" s="70"/>
      <c r="D287" s="72" t="s">
        <v>340</v>
      </c>
      <c r="E287" s="73">
        <v>42776</v>
      </c>
      <c r="F287" s="74">
        <v>3475938</v>
      </c>
      <c r="G287" s="74">
        <f t="shared" ca="1" si="14"/>
        <v>9</v>
      </c>
      <c r="H287" s="74"/>
      <c r="I287" s="75"/>
      <c r="J287" s="8"/>
      <c r="K287" s="8"/>
      <c r="L287" s="8"/>
      <c r="M287" s="8"/>
      <c r="N287" s="8"/>
      <c r="O287" s="9"/>
      <c r="P287" s="3"/>
      <c r="Q287" s="8"/>
    </row>
    <row r="288" spans="1:17" x14ac:dyDescent="0.3">
      <c r="A288" s="92"/>
      <c r="B288" s="97">
        <v>287</v>
      </c>
      <c r="C288" s="44">
        <v>44842</v>
      </c>
      <c r="D288" s="30" t="s">
        <v>22</v>
      </c>
      <c r="E288" s="31">
        <v>20890</v>
      </c>
      <c r="F288" s="30">
        <v>1472014</v>
      </c>
      <c r="G288" s="30">
        <f t="shared" ref="G288" ca="1" si="15">YEAR(TODAY())-YEAR(E288)</f>
        <v>69</v>
      </c>
      <c r="H288" s="30"/>
      <c r="I288" s="1" t="s">
        <v>341</v>
      </c>
      <c r="J288" s="99">
        <v>20890</v>
      </c>
      <c r="K288" s="44">
        <v>44198</v>
      </c>
      <c r="L288" s="30" t="s">
        <v>22</v>
      </c>
      <c r="M288" s="30"/>
      <c r="N288" s="30"/>
      <c r="O288" s="9"/>
      <c r="P288" s="3"/>
      <c r="Q288" s="8"/>
    </row>
    <row r="289" spans="1:17" ht="99" x14ac:dyDescent="0.3">
      <c r="A289" s="87"/>
      <c r="B289" s="97">
        <v>288</v>
      </c>
      <c r="C289" s="42">
        <v>44479</v>
      </c>
      <c r="D289" s="40" t="s">
        <v>184</v>
      </c>
      <c r="E289" s="41">
        <v>28870</v>
      </c>
      <c r="F289" s="40">
        <v>2804315</v>
      </c>
      <c r="G289" s="54">
        <f t="shared" ca="1" si="14"/>
        <v>47</v>
      </c>
      <c r="H289" s="54"/>
      <c r="I289" s="55"/>
      <c r="J289" s="8"/>
      <c r="K289" s="55" t="s">
        <v>185</v>
      </c>
      <c r="L289" s="1"/>
      <c r="M289" s="1"/>
      <c r="N289" s="1"/>
      <c r="O289" s="3"/>
      <c r="P289" s="3"/>
      <c r="Q289" s="1"/>
    </row>
    <row r="290" spans="1:17" x14ac:dyDescent="0.3">
      <c r="A290" s="93"/>
      <c r="B290" s="97">
        <v>289</v>
      </c>
      <c r="C290" s="66">
        <v>44483</v>
      </c>
      <c r="D290" s="67" t="s">
        <v>342</v>
      </c>
      <c r="E290" s="68">
        <v>30367</v>
      </c>
      <c r="F290" s="69">
        <v>1114218</v>
      </c>
      <c r="G290" s="69">
        <f t="shared" ca="1" si="14"/>
        <v>43</v>
      </c>
      <c r="H290" s="69"/>
      <c r="I290" s="69" t="s">
        <v>225</v>
      </c>
      <c r="J290" s="8"/>
      <c r="K290" s="8"/>
      <c r="L290" s="8"/>
      <c r="M290" s="8"/>
      <c r="N290" s="8"/>
      <c r="O290" s="9"/>
      <c r="P290" s="3"/>
      <c r="Q290" s="8"/>
    </row>
    <row r="291" spans="1:17" x14ac:dyDescent="0.3">
      <c r="A291" s="93"/>
      <c r="B291" s="97">
        <v>290</v>
      </c>
      <c r="C291" s="65"/>
      <c r="D291" s="67" t="s">
        <v>343</v>
      </c>
      <c r="E291" s="68">
        <v>31978</v>
      </c>
      <c r="F291" s="69">
        <v>2411712</v>
      </c>
      <c r="G291" s="69">
        <f t="shared" ca="1" si="14"/>
        <v>39</v>
      </c>
      <c r="H291" s="69"/>
      <c r="I291" s="69"/>
      <c r="J291" s="8"/>
      <c r="K291" s="8"/>
      <c r="L291" s="8"/>
      <c r="M291" s="8"/>
      <c r="N291" s="8"/>
      <c r="O291" s="9"/>
      <c r="P291" s="3"/>
      <c r="Q291" s="8"/>
    </row>
    <row r="292" spans="1:17" x14ac:dyDescent="0.3">
      <c r="A292" s="93"/>
      <c r="B292" s="97">
        <v>291</v>
      </c>
      <c r="C292" s="65"/>
      <c r="D292" s="67" t="s">
        <v>344</v>
      </c>
      <c r="E292" s="68">
        <v>43010</v>
      </c>
      <c r="F292" s="69">
        <v>3475915</v>
      </c>
      <c r="G292" s="69">
        <f t="shared" ca="1" si="14"/>
        <v>9</v>
      </c>
      <c r="H292" s="69"/>
      <c r="I292" s="69"/>
      <c r="J292" s="8"/>
      <c r="K292" s="8"/>
      <c r="L292" s="8"/>
      <c r="M292" s="8"/>
      <c r="N292" s="8"/>
      <c r="O292" s="9"/>
      <c r="P292" s="3"/>
      <c r="Q292" s="8"/>
    </row>
    <row r="293" spans="1:17" x14ac:dyDescent="0.3">
      <c r="A293" s="93"/>
      <c r="B293" s="97">
        <v>292</v>
      </c>
      <c r="C293" s="65"/>
      <c r="D293" s="67" t="s">
        <v>345</v>
      </c>
      <c r="E293" s="68">
        <v>43010</v>
      </c>
      <c r="F293" s="69">
        <v>3475921</v>
      </c>
      <c r="G293" s="69">
        <f t="shared" ca="1" si="14"/>
        <v>9</v>
      </c>
      <c r="H293" s="69"/>
      <c r="I293" s="69"/>
      <c r="J293" s="8"/>
      <c r="K293" s="8"/>
      <c r="L293" s="8"/>
      <c r="M293" s="8"/>
      <c r="N293" s="8"/>
      <c r="O293" s="9"/>
      <c r="P293" s="3"/>
      <c r="Q293" s="8"/>
    </row>
    <row r="294" spans="1:17" x14ac:dyDescent="0.3">
      <c r="A294" s="84"/>
      <c r="B294" s="97">
        <v>293</v>
      </c>
      <c r="C294" s="43">
        <v>44484</v>
      </c>
      <c r="D294" s="27" t="s">
        <v>346</v>
      </c>
      <c r="E294" s="28">
        <v>29504</v>
      </c>
      <c r="F294" s="27">
        <v>1094712</v>
      </c>
      <c r="G294" s="27">
        <f t="shared" ca="1" si="14"/>
        <v>46</v>
      </c>
      <c r="H294" s="27"/>
      <c r="I294" s="1" t="s">
        <v>225</v>
      </c>
      <c r="J294" s="8"/>
      <c r="K294" s="8"/>
      <c r="L294" s="8"/>
      <c r="M294" s="8"/>
      <c r="N294" s="8"/>
      <c r="O294" s="9"/>
      <c r="P294" s="3"/>
      <c r="Q294" s="8"/>
    </row>
    <row r="295" spans="1:17" x14ac:dyDescent="0.3">
      <c r="A295" s="84"/>
      <c r="B295" s="97">
        <v>294</v>
      </c>
      <c r="C295" s="26"/>
      <c r="D295" s="27" t="s">
        <v>347</v>
      </c>
      <c r="E295" s="28">
        <v>29568</v>
      </c>
      <c r="F295" s="27">
        <v>2102016</v>
      </c>
      <c r="G295" s="27">
        <f t="shared" ca="1" si="14"/>
        <v>46</v>
      </c>
      <c r="H295" s="27"/>
      <c r="I295" s="1"/>
      <c r="J295" s="8"/>
      <c r="K295" s="8"/>
      <c r="L295" s="8"/>
      <c r="M295" s="8"/>
      <c r="N295" s="8"/>
      <c r="O295" s="9"/>
      <c r="P295" s="3"/>
      <c r="Q295" s="8"/>
    </row>
    <row r="296" spans="1:17" x14ac:dyDescent="0.3">
      <c r="A296" s="84"/>
      <c r="B296" s="97">
        <v>295</v>
      </c>
      <c r="C296" s="26"/>
      <c r="D296" s="27" t="s">
        <v>348</v>
      </c>
      <c r="E296" s="28">
        <v>41918</v>
      </c>
      <c r="F296" s="27">
        <v>3111428</v>
      </c>
      <c r="G296" s="27">
        <f t="shared" ca="1" si="14"/>
        <v>12</v>
      </c>
      <c r="H296" s="27"/>
      <c r="I296" s="1"/>
      <c r="J296" s="8"/>
      <c r="K296" s="8"/>
      <c r="L296" s="8"/>
      <c r="M296" s="8"/>
      <c r="N296" s="8"/>
      <c r="O296" s="9"/>
      <c r="P296" s="3"/>
      <c r="Q296" s="8"/>
    </row>
    <row r="297" spans="1:17" x14ac:dyDescent="0.3">
      <c r="A297" s="88"/>
      <c r="B297" s="97">
        <v>296</v>
      </c>
      <c r="C297" s="60">
        <v>44850</v>
      </c>
      <c r="D297" s="1" t="s">
        <v>349</v>
      </c>
      <c r="E297" s="2">
        <v>28471</v>
      </c>
      <c r="F297" s="1">
        <v>1823617</v>
      </c>
      <c r="G297" s="1">
        <f t="shared" ca="1" si="14"/>
        <v>49</v>
      </c>
      <c r="H297" s="1"/>
      <c r="I297" s="1"/>
      <c r="J297" s="8"/>
      <c r="K297" s="8"/>
      <c r="L297" s="8"/>
      <c r="M297" s="8"/>
      <c r="N297" s="8"/>
      <c r="O297" s="9"/>
      <c r="P297" s="3"/>
      <c r="Q297" s="8"/>
    </row>
    <row r="298" spans="1:17" x14ac:dyDescent="0.3">
      <c r="A298" s="88"/>
      <c r="B298" s="97">
        <v>297</v>
      </c>
      <c r="C298" s="8"/>
      <c r="D298" s="1" t="s">
        <v>350</v>
      </c>
      <c r="E298" s="2">
        <v>29250</v>
      </c>
      <c r="F298" s="1">
        <v>2634918</v>
      </c>
      <c r="G298" s="1">
        <f t="shared" ca="1" si="14"/>
        <v>46</v>
      </c>
      <c r="H298" s="1"/>
      <c r="I298" s="1"/>
      <c r="J298" s="8"/>
      <c r="K298" s="8"/>
      <c r="L298" s="8"/>
      <c r="M298" s="8"/>
      <c r="N298" s="8"/>
      <c r="O298" s="9"/>
      <c r="P298" s="3"/>
      <c r="Q298" s="8"/>
    </row>
    <row r="299" spans="1:17" x14ac:dyDescent="0.3">
      <c r="A299" s="88"/>
      <c r="B299" s="97">
        <v>298</v>
      </c>
      <c r="C299" s="8"/>
      <c r="D299" s="1" t="s">
        <v>351</v>
      </c>
      <c r="E299" s="2">
        <v>39140</v>
      </c>
      <c r="F299" s="1">
        <v>3024817</v>
      </c>
      <c r="G299" s="1">
        <f t="shared" ca="1" si="14"/>
        <v>19</v>
      </c>
      <c r="H299" s="1"/>
      <c r="I299" s="1"/>
      <c r="J299" s="8"/>
      <c r="K299" s="8"/>
      <c r="L299" s="8"/>
      <c r="M299" s="8"/>
      <c r="N299" s="8"/>
      <c r="O299" s="9"/>
      <c r="P299" s="3"/>
      <c r="Q299" s="8"/>
    </row>
    <row r="300" spans="1:17" x14ac:dyDescent="0.3">
      <c r="A300" s="88"/>
      <c r="B300" s="97">
        <v>299</v>
      </c>
      <c r="C300" s="8"/>
      <c r="D300" s="1" t="s">
        <v>352</v>
      </c>
      <c r="E300" s="2">
        <v>41996</v>
      </c>
      <c r="F300" s="1">
        <v>3030013</v>
      </c>
      <c r="G300" s="1">
        <f t="shared" ca="1" si="14"/>
        <v>12</v>
      </c>
      <c r="H300" s="1"/>
      <c r="I300" s="1"/>
      <c r="J300" s="8"/>
      <c r="K300" s="8"/>
      <c r="L300" s="8"/>
      <c r="M300" s="8"/>
      <c r="N300" s="8"/>
      <c r="O300" s="9"/>
      <c r="P300" s="3"/>
      <c r="Q300" s="8"/>
    </row>
    <row r="301" spans="1:17" x14ac:dyDescent="0.3">
      <c r="A301" s="88"/>
      <c r="B301" s="97">
        <v>300</v>
      </c>
      <c r="C301" s="60">
        <v>44855</v>
      </c>
      <c r="D301" s="1" t="s">
        <v>353</v>
      </c>
      <c r="E301" s="2">
        <v>20678</v>
      </c>
      <c r="F301" s="1">
        <v>1476718</v>
      </c>
      <c r="G301" s="1">
        <f t="shared" ca="1" si="14"/>
        <v>70</v>
      </c>
      <c r="H301" s="1"/>
      <c r="I301" s="1" t="s">
        <v>33</v>
      </c>
      <c r="J301" s="8"/>
      <c r="K301" s="8"/>
      <c r="L301" s="8"/>
      <c r="M301" s="8"/>
      <c r="N301" s="8"/>
      <c r="O301" s="9"/>
      <c r="P301" s="3"/>
      <c r="Q301" s="8"/>
    </row>
    <row r="302" spans="1:17" x14ac:dyDescent="0.3">
      <c r="A302" s="88"/>
      <c r="B302" s="97">
        <v>301</v>
      </c>
      <c r="C302" s="8"/>
      <c r="D302" s="1" t="s">
        <v>354</v>
      </c>
      <c r="E302" s="2">
        <v>22913</v>
      </c>
      <c r="F302" s="1">
        <v>2221111</v>
      </c>
      <c r="G302" s="1">
        <f t="shared" ca="1" si="14"/>
        <v>64</v>
      </c>
      <c r="H302" s="1"/>
      <c r="I302" s="1"/>
      <c r="J302" s="8"/>
      <c r="K302" s="8"/>
      <c r="L302" s="8"/>
      <c r="M302" s="8"/>
      <c r="N302" s="8"/>
      <c r="O302" s="9"/>
      <c r="P302" s="3"/>
      <c r="Q302" s="8"/>
    </row>
    <row r="303" spans="1:17" x14ac:dyDescent="0.3">
      <c r="A303" s="88"/>
      <c r="B303" s="97">
        <v>302</v>
      </c>
      <c r="C303" s="8"/>
      <c r="D303" s="1" t="s">
        <v>355</v>
      </c>
      <c r="E303" s="2">
        <v>43497</v>
      </c>
      <c r="F303" s="1">
        <v>4419518</v>
      </c>
      <c r="G303" s="1">
        <f t="shared" ca="1" si="14"/>
        <v>7</v>
      </c>
      <c r="H303" s="1"/>
      <c r="I303" s="1"/>
      <c r="J303" s="8"/>
      <c r="K303" s="8"/>
      <c r="L303" s="8"/>
      <c r="M303" s="8"/>
      <c r="N303" s="8"/>
      <c r="O303" s="9"/>
      <c r="P303" s="3"/>
      <c r="Q303" s="8"/>
    </row>
    <row r="304" spans="1:17" x14ac:dyDescent="0.3">
      <c r="A304" s="88"/>
      <c r="B304" s="97">
        <v>303</v>
      </c>
      <c r="C304" s="60">
        <v>44855</v>
      </c>
      <c r="D304" s="1" t="s">
        <v>356</v>
      </c>
      <c r="E304" s="2">
        <v>22551</v>
      </c>
      <c r="F304" s="1">
        <v>1520719</v>
      </c>
      <c r="G304" s="1">
        <f ca="1">YEAR(TODAY())-YEAR(E304)</f>
        <v>65</v>
      </c>
      <c r="H304" s="1"/>
      <c r="I304" s="1"/>
      <c r="J304" s="8"/>
      <c r="K304" s="8"/>
      <c r="L304" s="8"/>
      <c r="M304" s="8"/>
      <c r="N304" s="8"/>
      <c r="O304" s="9"/>
      <c r="P304" s="3"/>
      <c r="Q304" s="8"/>
    </row>
    <row r="305" spans="1:17" x14ac:dyDescent="0.3">
      <c r="A305" s="88"/>
      <c r="B305" s="97">
        <v>304</v>
      </c>
      <c r="C305" s="8"/>
      <c r="D305" s="1" t="s">
        <v>357</v>
      </c>
      <c r="E305" s="2">
        <v>23426</v>
      </c>
      <c r="F305" s="1">
        <v>2850814</v>
      </c>
      <c r="G305" s="1">
        <f ca="1">YEAR(TODAY())-YEAR(E305)</f>
        <v>62</v>
      </c>
      <c r="H305" s="1"/>
      <c r="I305" s="1"/>
      <c r="J305" s="8"/>
      <c r="K305" s="8"/>
      <c r="L305" s="8"/>
      <c r="M305" s="8"/>
      <c r="N305" s="8"/>
      <c r="O305" s="9"/>
      <c r="P305" s="3"/>
      <c r="Q305" s="8"/>
    </row>
    <row r="306" spans="1:17" x14ac:dyDescent="0.3">
      <c r="A306" s="88"/>
      <c r="B306" s="97">
        <v>305</v>
      </c>
      <c r="C306" s="8" t="s">
        <v>169</v>
      </c>
      <c r="D306" s="1" t="s">
        <v>358</v>
      </c>
      <c r="E306" s="2">
        <v>34822</v>
      </c>
      <c r="F306" s="1">
        <v>1531413</v>
      </c>
      <c r="G306" s="1">
        <f ca="1">YEAR(TODAY())-YEAR(E306)</f>
        <v>31</v>
      </c>
      <c r="H306" s="1"/>
      <c r="I306" s="1"/>
      <c r="J306" s="8"/>
      <c r="K306" s="8"/>
      <c r="L306" s="8"/>
      <c r="M306" s="8"/>
      <c r="N306" s="8"/>
      <c r="O306" s="9"/>
      <c r="P306" s="3"/>
      <c r="Q306" s="8"/>
    </row>
    <row r="307" spans="1:17" x14ac:dyDescent="0.3">
      <c r="A307" s="88"/>
      <c r="B307" s="97">
        <v>306</v>
      </c>
      <c r="C307" s="60">
        <v>44856</v>
      </c>
      <c r="D307" s="1" t="s">
        <v>359</v>
      </c>
      <c r="E307" s="2">
        <v>20004</v>
      </c>
      <c r="F307" s="1">
        <v>1140613</v>
      </c>
      <c r="G307" s="1">
        <f t="shared" ca="1" si="14"/>
        <v>72</v>
      </c>
      <c r="H307" s="1"/>
      <c r="I307" s="1" t="s">
        <v>33</v>
      </c>
      <c r="J307" s="8"/>
      <c r="K307" s="8"/>
      <c r="L307" s="8"/>
      <c r="M307" s="8"/>
      <c r="N307" s="8"/>
      <c r="O307" s="9"/>
      <c r="P307" s="3"/>
      <c r="Q307" s="8"/>
    </row>
    <row r="308" spans="1:17" x14ac:dyDescent="0.3">
      <c r="A308" s="88"/>
      <c r="B308" s="97">
        <v>307</v>
      </c>
      <c r="C308" s="8"/>
      <c r="D308" s="1" t="s">
        <v>360</v>
      </c>
      <c r="E308" s="2">
        <v>22708</v>
      </c>
      <c r="F308" s="1">
        <v>2348435</v>
      </c>
      <c r="G308" s="1">
        <f t="shared" ca="1" si="14"/>
        <v>64</v>
      </c>
      <c r="H308" s="1"/>
      <c r="I308" s="1"/>
      <c r="J308" s="8"/>
      <c r="K308" s="8"/>
      <c r="L308" s="8"/>
      <c r="M308" s="8"/>
      <c r="N308" s="8"/>
      <c r="O308" s="9"/>
      <c r="P308" s="3"/>
      <c r="Q308" s="8"/>
    </row>
    <row r="309" spans="1:17" x14ac:dyDescent="0.3">
      <c r="A309" s="85"/>
      <c r="B309" s="97">
        <v>308</v>
      </c>
      <c r="C309" s="38">
        <v>44491</v>
      </c>
      <c r="D309" s="36" t="s">
        <v>361</v>
      </c>
      <c r="E309" s="37">
        <v>22934</v>
      </c>
      <c r="F309" s="36">
        <v>1261438</v>
      </c>
      <c r="G309" s="36">
        <f ca="1">YEAR(TODAY())-YEAR(E309)</f>
        <v>64</v>
      </c>
      <c r="H309" s="36"/>
      <c r="I309" s="36" t="s">
        <v>362</v>
      </c>
      <c r="J309" s="8"/>
      <c r="K309" s="8"/>
      <c r="L309" s="8"/>
      <c r="M309" s="8"/>
      <c r="N309" s="8"/>
      <c r="O309" s="9"/>
      <c r="P309" s="3"/>
      <c r="Q309" s="8"/>
    </row>
    <row r="310" spans="1:17" x14ac:dyDescent="0.3">
      <c r="A310" s="85"/>
      <c r="B310" s="97">
        <v>309</v>
      </c>
      <c r="C310" s="35"/>
      <c r="D310" s="36" t="s">
        <v>363</v>
      </c>
      <c r="E310" s="37">
        <v>24641</v>
      </c>
      <c r="F310" s="36">
        <v>2318714</v>
      </c>
      <c r="G310" s="36">
        <f ca="1">YEAR(TODAY())-YEAR(E310)</f>
        <v>59</v>
      </c>
      <c r="H310" s="36"/>
      <c r="I310" s="36"/>
      <c r="J310" s="8"/>
      <c r="K310" s="8"/>
      <c r="L310" s="8"/>
      <c r="M310" s="8"/>
      <c r="N310" s="8"/>
      <c r="O310" s="9"/>
      <c r="P310" s="3"/>
      <c r="Q310" s="8"/>
    </row>
    <row r="311" spans="1:17" x14ac:dyDescent="0.3">
      <c r="A311" s="85"/>
      <c r="B311" s="97">
        <v>310</v>
      </c>
      <c r="C311" s="35"/>
      <c r="D311" s="36" t="s">
        <v>364</v>
      </c>
      <c r="E311" s="37">
        <v>35792</v>
      </c>
      <c r="F311" s="36">
        <v>2261417</v>
      </c>
      <c r="G311" s="36">
        <f ca="1">YEAR(TODAY())-YEAR(E311)</f>
        <v>29</v>
      </c>
      <c r="H311" s="36"/>
      <c r="I311" s="36"/>
      <c r="J311" s="8"/>
      <c r="K311" s="8"/>
      <c r="L311" s="8"/>
      <c r="M311" s="8"/>
      <c r="N311" s="8"/>
      <c r="O311" s="9"/>
      <c r="P311" s="3"/>
      <c r="Q311" s="8"/>
    </row>
    <row r="312" spans="1:17" x14ac:dyDescent="0.3">
      <c r="A312" s="85"/>
      <c r="B312" s="97">
        <v>311</v>
      </c>
      <c r="C312" s="35"/>
      <c r="D312" s="36" t="s">
        <v>365</v>
      </c>
      <c r="E312" s="37">
        <v>36599</v>
      </c>
      <c r="F312" s="36">
        <v>3261421</v>
      </c>
      <c r="G312" s="36">
        <f ca="1">YEAR(TODAY())-YEAR(E312)</f>
        <v>26</v>
      </c>
      <c r="H312" s="36"/>
      <c r="I312" s="36"/>
      <c r="J312" s="8"/>
      <c r="K312" s="8"/>
      <c r="L312" s="8"/>
      <c r="M312" s="8"/>
      <c r="N312" s="8"/>
      <c r="O312" s="9"/>
      <c r="P312" s="3"/>
      <c r="Q312" s="8"/>
    </row>
    <row r="313" spans="1:17" x14ac:dyDescent="0.3">
      <c r="A313" s="82"/>
      <c r="B313" s="97">
        <v>312</v>
      </c>
      <c r="C313" s="44">
        <v>44495</v>
      </c>
      <c r="D313" s="30" t="s">
        <v>32</v>
      </c>
      <c r="E313" s="31"/>
      <c r="F313" s="30"/>
      <c r="G313" s="30"/>
      <c r="H313" s="30"/>
      <c r="I313" s="30" t="s">
        <v>33</v>
      </c>
      <c r="J313" s="8"/>
      <c r="K313" s="8"/>
      <c r="L313" s="8"/>
      <c r="M313" s="8"/>
      <c r="N313" s="8"/>
      <c r="O313" s="9"/>
      <c r="P313" s="3"/>
      <c r="Q313" s="8"/>
    </row>
    <row r="314" spans="1:17" x14ac:dyDescent="0.3">
      <c r="A314" s="87"/>
      <c r="B314" s="97">
        <v>313</v>
      </c>
      <c r="C314" s="39"/>
      <c r="D314" s="40" t="s">
        <v>366</v>
      </c>
      <c r="E314" s="41">
        <v>29528</v>
      </c>
      <c r="F314" s="40">
        <v>1042329</v>
      </c>
      <c r="G314" s="40">
        <f t="shared" ref="G314:G325" ca="1" si="16">YEAR(TODAY())-YEAR(E314)</f>
        <v>46</v>
      </c>
      <c r="H314" s="40"/>
      <c r="I314" s="40"/>
      <c r="J314" s="8"/>
      <c r="K314" s="8"/>
      <c r="L314" s="8" t="s">
        <v>44</v>
      </c>
      <c r="M314" s="8"/>
      <c r="N314" s="8"/>
      <c r="O314" s="9"/>
      <c r="P314" s="3"/>
      <c r="Q314" s="8"/>
    </row>
    <row r="315" spans="1:17" x14ac:dyDescent="0.3">
      <c r="A315" s="87"/>
      <c r="B315" s="97">
        <v>314</v>
      </c>
      <c r="C315" s="39"/>
      <c r="D315" s="40" t="s">
        <v>367</v>
      </c>
      <c r="E315" s="41">
        <v>39919</v>
      </c>
      <c r="F315" s="40">
        <v>3412317</v>
      </c>
      <c r="G315" s="40">
        <f t="shared" ca="1" si="16"/>
        <v>17</v>
      </c>
      <c r="H315" s="40"/>
      <c r="I315" s="40"/>
      <c r="J315" s="8"/>
      <c r="K315" s="8"/>
      <c r="L315" s="8" t="s">
        <v>44</v>
      </c>
      <c r="M315" s="8"/>
      <c r="N315" s="8"/>
      <c r="O315" s="9"/>
      <c r="P315" s="3"/>
      <c r="Q315" s="8"/>
    </row>
    <row r="316" spans="1:17" x14ac:dyDescent="0.3">
      <c r="A316" s="87"/>
      <c r="B316" s="97">
        <v>315</v>
      </c>
      <c r="C316" s="39"/>
      <c r="D316" s="40" t="s">
        <v>368</v>
      </c>
      <c r="E316" s="41">
        <v>42163</v>
      </c>
      <c r="F316" s="40">
        <v>4412328</v>
      </c>
      <c r="G316" s="40">
        <f t="shared" ca="1" si="16"/>
        <v>11</v>
      </c>
      <c r="H316" s="40"/>
      <c r="I316" s="40"/>
      <c r="J316" s="8"/>
      <c r="K316" s="8"/>
      <c r="L316" s="8" t="s">
        <v>44</v>
      </c>
      <c r="M316" s="8"/>
      <c r="N316" s="8"/>
      <c r="O316" s="9"/>
      <c r="P316" s="3"/>
      <c r="Q316" s="8"/>
    </row>
    <row r="317" spans="1:17" x14ac:dyDescent="0.3">
      <c r="A317" s="88"/>
      <c r="B317" s="97">
        <v>316</v>
      </c>
      <c r="C317" s="8"/>
      <c r="D317" s="1" t="s">
        <v>369</v>
      </c>
      <c r="E317" s="2">
        <v>28788</v>
      </c>
      <c r="F317" s="1">
        <v>2823820</v>
      </c>
      <c r="G317" s="1">
        <f t="shared" ca="1" si="16"/>
        <v>48</v>
      </c>
      <c r="H317" s="1"/>
      <c r="I317" s="1"/>
      <c r="J317" s="8"/>
      <c r="K317" s="8"/>
      <c r="L317" s="8"/>
      <c r="M317" s="8"/>
      <c r="N317" s="8"/>
      <c r="O317" s="9"/>
      <c r="P317" s="3"/>
      <c r="Q317" s="8"/>
    </row>
    <row r="318" spans="1:17" x14ac:dyDescent="0.3">
      <c r="A318" s="88"/>
      <c r="B318" s="97">
        <v>317</v>
      </c>
      <c r="C318" s="8"/>
      <c r="D318" s="1" t="s">
        <v>370</v>
      </c>
      <c r="E318" s="2">
        <v>40509</v>
      </c>
      <c r="F318" s="1">
        <v>3860514</v>
      </c>
      <c r="G318" s="1">
        <f t="shared" ca="1" si="16"/>
        <v>16</v>
      </c>
      <c r="H318" s="1"/>
      <c r="I318" s="1"/>
      <c r="J318" s="8"/>
      <c r="K318" s="8"/>
      <c r="L318" s="8"/>
      <c r="M318" s="8"/>
      <c r="N318" s="8"/>
      <c r="O318" s="9"/>
      <c r="P318" s="3"/>
      <c r="Q318" s="8"/>
    </row>
    <row r="319" spans="1:17" x14ac:dyDescent="0.3">
      <c r="A319" s="88"/>
      <c r="B319" s="97">
        <v>318</v>
      </c>
      <c r="C319" s="60">
        <v>44862</v>
      </c>
      <c r="D319" s="1" t="s">
        <v>371</v>
      </c>
      <c r="E319" s="2">
        <v>28091</v>
      </c>
      <c r="F319" s="1">
        <v>1925111</v>
      </c>
      <c r="G319" s="1">
        <f t="shared" ca="1" si="16"/>
        <v>50</v>
      </c>
      <c r="H319" s="1"/>
      <c r="I319" s="1"/>
      <c r="J319" s="8"/>
      <c r="K319" s="8"/>
      <c r="L319" s="8"/>
      <c r="M319" s="8"/>
      <c r="N319" s="8"/>
      <c r="O319" s="9"/>
      <c r="P319" s="3"/>
      <c r="Q319" s="8"/>
    </row>
    <row r="320" spans="1:17" x14ac:dyDescent="0.3">
      <c r="A320" s="87"/>
      <c r="B320" s="97">
        <v>319</v>
      </c>
      <c r="C320" s="42">
        <v>44497</v>
      </c>
      <c r="D320" s="40" t="s">
        <v>372</v>
      </c>
      <c r="E320" s="41">
        <v>18438</v>
      </c>
      <c r="F320" s="40">
        <v>1221110</v>
      </c>
      <c r="G320" s="40">
        <f t="shared" ca="1" si="16"/>
        <v>76</v>
      </c>
      <c r="H320" s="40"/>
      <c r="I320" s="40" t="s">
        <v>373</v>
      </c>
      <c r="J320" s="8"/>
      <c r="K320" s="8"/>
      <c r="L320" s="8" t="s">
        <v>70</v>
      </c>
      <c r="M320" s="8"/>
      <c r="N320" s="8"/>
      <c r="O320" s="9"/>
      <c r="P320" s="3"/>
      <c r="Q320" s="8"/>
    </row>
    <row r="321" spans="1:17" x14ac:dyDescent="0.3">
      <c r="A321" s="87"/>
      <c r="B321" s="97">
        <v>320</v>
      </c>
      <c r="C321" s="39"/>
      <c r="D321" s="40" t="s">
        <v>374</v>
      </c>
      <c r="E321" s="41">
        <v>20580</v>
      </c>
      <c r="F321" s="40">
        <v>2543111</v>
      </c>
      <c r="G321" s="40">
        <f t="shared" ca="1" si="16"/>
        <v>70</v>
      </c>
      <c r="H321" s="40"/>
      <c r="I321" s="40"/>
      <c r="J321" s="8"/>
      <c r="K321" s="8"/>
      <c r="L321" s="8" t="s">
        <v>70</v>
      </c>
      <c r="M321" s="8"/>
      <c r="N321" s="8"/>
      <c r="O321" s="9"/>
      <c r="P321" s="3"/>
      <c r="Q321" s="8"/>
    </row>
    <row r="322" spans="1:17" x14ac:dyDescent="0.3">
      <c r="A322" s="94"/>
      <c r="B322" s="97">
        <v>321</v>
      </c>
      <c r="C322" s="46">
        <v>44497</v>
      </c>
      <c r="D322" s="47" t="s">
        <v>375</v>
      </c>
      <c r="E322" s="48"/>
      <c r="F322" s="47"/>
      <c r="G322" s="47"/>
      <c r="H322" s="47"/>
      <c r="I322" s="47" t="s">
        <v>376</v>
      </c>
      <c r="J322" s="8"/>
      <c r="K322" s="8"/>
      <c r="L322" s="8"/>
      <c r="M322" s="8"/>
      <c r="N322" s="8"/>
      <c r="O322" s="9"/>
      <c r="P322" s="3"/>
      <c r="Q322" s="8"/>
    </row>
    <row r="323" spans="1:17" x14ac:dyDescent="0.3">
      <c r="A323" s="88"/>
      <c r="B323" s="97">
        <v>322</v>
      </c>
      <c r="C323" s="60">
        <v>44864</v>
      </c>
      <c r="D323" s="1" t="s">
        <v>377</v>
      </c>
      <c r="E323" s="2">
        <v>16181</v>
      </c>
      <c r="F323" s="1">
        <v>1221225</v>
      </c>
      <c r="G323" s="1">
        <f ca="1">YEAR(TODAY())-YEAR(E323)</f>
        <v>82</v>
      </c>
      <c r="H323" s="1"/>
      <c r="I323" s="1"/>
      <c r="J323" s="8"/>
      <c r="K323" s="8"/>
      <c r="L323" s="8"/>
      <c r="M323" s="8"/>
      <c r="N323" s="8"/>
      <c r="O323" s="9"/>
      <c r="P323" s="3"/>
      <c r="Q323" s="8"/>
    </row>
    <row r="324" spans="1:17" x14ac:dyDescent="0.3">
      <c r="A324" s="88"/>
      <c r="B324" s="97">
        <v>323</v>
      </c>
      <c r="C324" s="8"/>
      <c r="D324" s="1" t="s">
        <v>378</v>
      </c>
      <c r="E324" s="2">
        <v>18917</v>
      </c>
      <c r="F324" s="1">
        <v>2221228</v>
      </c>
      <c r="G324" s="1">
        <f ca="1">YEAR(TODAY())-YEAR(E324)</f>
        <v>75</v>
      </c>
      <c r="H324" s="1"/>
      <c r="I324" s="1"/>
      <c r="J324" s="8"/>
      <c r="K324" s="8"/>
      <c r="L324" s="8"/>
      <c r="M324" s="8"/>
      <c r="N324" s="8"/>
      <c r="O324" s="9"/>
      <c r="P324" s="3"/>
      <c r="Q324" s="8"/>
    </row>
    <row r="325" spans="1:17" x14ac:dyDescent="0.3">
      <c r="A325" s="94"/>
      <c r="B325" s="97">
        <v>324</v>
      </c>
      <c r="C325" s="46">
        <v>44864</v>
      </c>
      <c r="D325" s="47" t="s">
        <v>306</v>
      </c>
      <c r="E325" s="48">
        <v>25606</v>
      </c>
      <c r="F325" s="47">
        <v>1055511</v>
      </c>
      <c r="G325" s="40">
        <f t="shared" ca="1" si="16"/>
        <v>56</v>
      </c>
      <c r="H325" s="47"/>
      <c r="I325" s="47" t="s">
        <v>307</v>
      </c>
      <c r="J325" s="8"/>
      <c r="K325" s="8"/>
      <c r="L325" s="8"/>
      <c r="M325" s="8"/>
      <c r="N325" s="8"/>
      <c r="O325" s="9"/>
      <c r="P325" s="3"/>
      <c r="Q325" s="8"/>
    </row>
    <row r="326" spans="1:17" x14ac:dyDescent="0.3">
      <c r="A326" s="82"/>
      <c r="B326" s="97">
        <v>325</v>
      </c>
      <c r="C326" s="44">
        <v>44499</v>
      </c>
      <c r="D326" s="30" t="s">
        <v>379</v>
      </c>
      <c r="E326" s="31"/>
      <c r="F326" s="30"/>
      <c r="G326" s="30"/>
      <c r="H326" s="30"/>
      <c r="I326" s="30" t="s">
        <v>380</v>
      </c>
      <c r="J326" s="8"/>
      <c r="K326" s="8"/>
      <c r="L326" s="8"/>
      <c r="M326" s="8"/>
      <c r="N326" s="8"/>
      <c r="O326" s="9"/>
      <c r="P326" s="3"/>
      <c r="Q326" s="8"/>
    </row>
    <row r="327" spans="1:17" x14ac:dyDescent="0.3">
      <c r="A327" s="82"/>
      <c r="B327" s="97">
        <v>326</v>
      </c>
      <c r="C327" s="44">
        <v>44501</v>
      </c>
      <c r="D327" s="30" t="s">
        <v>379</v>
      </c>
      <c r="E327" s="31"/>
      <c r="F327" s="30"/>
      <c r="G327" s="30"/>
      <c r="H327" s="30"/>
      <c r="I327" s="30" t="s">
        <v>381</v>
      </c>
      <c r="J327" s="8"/>
      <c r="K327" s="8"/>
      <c r="L327" s="8"/>
      <c r="M327" s="8"/>
      <c r="N327" s="8"/>
      <c r="O327" s="9"/>
      <c r="P327" s="3"/>
      <c r="Q327" s="8"/>
    </row>
    <row r="328" spans="1:17" x14ac:dyDescent="0.3">
      <c r="A328" s="77"/>
      <c r="B328" s="97">
        <v>327</v>
      </c>
      <c r="C328" s="24">
        <v>44504</v>
      </c>
      <c r="D328" s="22" t="s">
        <v>382</v>
      </c>
      <c r="E328" s="25">
        <v>28212</v>
      </c>
      <c r="F328" s="22">
        <v>1005819</v>
      </c>
      <c r="G328" s="22">
        <f ca="1">YEAR(TODAY())-YEAR(E328)</f>
        <v>49</v>
      </c>
      <c r="H328" s="22"/>
      <c r="I328" s="1" t="s">
        <v>225</v>
      </c>
      <c r="J328" s="8"/>
      <c r="K328" s="8"/>
      <c r="L328" s="8"/>
      <c r="M328" s="8"/>
      <c r="N328" s="8"/>
      <c r="O328" s="9"/>
      <c r="P328" s="3"/>
      <c r="Q328" s="8"/>
    </row>
    <row r="329" spans="1:17" x14ac:dyDescent="0.3">
      <c r="A329" s="77"/>
      <c r="B329" s="97">
        <v>328</v>
      </c>
      <c r="C329" s="21"/>
      <c r="D329" s="22" t="s">
        <v>383</v>
      </c>
      <c r="E329" s="25">
        <v>28179</v>
      </c>
      <c r="F329" s="22">
        <v>6100793</v>
      </c>
      <c r="G329" s="22">
        <f ca="1">YEAR(TODAY())-YEAR(E329)</f>
        <v>49</v>
      </c>
      <c r="H329" s="22"/>
      <c r="I329" s="1"/>
      <c r="J329" s="8"/>
      <c r="K329" s="8"/>
      <c r="L329" s="8"/>
      <c r="M329" s="8"/>
      <c r="N329" s="8"/>
      <c r="O329" s="9"/>
      <c r="P329" s="3"/>
      <c r="Q329" s="8"/>
    </row>
    <row r="330" spans="1:17" x14ac:dyDescent="0.3">
      <c r="A330" s="77"/>
      <c r="B330" s="97">
        <v>329</v>
      </c>
      <c r="C330" s="21"/>
      <c r="D330" s="22" t="s">
        <v>384</v>
      </c>
      <c r="E330" s="25">
        <v>37600</v>
      </c>
      <c r="F330" s="22">
        <v>3476019</v>
      </c>
      <c r="G330" s="22">
        <f ca="1">YEAR(TODAY())-YEAR(E330)</f>
        <v>24</v>
      </c>
      <c r="H330" s="22"/>
      <c r="I330" s="1"/>
      <c r="J330" s="8"/>
      <c r="K330" s="8"/>
      <c r="L330" s="8"/>
      <c r="M330" s="8"/>
      <c r="N330" s="8"/>
      <c r="O330" s="9"/>
      <c r="P330" s="3"/>
      <c r="Q330" s="8"/>
    </row>
    <row r="331" spans="1:17" x14ac:dyDescent="0.3">
      <c r="A331" s="77"/>
      <c r="B331" s="97">
        <v>330</v>
      </c>
      <c r="C331" s="21"/>
      <c r="D331" s="22" t="s">
        <v>385</v>
      </c>
      <c r="E331" s="25">
        <v>38728</v>
      </c>
      <c r="F331" s="22">
        <v>3476010</v>
      </c>
      <c r="G331" s="22">
        <f t="shared" ref="G331:G356" ca="1" si="17">YEAR(TODAY())-YEAR(E331)</f>
        <v>20</v>
      </c>
      <c r="H331" s="22"/>
      <c r="I331" s="1"/>
      <c r="J331" s="8"/>
      <c r="K331" s="8"/>
      <c r="L331" s="8"/>
      <c r="M331" s="8"/>
      <c r="N331" s="8"/>
      <c r="O331" s="9"/>
      <c r="P331" s="3"/>
      <c r="Q331" s="8"/>
    </row>
    <row r="332" spans="1:17" x14ac:dyDescent="0.3">
      <c r="A332" s="77"/>
      <c r="B332" s="97">
        <v>331</v>
      </c>
      <c r="C332" s="21"/>
      <c r="D332" s="22" t="s">
        <v>386</v>
      </c>
      <c r="E332" s="25">
        <v>39490</v>
      </c>
      <c r="F332" s="22">
        <v>3475913</v>
      </c>
      <c r="G332" s="22">
        <f t="shared" ca="1" si="17"/>
        <v>18</v>
      </c>
      <c r="H332" s="22"/>
      <c r="I332" s="1"/>
      <c r="J332" s="8"/>
      <c r="K332" s="8"/>
      <c r="L332" s="8"/>
      <c r="M332" s="8"/>
      <c r="N332" s="8"/>
      <c r="O332" s="9"/>
      <c r="P332" s="3"/>
      <c r="Q332" s="8"/>
    </row>
    <row r="333" spans="1:17" x14ac:dyDescent="0.3">
      <c r="A333" s="77"/>
      <c r="B333" s="97">
        <v>332</v>
      </c>
      <c r="C333" s="21"/>
      <c r="D333" s="22" t="s">
        <v>387</v>
      </c>
      <c r="E333" s="25">
        <v>40333</v>
      </c>
      <c r="F333" s="22">
        <v>4475926</v>
      </c>
      <c r="G333" s="22">
        <f t="shared" ca="1" si="17"/>
        <v>16</v>
      </c>
      <c r="H333" s="22"/>
      <c r="I333" s="1"/>
      <c r="J333" s="8"/>
      <c r="K333" s="8"/>
      <c r="L333" s="8"/>
      <c r="M333" s="8"/>
      <c r="N333" s="8"/>
      <c r="O333" s="9"/>
      <c r="P333" s="3"/>
      <c r="Q333" s="8"/>
    </row>
    <row r="334" spans="1:17" x14ac:dyDescent="0.3">
      <c r="A334" s="84"/>
      <c r="B334" s="97">
        <v>333</v>
      </c>
      <c r="C334" s="43"/>
      <c r="D334" s="27" t="s">
        <v>388</v>
      </c>
      <c r="E334" s="28">
        <v>28599</v>
      </c>
      <c r="F334" s="27">
        <v>2823617</v>
      </c>
      <c r="G334" s="27">
        <f t="shared" ca="1" si="17"/>
        <v>48</v>
      </c>
      <c r="H334" s="27"/>
      <c r="I334" s="27"/>
      <c r="J334" s="8"/>
      <c r="K334" s="8"/>
      <c r="L334" s="8"/>
      <c r="M334" s="8"/>
      <c r="N334" s="8"/>
      <c r="O334" s="9"/>
      <c r="P334" s="3"/>
      <c r="Q334" s="8"/>
    </row>
    <row r="335" spans="1:17" x14ac:dyDescent="0.3">
      <c r="A335" s="84"/>
      <c r="B335" s="97">
        <v>334</v>
      </c>
      <c r="C335" s="43">
        <v>44504</v>
      </c>
      <c r="D335" s="27" t="s">
        <v>389</v>
      </c>
      <c r="E335" s="28">
        <v>28394</v>
      </c>
      <c r="F335" s="27">
        <v>1804310</v>
      </c>
      <c r="G335" s="27">
        <f t="shared" ca="1" si="17"/>
        <v>49</v>
      </c>
      <c r="H335" s="27"/>
      <c r="I335" s="27" t="s">
        <v>390</v>
      </c>
      <c r="J335" s="8"/>
      <c r="K335" s="8"/>
      <c r="L335" s="8"/>
      <c r="M335" s="8"/>
      <c r="N335" s="8"/>
      <c r="O335" s="9"/>
      <c r="P335" s="3"/>
      <c r="Q335" s="8"/>
    </row>
    <row r="336" spans="1:17" x14ac:dyDescent="0.3">
      <c r="A336" s="84"/>
      <c r="B336" s="97">
        <v>335</v>
      </c>
      <c r="C336" s="26"/>
      <c r="D336" s="27" t="s">
        <v>391</v>
      </c>
      <c r="E336" s="28">
        <v>40015</v>
      </c>
      <c r="F336" s="27">
        <v>3411611</v>
      </c>
      <c r="G336" s="27">
        <f t="shared" ca="1" si="17"/>
        <v>17</v>
      </c>
      <c r="H336" s="27"/>
      <c r="I336" s="27"/>
      <c r="J336" s="8"/>
      <c r="K336" s="8"/>
      <c r="L336" s="8"/>
      <c r="M336" s="8"/>
      <c r="N336" s="8"/>
      <c r="O336" s="9"/>
      <c r="P336" s="3"/>
      <c r="Q336" s="8"/>
    </row>
    <row r="337" spans="1:17" x14ac:dyDescent="0.3">
      <c r="A337" s="84"/>
      <c r="B337" s="97">
        <v>336</v>
      </c>
      <c r="C337" s="26"/>
      <c r="D337" s="27" t="s">
        <v>392</v>
      </c>
      <c r="E337" s="28">
        <v>40960</v>
      </c>
      <c r="F337" s="27">
        <v>3412512</v>
      </c>
      <c r="G337" s="27">
        <f t="shared" ca="1" si="17"/>
        <v>14</v>
      </c>
      <c r="H337" s="27"/>
      <c r="I337" s="27"/>
      <c r="J337" s="8"/>
      <c r="K337" s="8"/>
      <c r="L337" s="8"/>
      <c r="M337" s="8"/>
      <c r="N337" s="8"/>
      <c r="O337" s="9"/>
      <c r="P337" s="3"/>
      <c r="Q337" s="8"/>
    </row>
    <row r="338" spans="1:17" x14ac:dyDescent="0.3">
      <c r="A338" s="87"/>
      <c r="B338" s="97">
        <v>337</v>
      </c>
      <c r="C338" s="42">
        <v>44874</v>
      </c>
      <c r="D338" s="40" t="s">
        <v>69</v>
      </c>
      <c r="E338" s="41">
        <v>23049</v>
      </c>
      <c r="F338" s="40">
        <v>2478417</v>
      </c>
      <c r="G338" s="40">
        <f t="shared" ca="1" si="17"/>
        <v>63</v>
      </c>
      <c r="H338" s="40"/>
      <c r="I338" s="1" t="s">
        <v>70</v>
      </c>
      <c r="J338" s="8"/>
      <c r="K338" s="8"/>
      <c r="L338" s="8"/>
      <c r="M338" s="8"/>
      <c r="N338" s="8"/>
      <c r="O338" s="9"/>
      <c r="P338" s="3"/>
      <c r="Q338" s="8"/>
    </row>
    <row r="339" spans="1:17" x14ac:dyDescent="0.3">
      <c r="A339" s="88"/>
      <c r="B339" s="97">
        <v>338</v>
      </c>
      <c r="C339" s="60">
        <v>44876</v>
      </c>
      <c r="D339" s="1" t="s">
        <v>272</v>
      </c>
      <c r="E339" s="2">
        <v>28464</v>
      </c>
      <c r="F339" s="1">
        <v>1122725</v>
      </c>
      <c r="G339" s="1">
        <f t="shared" ca="1" si="17"/>
        <v>49</v>
      </c>
      <c r="H339" s="1"/>
      <c r="I339" s="1"/>
      <c r="J339" s="8"/>
      <c r="K339" s="8"/>
      <c r="L339" s="8"/>
      <c r="M339" s="8"/>
      <c r="N339" s="8"/>
      <c r="O339" s="9"/>
      <c r="P339" s="3"/>
      <c r="Q339" s="8"/>
    </row>
    <row r="340" spans="1:17" x14ac:dyDescent="0.3">
      <c r="A340" s="88"/>
      <c r="B340" s="97">
        <v>339</v>
      </c>
      <c r="C340" s="8"/>
      <c r="D340" s="1" t="s">
        <v>273</v>
      </c>
      <c r="E340" s="2">
        <v>28457</v>
      </c>
      <c r="F340" s="1">
        <v>2122611</v>
      </c>
      <c r="G340" s="1">
        <f t="shared" ca="1" si="17"/>
        <v>49</v>
      </c>
      <c r="H340" s="1"/>
      <c r="I340" s="1"/>
      <c r="J340" s="8"/>
      <c r="K340" s="8"/>
      <c r="L340" s="8"/>
      <c r="M340" s="8"/>
      <c r="N340" s="8"/>
      <c r="O340" s="9"/>
      <c r="P340" s="3"/>
      <c r="Q340" s="8"/>
    </row>
    <row r="341" spans="1:17" x14ac:dyDescent="0.3">
      <c r="A341" s="88"/>
      <c r="B341" s="97">
        <v>340</v>
      </c>
      <c r="C341" s="8"/>
      <c r="D341" s="1" t="s">
        <v>274</v>
      </c>
      <c r="E341" s="2">
        <v>38767</v>
      </c>
      <c r="F341" s="1">
        <v>4904612</v>
      </c>
      <c r="G341" s="1">
        <f t="shared" ca="1" si="17"/>
        <v>20</v>
      </c>
      <c r="H341" s="1"/>
      <c r="I341" s="1"/>
      <c r="J341" s="8"/>
      <c r="K341" s="8"/>
      <c r="L341" s="8"/>
      <c r="M341" s="8"/>
      <c r="N341" s="8"/>
      <c r="O341" s="9"/>
      <c r="P341" s="3"/>
      <c r="Q341" s="8"/>
    </row>
    <row r="342" spans="1:17" x14ac:dyDescent="0.3">
      <c r="A342" s="85"/>
      <c r="B342" s="97">
        <v>341</v>
      </c>
      <c r="C342" s="38">
        <v>44876</v>
      </c>
      <c r="D342" s="36" t="s">
        <v>39</v>
      </c>
      <c r="E342" s="37">
        <v>31471</v>
      </c>
      <c r="F342" s="36">
        <v>2542817</v>
      </c>
      <c r="G342" s="36">
        <f t="shared" ca="1" si="17"/>
        <v>40</v>
      </c>
      <c r="H342" s="36"/>
      <c r="I342" s="1" t="s">
        <v>40</v>
      </c>
      <c r="J342" s="8"/>
      <c r="K342" s="8"/>
      <c r="L342" s="8"/>
      <c r="M342" s="8"/>
      <c r="N342" s="8"/>
      <c r="O342" s="9"/>
      <c r="P342" s="3"/>
      <c r="Q342" s="8"/>
    </row>
    <row r="343" spans="1:17" x14ac:dyDescent="0.3">
      <c r="A343" s="81"/>
      <c r="B343" s="97">
        <v>342</v>
      </c>
      <c r="C343" s="32"/>
      <c r="D343" s="33" t="s">
        <v>393</v>
      </c>
      <c r="E343" s="34">
        <v>34175</v>
      </c>
      <c r="F343" s="33">
        <v>2251719</v>
      </c>
      <c r="G343" s="33">
        <f t="shared" ca="1" si="17"/>
        <v>33</v>
      </c>
      <c r="H343" s="33"/>
      <c r="I343" s="33"/>
      <c r="J343" s="8"/>
      <c r="K343" s="8"/>
      <c r="L343" s="8"/>
      <c r="M343" s="8"/>
      <c r="N343" s="8"/>
      <c r="O343" s="9"/>
      <c r="P343" s="3"/>
      <c r="Q343" s="8"/>
    </row>
    <row r="344" spans="1:17" x14ac:dyDescent="0.3">
      <c r="A344" s="81"/>
      <c r="B344" s="97">
        <v>343</v>
      </c>
      <c r="C344" s="45">
        <v>44512</v>
      </c>
      <c r="D344" s="33" t="s">
        <v>394</v>
      </c>
      <c r="E344" s="34">
        <v>30471</v>
      </c>
      <c r="F344" s="33">
        <v>1476417</v>
      </c>
      <c r="G344" s="33">
        <f t="shared" ca="1" si="17"/>
        <v>43</v>
      </c>
      <c r="H344" s="33"/>
      <c r="I344" s="33" t="s">
        <v>305</v>
      </c>
      <c r="J344" s="8"/>
      <c r="K344" s="8"/>
      <c r="L344" s="8"/>
      <c r="M344" s="8"/>
      <c r="N344" s="8"/>
      <c r="O344" s="9"/>
      <c r="P344" s="3"/>
      <c r="Q344" s="8"/>
    </row>
    <row r="345" spans="1:17" x14ac:dyDescent="0.3">
      <c r="A345" s="81"/>
      <c r="B345" s="97">
        <v>344</v>
      </c>
      <c r="C345" s="32"/>
      <c r="D345" s="33" t="s">
        <v>395</v>
      </c>
      <c r="E345" s="34">
        <v>21502</v>
      </c>
      <c r="F345" s="33">
        <v>2</v>
      </c>
      <c r="G345" s="33">
        <f t="shared" ca="1" si="17"/>
        <v>68</v>
      </c>
      <c r="H345" s="33"/>
      <c r="I345" s="33"/>
      <c r="J345" s="8"/>
      <c r="K345" s="8"/>
      <c r="L345" s="8"/>
      <c r="M345" s="8"/>
      <c r="N345" s="8"/>
      <c r="O345" s="9"/>
      <c r="P345" s="3"/>
      <c r="Q345" s="8"/>
    </row>
    <row r="346" spans="1:17" x14ac:dyDescent="0.3">
      <c r="A346" s="81"/>
      <c r="B346" s="97">
        <v>345</v>
      </c>
      <c r="C346" s="32"/>
      <c r="D346" s="33" t="s">
        <v>396</v>
      </c>
      <c r="E346" s="34">
        <v>43096</v>
      </c>
      <c r="F346" s="33">
        <v>3478819</v>
      </c>
      <c r="G346" s="33">
        <f t="shared" ca="1" si="17"/>
        <v>9</v>
      </c>
      <c r="H346" s="33"/>
      <c r="I346" s="33"/>
      <c r="J346" s="8"/>
      <c r="K346" s="8"/>
      <c r="L346" s="8"/>
      <c r="M346" s="8"/>
      <c r="N346" s="8"/>
      <c r="O346" s="9"/>
      <c r="P346" s="3"/>
      <c r="Q346" s="8"/>
    </row>
    <row r="347" spans="1:17" x14ac:dyDescent="0.3">
      <c r="A347" s="81"/>
      <c r="B347" s="97">
        <v>346</v>
      </c>
      <c r="C347" s="32"/>
      <c r="D347" s="33" t="s">
        <v>397</v>
      </c>
      <c r="E347" s="34">
        <v>43846</v>
      </c>
      <c r="F347" s="33">
        <v>4478819</v>
      </c>
      <c r="G347" s="33">
        <f t="shared" ca="1" si="17"/>
        <v>6</v>
      </c>
      <c r="H347" s="33"/>
      <c r="I347" s="33"/>
      <c r="J347" s="8"/>
      <c r="K347" s="8"/>
      <c r="L347" s="8"/>
      <c r="M347" s="8"/>
      <c r="N347" s="8"/>
      <c r="O347" s="9"/>
      <c r="P347" s="3"/>
      <c r="Q347" s="8"/>
    </row>
    <row r="348" spans="1:17" x14ac:dyDescent="0.3">
      <c r="A348" s="8"/>
      <c r="B348" s="97">
        <v>347</v>
      </c>
      <c r="C348" s="60">
        <v>44878</v>
      </c>
      <c r="D348" s="1" t="s">
        <v>398</v>
      </c>
      <c r="E348" s="2">
        <v>25810</v>
      </c>
      <c r="F348" s="1">
        <v>1788319</v>
      </c>
      <c r="G348" s="1">
        <f t="shared" ca="1" si="17"/>
        <v>56</v>
      </c>
      <c r="H348" s="1"/>
      <c r="I348" s="1" t="s">
        <v>232</v>
      </c>
      <c r="J348" s="8"/>
      <c r="K348" s="8"/>
      <c r="L348" s="8"/>
      <c r="M348" s="8"/>
      <c r="N348" s="8"/>
      <c r="O348" s="9"/>
      <c r="P348" s="3"/>
      <c r="Q348" s="8"/>
    </row>
    <row r="349" spans="1:17" x14ac:dyDescent="0.3">
      <c r="A349" s="8"/>
      <c r="B349" s="97">
        <v>348</v>
      </c>
      <c r="C349" s="8"/>
      <c r="D349" s="1" t="s">
        <v>399</v>
      </c>
      <c r="E349" s="2">
        <v>25766</v>
      </c>
      <c r="F349" s="1">
        <v>2251227</v>
      </c>
      <c r="G349" s="1">
        <f t="shared" ca="1" si="17"/>
        <v>56</v>
      </c>
      <c r="H349" s="1"/>
      <c r="I349" s="1"/>
      <c r="J349" s="8"/>
      <c r="K349" s="8"/>
      <c r="L349" s="8"/>
      <c r="M349" s="8"/>
      <c r="N349" s="8"/>
      <c r="O349" s="9"/>
      <c r="P349" s="3"/>
      <c r="Q349" s="8"/>
    </row>
    <row r="350" spans="1:17" x14ac:dyDescent="0.3">
      <c r="A350" s="8"/>
      <c r="B350" s="97">
        <v>349</v>
      </c>
      <c r="C350" s="8"/>
      <c r="D350" s="1" t="s">
        <v>400</v>
      </c>
      <c r="E350" s="2">
        <v>36275</v>
      </c>
      <c r="F350" s="1">
        <v>1735117</v>
      </c>
      <c r="G350" s="1">
        <f t="shared" ca="1" si="17"/>
        <v>27</v>
      </c>
      <c r="H350" s="1"/>
      <c r="I350" s="1"/>
      <c r="J350" s="8"/>
      <c r="K350" s="8"/>
      <c r="L350" s="8"/>
      <c r="M350" s="8"/>
      <c r="N350" s="8"/>
      <c r="O350" s="9"/>
      <c r="P350" s="3"/>
      <c r="Q350" s="8"/>
    </row>
    <row r="351" spans="1:17" x14ac:dyDescent="0.3">
      <c r="A351" s="8"/>
      <c r="B351" s="97">
        <v>350</v>
      </c>
      <c r="C351" s="8"/>
      <c r="D351" s="1" t="s">
        <v>401</v>
      </c>
      <c r="E351" s="2">
        <v>37284</v>
      </c>
      <c r="F351" s="1">
        <v>3735219</v>
      </c>
      <c r="G351" s="1">
        <f t="shared" ca="1" si="17"/>
        <v>24</v>
      </c>
      <c r="H351" s="1"/>
      <c r="I351" s="1"/>
      <c r="J351" s="8"/>
      <c r="K351" s="8"/>
      <c r="L351" s="8"/>
      <c r="M351" s="8"/>
      <c r="N351" s="8"/>
      <c r="O351" s="9"/>
      <c r="P351" s="3"/>
      <c r="Q351" s="8"/>
    </row>
    <row r="352" spans="1:17" x14ac:dyDescent="0.3">
      <c r="A352" s="82"/>
      <c r="B352" s="97">
        <v>351</v>
      </c>
      <c r="C352" s="44">
        <v>44878</v>
      </c>
      <c r="D352" s="30" t="s">
        <v>402</v>
      </c>
      <c r="E352" s="31">
        <v>28895</v>
      </c>
      <c r="F352" s="30">
        <v>1273413</v>
      </c>
      <c r="G352" s="30">
        <f t="shared" ca="1" si="17"/>
        <v>47</v>
      </c>
      <c r="H352" s="30"/>
      <c r="I352" s="30"/>
      <c r="J352" s="8"/>
      <c r="K352" s="8"/>
      <c r="L352" s="8"/>
      <c r="M352" s="8"/>
      <c r="N352" s="8"/>
      <c r="O352" s="9"/>
      <c r="P352" s="3"/>
      <c r="Q352" s="8"/>
    </row>
    <row r="353" spans="1:17" x14ac:dyDescent="0.3">
      <c r="A353" s="82"/>
      <c r="B353" s="97">
        <v>352</v>
      </c>
      <c r="C353" s="29"/>
      <c r="D353" s="30" t="s">
        <v>403</v>
      </c>
      <c r="E353" s="31">
        <v>29495</v>
      </c>
      <c r="F353" s="30">
        <v>2476015</v>
      </c>
      <c r="G353" s="30">
        <f t="shared" ca="1" si="17"/>
        <v>46</v>
      </c>
      <c r="H353" s="30"/>
      <c r="I353" s="30"/>
      <c r="J353" s="8"/>
      <c r="K353" s="8"/>
      <c r="L353" s="8"/>
      <c r="M353" s="8"/>
      <c r="N353" s="8"/>
      <c r="O353" s="9"/>
      <c r="P353" s="3"/>
      <c r="Q353" s="8"/>
    </row>
    <row r="354" spans="1:17" x14ac:dyDescent="0.3">
      <c r="A354" s="82"/>
      <c r="B354" s="97">
        <v>353</v>
      </c>
      <c r="C354" s="29"/>
      <c r="D354" s="30" t="s">
        <v>404</v>
      </c>
      <c r="E354" s="31">
        <v>40350</v>
      </c>
      <c r="F354" s="30">
        <v>4215211</v>
      </c>
      <c r="G354" s="30">
        <f t="shared" ca="1" si="17"/>
        <v>16</v>
      </c>
      <c r="H354" s="30"/>
      <c r="I354" s="30"/>
      <c r="J354" s="8"/>
      <c r="K354" s="8"/>
      <c r="L354" s="8"/>
      <c r="M354" s="8"/>
      <c r="N354" s="8"/>
      <c r="O354" s="9"/>
      <c r="P354" s="3"/>
      <c r="Q354" s="8"/>
    </row>
    <row r="355" spans="1:17" x14ac:dyDescent="0.3">
      <c r="A355" s="82"/>
      <c r="B355" s="97">
        <v>354</v>
      </c>
      <c r="C355" s="29"/>
      <c r="D355" s="30" t="s">
        <v>405</v>
      </c>
      <c r="E355" s="31">
        <v>41685</v>
      </c>
      <c r="F355" s="30">
        <v>3475913</v>
      </c>
      <c r="G355" s="30">
        <f t="shared" ca="1" si="17"/>
        <v>12</v>
      </c>
      <c r="H355" s="30"/>
      <c r="I355" s="30"/>
      <c r="J355" s="8"/>
      <c r="K355" s="8"/>
      <c r="L355" s="8"/>
      <c r="M355" s="8"/>
      <c r="N355" s="8"/>
      <c r="O355" s="9"/>
      <c r="P355" s="3"/>
      <c r="Q355" s="8"/>
    </row>
    <row r="356" spans="1:17" x14ac:dyDescent="0.3">
      <c r="A356" s="82"/>
      <c r="B356" s="97">
        <v>355</v>
      </c>
      <c r="C356" s="29"/>
      <c r="D356" s="30" t="s">
        <v>406</v>
      </c>
      <c r="E356" s="31">
        <v>27044</v>
      </c>
      <c r="F356" s="30">
        <v>2273617</v>
      </c>
      <c r="G356" s="30">
        <f t="shared" ca="1" si="17"/>
        <v>52</v>
      </c>
      <c r="H356" s="30"/>
      <c r="I356" s="30"/>
      <c r="J356" s="8"/>
      <c r="K356" s="8"/>
      <c r="L356" s="8"/>
      <c r="M356" s="8"/>
      <c r="N356" s="8"/>
      <c r="O356" s="9"/>
      <c r="P356" s="3"/>
      <c r="Q356" s="8"/>
    </row>
    <row r="357" spans="1:17" x14ac:dyDescent="0.3">
      <c r="A357" s="81"/>
      <c r="B357" s="97">
        <v>356</v>
      </c>
      <c r="C357" s="45">
        <v>44515</v>
      </c>
      <c r="D357" s="33" t="s">
        <v>379</v>
      </c>
      <c r="E357" s="34"/>
      <c r="F357" s="33"/>
      <c r="G357" s="33"/>
      <c r="H357" s="33"/>
      <c r="I357" s="33" t="s">
        <v>407</v>
      </c>
      <c r="J357" s="8"/>
      <c r="K357" s="8"/>
      <c r="L357" s="8"/>
      <c r="M357" s="8"/>
      <c r="N357" s="8"/>
      <c r="O357" s="9"/>
      <c r="P357" s="3"/>
      <c r="Q357" s="8"/>
    </row>
    <row r="358" spans="1:17" x14ac:dyDescent="0.3">
      <c r="A358" s="81"/>
      <c r="B358" s="97">
        <v>357</v>
      </c>
      <c r="C358" s="45">
        <v>44517</v>
      </c>
      <c r="D358" s="33" t="s">
        <v>379</v>
      </c>
      <c r="E358" s="34"/>
      <c r="F358" s="33"/>
      <c r="G358" s="33"/>
      <c r="H358" s="33"/>
      <c r="I358" s="33" t="s">
        <v>408</v>
      </c>
      <c r="J358" s="8"/>
      <c r="K358" s="8"/>
      <c r="L358" s="8"/>
      <c r="M358" s="8"/>
      <c r="N358" s="8"/>
      <c r="O358" s="9"/>
      <c r="P358" s="3"/>
      <c r="Q358" s="8"/>
    </row>
    <row r="359" spans="1:17" x14ac:dyDescent="0.3">
      <c r="A359" s="77"/>
      <c r="B359" s="97">
        <v>358</v>
      </c>
      <c r="C359" s="24">
        <v>44519</v>
      </c>
      <c r="D359" s="22" t="s">
        <v>409</v>
      </c>
      <c r="E359" s="25">
        <v>21670</v>
      </c>
      <c r="F359" s="22">
        <v>1902011</v>
      </c>
      <c r="G359" s="22">
        <f t="shared" ref="G359:G391" ca="1" si="18">YEAR(TODAY())-YEAR(E359)</f>
        <v>67</v>
      </c>
      <c r="H359" s="22"/>
      <c r="I359" s="22" t="s">
        <v>410</v>
      </c>
      <c r="J359" s="8"/>
      <c r="K359" s="8"/>
      <c r="L359" s="8"/>
      <c r="M359" s="8"/>
      <c r="N359" s="8"/>
      <c r="O359" s="9"/>
      <c r="P359" s="3"/>
      <c r="Q359" s="8"/>
    </row>
    <row r="360" spans="1:17" x14ac:dyDescent="0.3">
      <c r="A360" s="77"/>
      <c r="B360" s="97">
        <v>359</v>
      </c>
      <c r="C360" s="21"/>
      <c r="D360" s="22" t="s">
        <v>411</v>
      </c>
      <c r="E360" s="25">
        <v>22449</v>
      </c>
      <c r="F360" s="22">
        <v>2850822</v>
      </c>
      <c r="G360" s="22">
        <f t="shared" ca="1" si="18"/>
        <v>65</v>
      </c>
      <c r="H360" s="22"/>
      <c r="I360" s="22"/>
      <c r="J360" s="8"/>
      <c r="K360" s="8"/>
      <c r="L360" s="8"/>
      <c r="M360" s="8"/>
      <c r="N360" s="8"/>
      <c r="O360" s="9"/>
      <c r="P360" s="3"/>
      <c r="Q360" s="8"/>
    </row>
    <row r="361" spans="1:17" x14ac:dyDescent="0.3">
      <c r="A361" s="85"/>
      <c r="B361" s="97">
        <v>360</v>
      </c>
      <c r="C361" s="38">
        <v>44521</v>
      </c>
      <c r="D361" s="36" t="s">
        <v>412</v>
      </c>
      <c r="E361" s="37">
        <v>24638</v>
      </c>
      <c r="F361" s="36">
        <v>1628116</v>
      </c>
      <c r="G361" s="36">
        <f t="shared" ca="1" si="18"/>
        <v>59</v>
      </c>
      <c r="H361" s="36"/>
      <c r="I361" s="36" t="s">
        <v>413</v>
      </c>
      <c r="J361" s="8"/>
      <c r="K361" s="8"/>
      <c r="L361" s="8"/>
      <c r="M361" s="8"/>
      <c r="N361" s="8"/>
      <c r="O361" s="9"/>
      <c r="P361" s="3"/>
      <c r="Q361" s="8"/>
    </row>
    <row r="362" spans="1:17" x14ac:dyDescent="0.3">
      <c r="A362" s="85"/>
      <c r="B362" s="97">
        <v>361</v>
      </c>
      <c r="C362" s="35"/>
      <c r="D362" s="36" t="s">
        <v>414</v>
      </c>
      <c r="E362" s="37">
        <v>34851</v>
      </c>
      <c r="F362" s="36">
        <v>1209410</v>
      </c>
      <c r="G362" s="36">
        <f t="shared" ca="1" si="18"/>
        <v>31</v>
      </c>
      <c r="H362" s="36"/>
      <c r="I362" s="36"/>
      <c r="J362" s="8"/>
      <c r="K362" s="8"/>
      <c r="L362" s="8"/>
      <c r="M362" s="8"/>
      <c r="N362" s="8"/>
      <c r="O362" s="9"/>
      <c r="P362" s="3"/>
      <c r="Q362" s="8"/>
    </row>
    <row r="363" spans="1:17" x14ac:dyDescent="0.3">
      <c r="A363" s="85"/>
      <c r="B363" s="97">
        <v>362</v>
      </c>
      <c r="C363" s="38">
        <v>44887</v>
      </c>
      <c r="D363" s="36" t="s">
        <v>375</v>
      </c>
      <c r="E363" s="37"/>
      <c r="F363" s="36"/>
      <c r="G363" s="36"/>
      <c r="H363" s="36"/>
      <c r="I363" s="36" t="s">
        <v>70</v>
      </c>
      <c r="J363" s="8"/>
      <c r="K363" s="8"/>
      <c r="L363" s="8"/>
      <c r="M363" s="8"/>
      <c r="N363" s="8"/>
      <c r="O363" s="9"/>
      <c r="P363" s="3"/>
      <c r="Q363" s="8"/>
    </row>
    <row r="364" spans="1:17" x14ac:dyDescent="0.3">
      <c r="A364" s="84"/>
      <c r="B364" s="97">
        <v>363</v>
      </c>
      <c r="C364" s="43">
        <v>44522</v>
      </c>
      <c r="D364" s="27" t="s">
        <v>415</v>
      </c>
      <c r="E364" s="28">
        <v>30346</v>
      </c>
      <c r="F364" s="27">
        <v>2457210</v>
      </c>
      <c r="G364" s="27">
        <f t="shared" ca="1" si="18"/>
        <v>43</v>
      </c>
      <c r="H364" s="27"/>
      <c r="I364" s="27" t="s">
        <v>416</v>
      </c>
      <c r="J364" s="8"/>
      <c r="K364" s="8"/>
      <c r="L364" s="8"/>
      <c r="M364" s="8"/>
      <c r="N364" s="8"/>
      <c r="O364" s="9"/>
      <c r="P364" s="3"/>
      <c r="Q364" s="8"/>
    </row>
    <row r="365" spans="1:17" x14ac:dyDescent="0.3">
      <c r="A365" s="84"/>
      <c r="B365" s="97">
        <v>364</v>
      </c>
      <c r="C365" s="26"/>
      <c r="D365" s="27" t="s">
        <v>417</v>
      </c>
      <c r="E365" s="28">
        <v>30225</v>
      </c>
      <c r="F365" s="27">
        <v>1380917</v>
      </c>
      <c r="G365" s="27">
        <f t="shared" ca="1" si="18"/>
        <v>44</v>
      </c>
      <c r="H365" s="27"/>
      <c r="I365" s="27"/>
      <c r="J365" s="8"/>
      <c r="K365" s="8"/>
      <c r="L365" s="8"/>
      <c r="M365" s="8"/>
      <c r="N365" s="8"/>
      <c r="O365" s="9"/>
      <c r="P365" s="3"/>
      <c r="Q365" s="8"/>
    </row>
    <row r="366" spans="1:17" x14ac:dyDescent="0.3">
      <c r="A366" s="84"/>
      <c r="B366" s="97">
        <v>365</v>
      </c>
      <c r="C366" s="26"/>
      <c r="D366" s="27" t="s">
        <v>418</v>
      </c>
      <c r="E366" s="28">
        <v>41859</v>
      </c>
      <c r="F366" s="27">
        <v>4380824</v>
      </c>
      <c r="G366" s="27">
        <f t="shared" ca="1" si="18"/>
        <v>12</v>
      </c>
      <c r="H366" s="27"/>
      <c r="I366" s="27"/>
      <c r="J366" s="8"/>
      <c r="K366" s="8"/>
      <c r="L366" s="8"/>
      <c r="M366" s="8"/>
      <c r="N366" s="8"/>
      <c r="O366" s="9"/>
      <c r="P366" s="3"/>
      <c r="Q366" s="8"/>
    </row>
    <row r="367" spans="1:17" x14ac:dyDescent="0.3">
      <c r="A367" s="84"/>
      <c r="B367" s="97">
        <v>366</v>
      </c>
      <c r="C367" s="26"/>
      <c r="D367" s="27" t="s">
        <v>419</v>
      </c>
      <c r="E367" s="28">
        <v>42968</v>
      </c>
      <c r="F367" s="27">
        <v>3380811</v>
      </c>
      <c r="G367" s="27">
        <f t="shared" ca="1" si="18"/>
        <v>9</v>
      </c>
      <c r="H367" s="27"/>
      <c r="I367" s="27"/>
      <c r="J367" s="8"/>
      <c r="K367" s="8"/>
      <c r="L367" s="8"/>
      <c r="M367" s="8"/>
      <c r="N367" s="8"/>
      <c r="O367" s="9"/>
      <c r="P367" s="3"/>
      <c r="Q367" s="8"/>
    </row>
    <row r="368" spans="1:17" x14ac:dyDescent="0.3">
      <c r="B368" s="97">
        <v>367</v>
      </c>
      <c r="C368" s="60">
        <v>44889</v>
      </c>
      <c r="D368" s="1" t="s">
        <v>420</v>
      </c>
      <c r="E368" s="2">
        <v>17759</v>
      </c>
      <c r="F368" s="1">
        <v>2457313</v>
      </c>
      <c r="G368" s="1">
        <f ca="1">YEAR(TODAY())-YEAR(E368)</f>
        <v>78</v>
      </c>
      <c r="H368" s="1"/>
      <c r="I368" s="1" t="s">
        <v>33</v>
      </c>
      <c r="J368" s="8"/>
      <c r="K368" s="8"/>
      <c r="L368" s="8"/>
      <c r="M368" s="8"/>
      <c r="N368" s="8"/>
      <c r="O368" s="9"/>
      <c r="P368" s="3"/>
      <c r="Q368" s="8"/>
    </row>
    <row r="369" spans="1:17" x14ac:dyDescent="0.3">
      <c r="A369" s="95"/>
      <c r="B369" s="97">
        <v>368</v>
      </c>
      <c r="C369" s="44">
        <v>44524</v>
      </c>
      <c r="D369" s="30" t="s">
        <v>421</v>
      </c>
      <c r="E369" s="31">
        <v>29716</v>
      </c>
      <c r="F369" s="30">
        <v>2478810</v>
      </c>
      <c r="G369" s="30">
        <f t="shared" ca="1" si="18"/>
        <v>45</v>
      </c>
      <c r="H369" s="30"/>
      <c r="I369" s="30"/>
      <c r="J369" s="8"/>
      <c r="K369" s="8"/>
      <c r="L369" s="8"/>
      <c r="M369" s="8"/>
      <c r="N369" s="8"/>
      <c r="O369" s="9"/>
      <c r="P369" s="3"/>
      <c r="Q369" s="8"/>
    </row>
    <row r="370" spans="1:17" x14ac:dyDescent="0.3">
      <c r="A370" s="77"/>
      <c r="B370" s="97">
        <v>369</v>
      </c>
      <c r="C370" s="24">
        <v>44528</v>
      </c>
      <c r="D370" s="22" t="s">
        <v>422</v>
      </c>
      <c r="E370" s="25">
        <v>32177</v>
      </c>
      <c r="F370" s="22">
        <v>2740016</v>
      </c>
      <c r="G370" s="22">
        <f t="shared" ca="1" si="18"/>
        <v>38</v>
      </c>
      <c r="H370" s="22"/>
      <c r="I370" s="22" t="s">
        <v>423</v>
      </c>
      <c r="J370" s="8"/>
      <c r="K370" s="8"/>
      <c r="L370" s="8"/>
      <c r="M370" s="8"/>
      <c r="N370" s="8"/>
      <c r="O370" s="9"/>
      <c r="P370" s="3"/>
      <c r="Q370" s="8"/>
    </row>
    <row r="371" spans="1:17" x14ac:dyDescent="0.3">
      <c r="A371" s="77"/>
      <c r="B371" s="97">
        <v>370</v>
      </c>
      <c r="C371" s="21"/>
      <c r="D371" s="22" t="s">
        <v>424</v>
      </c>
      <c r="E371" s="25">
        <v>32010</v>
      </c>
      <c r="F371" s="22">
        <v>1173311</v>
      </c>
      <c r="G371" s="22">
        <f t="shared" ca="1" si="18"/>
        <v>39</v>
      </c>
      <c r="H371" s="22"/>
      <c r="I371" s="22"/>
      <c r="J371" s="8"/>
      <c r="K371" s="8"/>
      <c r="L371" s="8"/>
      <c r="M371" s="8"/>
      <c r="N371" s="8"/>
      <c r="O371" s="9"/>
      <c r="P371" s="3"/>
      <c r="Q371" s="8"/>
    </row>
    <row r="372" spans="1:17" x14ac:dyDescent="0.3">
      <c r="A372" s="77"/>
      <c r="B372" s="97">
        <v>371</v>
      </c>
      <c r="C372" s="21"/>
      <c r="D372" s="22" t="s">
        <v>425</v>
      </c>
      <c r="E372" s="25">
        <v>22135</v>
      </c>
      <c r="F372" s="22">
        <v>2804312</v>
      </c>
      <c r="G372" s="22">
        <f t="shared" ca="1" si="18"/>
        <v>66</v>
      </c>
      <c r="H372" s="22"/>
      <c r="I372" s="22"/>
      <c r="J372" s="8"/>
      <c r="K372" s="8"/>
      <c r="L372" s="8"/>
      <c r="M372" s="8"/>
      <c r="N372" s="8"/>
      <c r="O372" s="9"/>
      <c r="P372" s="3"/>
      <c r="Q372" s="8"/>
    </row>
    <row r="373" spans="1:17" x14ac:dyDescent="0.3">
      <c r="A373" s="77"/>
      <c r="B373" s="97">
        <v>372</v>
      </c>
      <c r="C373" s="21"/>
      <c r="D373" s="22" t="s">
        <v>426</v>
      </c>
      <c r="E373" s="25">
        <v>42810</v>
      </c>
      <c r="F373" s="22">
        <v>4412810</v>
      </c>
      <c r="G373" s="22">
        <f t="shared" ca="1" si="18"/>
        <v>9</v>
      </c>
      <c r="H373" s="22"/>
      <c r="I373" s="22"/>
      <c r="J373" s="8"/>
      <c r="K373" s="8"/>
      <c r="L373" s="8"/>
      <c r="M373" s="8"/>
      <c r="N373" s="8"/>
      <c r="O373" s="9"/>
      <c r="P373" s="3"/>
      <c r="Q373" s="8"/>
    </row>
    <row r="374" spans="1:17" x14ac:dyDescent="0.3">
      <c r="A374" s="77"/>
      <c r="B374" s="97">
        <v>373</v>
      </c>
      <c r="C374" s="21"/>
      <c r="D374" s="22" t="s">
        <v>427</v>
      </c>
      <c r="E374" s="25">
        <v>43907</v>
      </c>
      <c r="F374" s="22">
        <v>3476015</v>
      </c>
      <c r="G374" s="22">
        <f t="shared" ca="1" si="18"/>
        <v>6</v>
      </c>
      <c r="H374" s="22"/>
      <c r="I374" s="22"/>
      <c r="J374" s="8"/>
      <c r="K374" s="8"/>
      <c r="L374" s="8"/>
      <c r="M374" s="8"/>
      <c r="N374" s="8"/>
      <c r="O374" s="9"/>
      <c r="P374" s="3"/>
      <c r="Q374" s="8"/>
    </row>
    <row r="375" spans="1:17" x14ac:dyDescent="0.3">
      <c r="A375" s="96"/>
      <c r="B375" s="97">
        <v>374</v>
      </c>
      <c r="C375" s="36"/>
      <c r="D375" s="36" t="s">
        <v>428</v>
      </c>
      <c r="E375" s="37">
        <v>27660</v>
      </c>
      <c r="F375" s="36">
        <v>1473510</v>
      </c>
      <c r="G375" s="36">
        <f t="shared" ca="1" si="18"/>
        <v>51</v>
      </c>
      <c r="H375" s="36"/>
      <c r="I375" s="36"/>
      <c r="J375" s="8" t="s">
        <v>429</v>
      </c>
      <c r="K375" s="1" t="s">
        <v>430</v>
      </c>
      <c r="L375" s="1" t="s">
        <v>431</v>
      </c>
      <c r="M375" s="1"/>
      <c r="N375" s="1" t="s">
        <v>432</v>
      </c>
      <c r="O375" s="3">
        <v>30500</v>
      </c>
      <c r="P375" s="3">
        <v>2000</v>
      </c>
      <c r="Q375" s="1" t="s">
        <v>433</v>
      </c>
    </row>
    <row r="376" spans="1:17" x14ac:dyDescent="0.3">
      <c r="A376" s="96"/>
      <c r="B376" s="97">
        <v>375</v>
      </c>
      <c r="C376" s="49">
        <v>44528</v>
      </c>
      <c r="D376" s="36" t="s">
        <v>434</v>
      </c>
      <c r="E376" s="37">
        <v>28533</v>
      </c>
      <c r="F376" s="36">
        <v>2411717</v>
      </c>
      <c r="G376" s="36">
        <f t="shared" ca="1" si="18"/>
        <v>48</v>
      </c>
      <c r="H376" s="36"/>
      <c r="I376" s="36" t="s">
        <v>435</v>
      </c>
      <c r="J376" s="8" t="s">
        <v>436</v>
      </c>
      <c r="K376" s="1" t="s">
        <v>430</v>
      </c>
      <c r="L376" s="1" t="s">
        <v>431</v>
      </c>
      <c r="M376" s="1"/>
      <c r="N376" s="1" t="s">
        <v>432</v>
      </c>
      <c r="O376" s="3">
        <v>23000</v>
      </c>
      <c r="P376" s="3"/>
      <c r="Q376" s="1" t="s">
        <v>437</v>
      </c>
    </row>
    <row r="377" spans="1:17" x14ac:dyDescent="0.3">
      <c r="A377" s="96"/>
      <c r="B377" s="97">
        <v>376</v>
      </c>
      <c r="C377" s="36"/>
      <c r="D377" s="36" t="s">
        <v>438</v>
      </c>
      <c r="E377" s="37">
        <v>38799</v>
      </c>
      <c r="F377" s="36">
        <v>3411911</v>
      </c>
      <c r="G377" s="36">
        <f t="shared" ca="1" si="18"/>
        <v>20</v>
      </c>
      <c r="H377" s="36"/>
      <c r="I377" s="36"/>
      <c r="J377" s="8"/>
      <c r="K377" s="1" t="s">
        <v>430</v>
      </c>
      <c r="L377" s="1"/>
      <c r="M377" s="1"/>
      <c r="N377" s="1"/>
      <c r="O377" s="3"/>
      <c r="P377" s="3"/>
      <c r="Q377" s="1"/>
    </row>
    <row r="378" spans="1:17" x14ac:dyDescent="0.3">
      <c r="A378" s="96"/>
      <c r="B378" s="97">
        <v>377</v>
      </c>
      <c r="C378" s="36"/>
      <c r="D378" s="36" t="s">
        <v>439</v>
      </c>
      <c r="E378" s="37">
        <v>39657</v>
      </c>
      <c r="F378" s="36">
        <v>4411914</v>
      </c>
      <c r="G378" s="36">
        <f t="shared" ca="1" si="18"/>
        <v>18</v>
      </c>
      <c r="H378" s="36"/>
      <c r="I378" s="36"/>
      <c r="J378" s="8"/>
      <c r="K378" s="1" t="s">
        <v>430</v>
      </c>
      <c r="L378" s="1"/>
      <c r="M378" s="1"/>
      <c r="N378" s="1"/>
      <c r="O378" s="3"/>
      <c r="P378" s="3"/>
      <c r="Q378" s="1"/>
    </row>
    <row r="379" spans="1:17" x14ac:dyDescent="0.3">
      <c r="A379" s="97"/>
      <c r="B379" s="97">
        <v>378</v>
      </c>
      <c r="C379" s="56">
        <v>44894</v>
      </c>
      <c r="D379" s="33" t="s">
        <v>440</v>
      </c>
      <c r="E379" s="34">
        <v>24150</v>
      </c>
      <c r="F379" s="33">
        <v>2551111</v>
      </c>
      <c r="G379" s="33">
        <f t="shared" ca="1" si="18"/>
        <v>60</v>
      </c>
      <c r="H379" s="33"/>
      <c r="I379" s="33" t="s">
        <v>441</v>
      </c>
      <c r="J379" s="8"/>
      <c r="K379" s="1"/>
      <c r="L379" s="1"/>
      <c r="M379" s="1"/>
      <c r="N379" s="1"/>
      <c r="O379" s="3"/>
      <c r="P379" s="3"/>
      <c r="Q379" s="1"/>
    </row>
    <row r="380" spans="1:17" x14ac:dyDescent="0.3">
      <c r="A380" s="84"/>
      <c r="B380" s="97">
        <v>379</v>
      </c>
      <c r="C380" s="26"/>
      <c r="D380" s="27" t="s">
        <v>105</v>
      </c>
      <c r="E380" s="28">
        <v>25065</v>
      </c>
      <c r="F380" s="27">
        <v>1122629</v>
      </c>
      <c r="G380" s="27">
        <f t="shared" ca="1" si="18"/>
        <v>58</v>
      </c>
      <c r="H380" s="27"/>
      <c r="I380" s="27"/>
      <c r="J380" s="8"/>
      <c r="K380" s="8"/>
      <c r="L380" s="8"/>
      <c r="M380" s="8"/>
      <c r="N380" s="8"/>
      <c r="O380" s="9"/>
      <c r="P380" s="3"/>
      <c r="Q380" s="8"/>
    </row>
    <row r="381" spans="1:17" x14ac:dyDescent="0.3">
      <c r="A381" s="84"/>
      <c r="B381" s="97">
        <v>380</v>
      </c>
      <c r="C381" s="43">
        <v>44535</v>
      </c>
      <c r="D381" s="27" t="s">
        <v>442</v>
      </c>
      <c r="E381" s="28">
        <v>25206</v>
      </c>
      <c r="F381" s="27">
        <v>2779018</v>
      </c>
      <c r="G381" s="27">
        <f t="shared" ca="1" si="18"/>
        <v>57</v>
      </c>
      <c r="H381" s="27"/>
      <c r="I381" s="27" t="s">
        <v>443</v>
      </c>
      <c r="J381" s="8"/>
      <c r="K381" s="8"/>
      <c r="L381" s="8"/>
      <c r="M381" s="8"/>
      <c r="N381" s="8"/>
      <c r="O381" s="9"/>
      <c r="P381" s="3"/>
      <c r="Q381" s="8"/>
    </row>
    <row r="382" spans="1:17" x14ac:dyDescent="0.3">
      <c r="A382" s="84"/>
      <c r="B382" s="97">
        <v>381</v>
      </c>
      <c r="C382" s="26"/>
      <c r="D382" s="27" t="s">
        <v>444</v>
      </c>
      <c r="E382" s="28">
        <v>33596</v>
      </c>
      <c r="F382" s="27">
        <v>1125816</v>
      </c>
      <c r="G382" s="27">
        <f t="shared" ca="1" si="18"/>
        <v>35</v>
      </c>
      <c r="H382" s="27"/>
      <c r="I382" s="27"/>
      <c r="J382" s="8"/>
      <c r="K382" s="8"/>
      <c r="L382" s="8"/>
      <c r="M382" s="8"/>
      <c r="N382" s="8"/>
      <c r="O382" s="9"/>
      <c r="P382" s="3"/>
      <c r="Q382" s="8"/>
    </row>
    <row r="383" spans="1:17" x14ac:dyDescent="0.3">
      <c r="A383" s="84"/>
      <c r="B383" s="97">
        <v>382</v>
      </c>
      <c r="C383" s="26"/>
      <c r="D383" s="27" t="s">
        <v>445</v>
      </c>
      <c r="E383" s="28">
        <v>34646</v>
      </c>
      <c r="F383" s="27">
        <v>1125818</v>
      </c>
      <c r="G383" s="27">
        <f t="shared" ca="1" si="18"/>
        <v>32</v>
      </c>
      <c r="H383" s="27"/>
      <c r="I383" s="27"/>
      <c r="J383" s="8"/>
      <c r="K383" s="8"/>
      <c r="L383" s="8"/>
      <c r="M383" s="8"/>
      <c r="N383" s="8"/>
      <c r="O383" s="9"/>
      <c r="P383" s="3"/>
      <c r="Q383" s="8"/>
    </row>
    <row r="384" spans="1:17" x14ac:dyDescent="0.3">
      <c r="A384" s="88"/>
      <c r="B384" s="97">
        <v>383</v>
      </c>
      <c r="C384" s="60">
        <v>44903</v>
      </c>
      <c r="D384" s="1" t="s">
        <v>446</v>
      </c>
      <c r="E384" s="2">
        <v>26952</v>
      </c>
      <c r="F384" s="1">
        <v>1252315</v>
      </c>
      <c r="G384" s="1">
        <f t="shared" ca="1" si="18"/>
        <v>53</v>
      </c>
      <c r="H384" s="1"/>
      <c r="I384" s="1" t="s">
        <v>175</v>
      </c>
      <c r="J384" s="8"/>
      <c r="K384" s="8"/>
      <c r="L384" s="8"/>
      <c r="M384" s="8"/>
      <c r="N384" s="8"/>
      <c r="O384" s="9"/>
      <c r="P384" s="3"/>
      <c r="Q384" s="8"/>
    </row>
    <row r="385" spans="1:17" x14ac:dyDescent="0.3">
      <c r="A385" s="39"/>
      <c r="B385" s="97">
        <v>384</v>
      </c>
      <c r="C385" s="42">
        <v>44919</v>
      </c>
      <c r="D385" s="40" t="s">
        <v>84</v>
      </c>
      <c r="E385" s="41">
        <v>30604</v>
      </c>
      <c r="F385" s="40">
        <v>1852341</v>
      </c>
      <c r="G385" s="40">
        <f t="shared" ca="1" si="18"/>
        <v>43</v>
      </c>
      <c r="H385" s="40"/>
      <c r="I385" s="40" t="s">
        <v>447</v>
      </c>
      <c r="J385" s="39" t="s">
        <v>448</v>
      </c>
      <c r="K385" s="8"/>
      <c r="L385" s="8"/>
      <c r="M385" s="8"/>
      <c r="N385" s="8"/>
      <c r="O385" s="9"/>
      <c r="P385" s="3"/>
      <c r="Q385" s="8"/>
    </row>
    <row r="386" spans="1:17" x14ac:dyDescent="0.3">
      <c r="A386" s="39"/>
      <c r="B386" s="97">
        <v>385</v>
      </c>
      <c r="C386" s="39"/>
      <c r="D386" s="40" t="s">
        <v>449</v>
      </c>
      <c r="E386" s="41">
        <v>33226</v>
      </c>
      <c r="F386" s="40">
        <v>2400412</v>
      </c>
      <c r="G386" s="40">
        <f t="shared" ca="1" si="18"/>
        <v>36</v>
      </c>
      <c r="H386" s="40"/>
      <c r="I386" s="40"/>
      <c r="J386" s="39" t="s">
        <v>450</v>
      </c>
      <c r="K386" s="8"/>
      <c r="L386" s="8"/>
      <c r="M386" s="8"/>
      <c r="N386" s="8"/>
      <c r="O386" s="9"/>
      <c r="P386" s="3"/>
      <c r="Q386" s="8"/>
    </row>
    <row r="387" spans="1:17" x14ac:dyDescent="0.3">
      <c r="A387" s="39"/>
      <c r="B387" s="97">
        <v>386</v>
      </c>
      <c r="C387" s="39"/>
      <c r="D387" s="40" t="s">
        <v>451</v>
      </c>
      <c r="E387" s="41">
        <v>21249</v>
      </c>
      <c r="F387" s="40">
        <v>2251914</v>
      </c>
      <c r="G387" s="40">
        <f t="shared" ca="1" si="18"/>
        <v>68</v>
      </c>
      <c r="H387" s="40"/>
      <c r="I387" s="40"/>
      <c r="J387" s="39"/>
      <c r="K387" s="8"/>
      <c r="L387" s="8"/>
      <c r="M387" s="8"/>
      <c r="N387" s="8"/>
      <c r="O387" s="9"/>
      <c r="P387" s="3"/>
      <c r="Q387" s="8"/>
    </row>
    <row r="388" spans="1:17" x14ac:dyDescent="0.3">
      <c r="A388" s="39"/>
      <c r="B388" s="97">
        <v>387</v>
      </c>
      <c r="C388" s="39"/>
      <c r="D388" s="40" t="s">
        <v>452</v>
      </c>
      <c r="E388" s="41">
        <v>43302</v>
      </c>
      <c r="F388" s="40">
        <v>4960618</v>
      </c>
      <c r="G388" s="40">
        <f t="shared" ca="1" si="18"/>
        <v>8</v>
      </c>
      <c r="H388" s="40"/>
      <c r="I388" s="40"/>
      <c r="J388" s="39"/>
      <c r="K388" s="8"/>
      <c r="L388" s="8"/>
      <c r="M388" s="8"/>
      <c r="N388" s="8"/>
      <c r="O388" s="9"/>
      <c r="P388" s="3"/>
      <c r="Q388" s="8"/>
    </row>
    <row r="389" spans="1:17" x14ac:dyDescent="0.3">
      <c r="A389" s="39"/>
      <c r="B389" s="97">
        <v>388</v>
      </c>
      <c r="C389" s="39"/>
      <c r="D389" s="40" t="s">
        <v>453</v>
      </c>
      <c r="E389" s="41">
        <v>22430</v>
      </c>
      <c r="F389" s="40">
        <v>1030511</v>
      </c>
      <c r="G389" s="40">
        <f t="shared" ca="1" si="18"/>
        <v>65</v>
      </c>
      <c r="H389" s="40"/>
      <c r="I389" s="40"/>
      <c r="J389" s="39"/>
      <c r="K389" s="8"/>
      <c r="L389" s="8"/>
      <c r="M389" s="8"/>
      <c r="N389" s="8"/>
      <c r="O389" s="9"/>
      <c r="P389" s="3"/>
      <c r="Q389" s="8"/>
    </row>
    <row r="390" spans="1:17" x14ac:dyDescent="0.3">
      <c r="A390" s="98"/>
      <c r="B390" s="97">
        <v>389</v>
      </c>
      <c r="C390" s="61">
        <v>44923</v>
      </c>
      <c r="D390" s="62" t="s">
        <v>454</v>
      </c>
      <c r="E390" s="63">
        <v>27102</v>
      </c>
      <c r="F390" s="64">
        <v>1001915</v>
      </c>
      <c r="G390" s="64">
        <f t="shared" ca="1" si="18"/>
        <v>52</v>
      </c>
      <c r="H390" s="64"/>
      <c r="I390" s="64" t="s">
        <v>80</v>
      </c>
      <c r="J390" s="8"/>
      <c r="K390" s="8"/>
      <c r="L390" s="8"/>
      <c r="M390" s="8"/>
      <c r="N390" s="8"/>
      <c r="O390" s="9"/>
      <c r="P390" s="3"/>
      <c r="Q390" s="8"/>
    </row>
    <row r="391" spans="1:17" x14ac:dyDescent="0.3">
      <c r="A391" s="86"/>
      <c r="B391" s="97">
        <v>390</v>
      </c>
      <c r="C391" s="20">
        <v>44558</v>
      </c>
      <c r="D391" s="18" t="s">
        <v>48</v>
      </c>
      <c r="E391" s="19">
        <v>24667</v>
      </c>
      <c r="F391" s="18">
        <v>2157012</v>
      </c>
      <c r="G391" s="18">
        <f t="shared" ca="1" si="18"/>
        <v>59</v>
      </c>
      <c r="H391" s="18"/>
      <c r="I391" s="1"/>
      <c r="J391" s="8"/>
      <c r="K391" s="8"/>
      <c r="L391" s="8"/>
      <c r="M391" s="8"/>
      <c r="N391" s="8"/>
      <c r="O391" s="9"/>
      <c r="P391" s="3"/>
      <c r="Q391" s="8"/>
    </row>
    <row r="392" spans="1:17" x14ac:dyDescent="0.3">
      <c r="A392" s="88"/>
      <c r="B392" s="97">
        <v>391</v>
      </c>
      <c r="C392" s="8"/>
      <c r="D392" s="1" t="s">
        <v>455</v>
      </c>
      <c r="E392" s="2">
        <v>28589</v>
      </c>
      <c r="F392" s="1">
        <v>1823610</v>
      </c>
      <c r="G392" s="1">
        <f ca="1">YEAR(TODAY())-YEAR(E392)</f>
        <v>48</v>
      </c>
      <c r="H392" s="1"/>
      <c r="I392" s="1"/>
      <c r="J392" s="8"/>
      <c r="K392" s="8"/>
      <c r="L392" s="8"/>
      <c r="M392" s="8"/>
      <c r="N392" s="8"/>
      <c r="O392" s="9"/>
      <c r="P392" s="3"/>
      <c r="Q392" s="8"/>
    </row>
    <row r="393" spans="1:17" x14ac:dyDescent="0.3">
      <c r="A393" s="88"/>
      <c r="B393" s="97">
        <v>392</v>
      </c>
      <c r="C393" s="8"/>
      <c r="D393" s="1" t="s">
        <v>456</v>
      </c>
      <c r="E393" s="2">
        <v>29571</v>
      </c>
      <c r="F393" s="1">
        <v>1532518</v>
      </c>
      <c r="G393" s="1">
        <f ca="1">YEAR(TODAY())-YEAR(E393)</f>
        <v>46</v>
      </c>
      <c r="H393" s="1"/>
      <c r="I393" s="1"/>
      <c r="J393" s="8"/>
      <c r="K393" s="8"/>
      <c r="L393" s="8"/>
      <c r="M393" s="8"/>
      <c r="N393" s="8"/>
      <c r="O393" s="9"/>
      <c r="P393" s="3"/>
      <c r="Q393" s="8"/>
    </row>
    <row r="394" spans="1:17" x14ac:dyDescent="0.3">
      <c r="A394" s="88"/>
      <c r="B394" s="97">
        <v>393</v>
      </c>
      <c r="C394" s="8"/>
      <c r="D394" s="1" t="s">
        <v>457</v>
      </c>
      <c r="E394" s="2">
        <v>28922</v>
      </c>
      <c r="F394" s="1">
        <v>2397116</v>
      </c>
      <c r="G394" s="1">
        <f ca="1">YEAR(TODAY())-YEAR(E394)</f>
        <v>47</v>
      </c>
      <c r="H394" s="1"/>
      <c r="I394" s="1"/>
      <c r="J394" s="8"/>
      <c r="K394" s="8"/>
      <c r="L394" s="8"/>
      <c r="M394" s="8"/>
      <c r="N394" s="8"/>
      <c r="O394" s="9"/>
      <c r="P394" s="3"/>
      <c r="Q394" s="8"/>
    </row>
    <row r="395" spans="1:17" x14ac:dyDescent="0.3">
      <c r="A395" s="88"/>
      <c r="B395" s="97">
        <v>394</v>
      </c>
      <c r="C395" s="8"/>
      <c r="D395" s="1" t="s">
        <v>458</v>
      </c>
      <c r="E395" s="2">
        <v>39735</v>
      </c>
      <c r="F395" s="1">
        <v>3412413</v>
      </c>
      <c r="G395" s="1">
        <f ca="1">YEAR(TODAY())-YEAR(E395)</f>
        <v>18</v>
      </c>
      <c r="H395" s="1"/>
      <c r="I395" s="1"/>
      <c r="J395" s="8"/>
      <c r="K395" s="8"/>
      <c r="L395" s="8"/>
      <c r="M395" s="8"/>
      <c r="N395" s="8"/>
      <c r="O395" s="9"/>
      <c r="P395" s="3"/>
      <c r="Q395" s="8"/>
    </row>
    <row r="396" spans="1:17" x14ac:dyDescent="0.3">
      <c r="A396" s="88"/>
      <c r="B396" s="97">
        <v>395</v>
      </c>
      <c r="C396" s="8"/>
      <c r="D396" s="1" t="s">
        <v>459</v>
      </c>
      <c r="E396" s="2">
        <v>40615</v>
      </c>
      <c r="F396" s="1">
        <v>4412431</v>
      </c>
      <c r="G396" s="1">
        <f ca="1">YEAR(TODAY())-YEAR(E396)</f>
        <v>15</v>
      </c>
      <c r="H396" s="1"/>
      <c r="I396" s="1"/>
      <c r="J396" s="8"/>
      <c r="K396" s="8"/>
      <c r="L396" s="8"/>
      <c r="M396" s="8"/>
      <c r="N396" s="8"/>
      <c r="O396" s="9"/>
      <c r="P396" s="3"/>
      <c r="Q396" s="8"/>
    </row>
    <row r="397" spans="1:17" x14ac:dyDescent="0.3">
      <c r="A397" s="88"/>
      <c r="B397" s="97">
        <v>396</v>
      </c>
      <c r="C397" s="8"/>
      <c r="D397" s="1" t="s">
        <v>460</v>
      </c>
      <c r="E397" s="2">
        <v>28091</v>
      </c>
      <c r="F397" s="1">
        <v>2466414</v>
      </c>
      <c r="G397" s="1">
        <f t="shared" ref="G397:G460" ca="1" si="19">YEAR(TODAY())-YEAR(E397)</f>
        <v>50</v>
      </c>
      <c r="H397" s="1"/>
      <c r="I397" s="1"/>
      <c r="J397" s="8"/>
      <c r="K397" s="8"/>
      <c r="L397" s="8"/>
      <c r="M397" s="8"/>
      <c r="N397" s="8"/>
      <c r="O397" s="9"/>
      <c r="P397" s="3"/>
      <c r="Q397" s="8"/>
    </row>
    <row r="398" spans="1:17" x14ac:dyDescent="0.3">
      <c r="A398" s="88"/>
      <c r="B398" s="97">
        <v>397</v>
      </c>
      <c r="C398" s="8"/>
      <c r="D398" s="1" t="s">
        <v>461</v>
      </c>
      <c r="E398" s="2">
        <v>28620</v>
      </c>
      <c r="F398" s="1">
        <v>2466414</v>
      </c>
      <c r="G398" s="1">
        <f t="shared" ca="1" si="19"/>
        <v>48</v>
      </c>
      <c r="H398" s="1"/>
      <c r="I398" s="1"/>
      <c r="J398" s="8"/>
      <c r="K398" s="8"/>
      <c r="L398" s="8"/>
      <c r="M398" s="8"/>
      <c r="N398" s="8"/>
      <c r="O398" s="9"/>
      <c r="P398" s="3"/>
      <c r="Q398" s="8"/>
    </row>
    <row r="399" spans="1:17" x14ac:dyDescent="0.3">
      <c r="A399" s="88"/>
      <c r="B399" s="97">
        <v>398</v>
      </c>
      <c r="C399" s="8"/>
      <c r="D399" s="1" t="s">
        <v>462</v>
      </c>
      <c r="E399" s="2"/>
      <c r="F399" s="1"/>
      <c r="G399" s="1">
        <f t="shared" ca="1" si="19"/>
        <v>126</v>
      </c>
      <c r="H399" s="1"/>
      <c r="I399" s="1"/>
      <c r="J399" s="8"/>
      <c r="K399" s="8"/>
      <c r="L399" s="8"/>
      <c r="M399" s="8"/>
      <c r="N399" s="8"/>
      <c r="O399" s="9"/>
      <c r="P399" s="3"/>
      <c r="Q399" s="8"/>
    </row>
    <row r="400" spans="1:17" x14ac:dyDescent="0.3">
      <c r="A400" s="88"/>
      <c r="B400" s="97">
        <v>399</v>
      </c>
      <c r="C400" s="8"/>
      <c r="D400" s="1" t="s">
        <v>463</v>
      </c>
      <c r="E400" s="2"/>
      <c r="F400" s="1"/>
      <c r="G400" s="1">
        <f t="shared" ca="1" si="19"/>
        <v>126</v>
      </c>
      <c r="H400" s="1"/>
      <c r="I400" s="1"/>
      <c r="J400" s="8"/>
      <c r="K400" s="8"/>
      <c r="L400" s="8"/>
      <c r="M400" s="8"/>
      <c r="N400" s="8"/>
      <c r="O400" s="9"/>
      <c r="P400" s="3"/>
      <c r="Q400" s="8"/>
    </row>
    <row r="401" spans="1:17" x14ac:dyDescent="0.3">
      <c r="A401" s="88"/>
      <c r="B401" s="97">
        <v>400</v>
      </c>
      <c r="C401" s="8"/>
      <c r="D401" s="1" t="s">
        <v>464</v>
      </c>
      <c r="E401" s="2">
        <v>19712</v>
      </c>
      <c r="F401" s="1">
        <v>1110112</v>
      </c>
      <c r="G401" s="1">
        <f t="shared" ca="1" si="19"/>
        <v>73</v>
      </c>
      <c r="H401" s="1"/>
      <c r="I401" s="1"/>
      <c r="J401" s="8"/>
      <c r="K401" s="8"/>
      <c r="L401" s="8"/>
      <c r="M401" s="8"/>
      <c r="N401" s="8"/>
      <c r="O401" s="9"/>
      <c r="P401" s="3"/>
      <c r="Q401" s="8"/>
    </row>
    <row r="402" spans="1:17" x14ac:dyDescent="0.3">
      <c r="A402" s="88"/>
      <c r="B402" s="97">
        <v>401</v>
      </c>
      <c r="C402" s="8" t="s">
        <v>169</v>
      </c>
      <c r="D402" s="1" t="s">
        <v>465</v>
      </c>
      <c r="E402" s="2">
        <v>27015</v>
      </c>
      <c r="F402" s="1">
        <v>2224316</v>
      </c>
      <c r="G402" s="1">
        <f t="shared" ca="1" si="19"/>
        <v>53</v>
      </c>
      <c r="H402" s="1"/>
      <c r="I402" s="1"/>
      <c r="J402" s="8"/>
      <c r="K402" s="8"/>
      <c r="L402" s="8" t="s">
        <v>61</v>
      </c>
      <c r="M402" s="8"/>
      <c r="N402" s="8"/>
      <c r="O402" s="9"/>
      <c r="P402" s="3"/>
      <c r="Q402" s="8"/>
    </row>
    <row r="403" spans="1:17" x14ac:dyDescent="0.3">
      <c r="A403" s="88"/>
      <c r="B403" s="97">
        <v>402</v>
      </c>
      <c r="C403" s="8"/>
      <c r="D403" s="1" t="s">
        <v>466</v>
      </c>
      <c r="E403" s="2">
        <v>29262</v>
      </c>
      <c r="F403" s="1">
        <v>2224314</v>
      </c>
      <c r="G403" s="1">
        <f t="shared" ca="1" si="19"/>
        <v>46</v>
      </c>
      <c r="H403" s="1"/>
      <c r="I403" s="1"/>
      <c r="J403" s="8"/>
      <c r="K403" s="8"/>
      <c r="L403" s="8"/>
      <c r="M403" s="8"/>
      <c r="N403" s="8"/>
      <c r="O403" s="9"/>
      <c r="P403" s="3"/>
      <c r="Q403" s="8"/>
    </row>
    <row r="404" spans="1:17" x14ac:dyDescent="0.3">
      <c r="A404" s="88"/>
      <c r="B404" s="97">
        <v>403</v>
      </c>
      <c r="C404" s="8"/>
      <c r="D404" s="1" t="s">
        <v>467</v>
      </c>
      <c r="E404" s="2">
        <v>18606</v>
      </c>
      <c r="F404" s="1">
        <v>2656915</v>
      </c>
      <c r="G404" s="1">
        <f t="shared" ca="1" si="19"/>
        <v>76</v>
      </c>
      <c r="H404" s="1"/>
      <c r="I404" s="1"/>
      <c r="J404" s="8"/>
      <c r="K404" s="8"/>
      <c r="L404" s="8"/>
      <c r="M404" s="8"/>
      <c r="N404" s="8"/>
      <c r="O404" s="9"/>
      <c r="P404" s="3"/>
      <c r="Q404" s="8"/>
    </row>
    <row r="405" spans="1:17" x14ac:dyDescent="0.3">
      <c r="A405" s="88"/>
      <c r="B405" s="97">
        <v>404</v>
      </c>
      <c r="C405" s="8"/>
      <c r="D405" s="1" t="s">
        <v>468</v>
      </c>
      <c r="E405" s="2">
        <v>32271</v>
      </c>
      <c r="F405" s="1">
        <v>2474517</v>
      </c>
      <c r="G405" s="1">
        <f t="shared" ca="1" si="19"/>
        <v>38</v>
      </c>
      <c r="H405" s="1"/>
      <c r="I405" s="1"/>
      <c r="J405" s="8"/>
      <c r="K405" s="8"/>
      <c r="L405" s="8"/>
      <c r="M405" s="8"/>
      <c r="N405" s="8"/>
      <c r="O405" s="9"/>
      <c r="P405" s="3"/>
      <c r="Q405" s="8"/>
    </row>
    <row r="406" spans="1:17" x14ac:dyDescent="0.3">
      <c r="A406" s="88"/>
      <c r="B406" s="97">
        <v>405</v>
      </c>
      <c r="C406" s="8"/>
      <c r="D406" s="1" t="s">
        <v>469</v>
      </c>
      <c r="E406" s="2">
        <v>16008</v>
      </c>
      <c r="F406" s="1">
        <v>2221235</v>
      </c>
      <c r="G406" s="1">
        <f t="shared" ca="1" si="19"/>
        <v>83</v>
      </c>
      <c r="H406" s="1"/>
      <c r="I406" s="1"/>
      <c r="J406" s="8"/>
      <c r="K406" s="8"/>
      <c r="L406" s="8"/>
      <c r="M406" s="8"/>
      <c r="N406" s="8"/>
      <c r="O406" s="9"/>
      <c r="P406" s="3"/>
      <c r="Q406" s="8"/>
    </row>
    <row r="407" spans="1:17" x14ac:dyDescent="0.3">
      <c r="A407" s="88"/>
      <c r="B407" s="97">
        <v>406</v>
      </c>
      <c r="C407" s="8"/>
      <c r="D407" s="1" t="s">
        <v>470</v>
      </c>
      <c r="E407" s="2">
        <v>15370</v>
      </c>
      <c r="F407" s="1">
        <v>1221234</v>
      </c>
      <c r="G407" s="1">
        <f t="shared" ca="1" si="19"/>
        <v>84</v>
      </c>
      <c r="H407" s="1"/>
      <c r="I407" s="1"/>
      <c r="J407" s="8"/>
      <c r="K407" s="8"/>
      <c r="L407" s="8"/>
      <c r="M407" s="8"/>
      <c r="N407" s="8"/>
      <c r="O407" s="9"/>
      <c r="P407" s="3"/>
      <c r="Q407" s="8"/>
    </row>
    <row r="408" spans="1:17" x14ac:dyDescent="0.3">
      <c r="A408" s="88"/>
      <c r="B408" s="97">
        <v>407</v>
      </c>
      <c r="C408" s="8"/>
      <c r="D408" s="1" t="s">
        <v>471</v>
      </c>
      <c r="E408" s="2">
        <v>16698</v>
      </c>
      <c r="F408" s="1">
        <v>1057215</v>
      </c>
      <c r="G408" s="1">
        <f t="shared" ca="1" si="19"/>
        <v>81</v>
      </c>
      <c r="H408" s="1"/>
      <c r="I408" s="1"/>
      <c r="J408" s="8"/>
      <c r="K408" s="8"/>
      <c r="L408" s="8"/>
      <c r="M408" s="8"/>
      <c r="N408" s="8"/>
      <c r="O408" s="9"/>
      <c r="P408" s="3"/>
      <c r="Q408" s="8"/>
    </row>
    <row r="409" spans="1:17" x14ac:dyDescent="0.3">
      <c r="A409" s="88"/>
      <c r="B409" s="97">
        <v>408</v>
      </c>
      <c r="C409" s="8"/>
      <c r="D409" s="1" t="s">
        <v>472</v>
      </c>
      <c r="E409" s="2">
        <v>17764</v>
      </c>
      <c r="F409" s="1">
        <v>2452913</v>
      </c>
      <c r="G409" s="1">
        <f t="shared" ca="1" si="19"/>
        <v>78</v>
      </c>
      <c r="H409" s="1"/>
      <c r="I409" s="1"/>
      <c r="J409" s="8"/>
      <c r="K409" s="8"/>
      <c r="L409" s="8"/>
      <c r="M409" s="8"/>
      <c r="N409" s="8"/>
      <c r="O409" s="9"/>
      <c r="P409" s="3"/>
      <c r="Q409" s="8"/>
    </row>
    <row r="410" spans="1:17" x14ac:dyDescent="0.3">
      <c r="A410" s="88"/>
      <c r="B410" s="97">
        <v>409</v>
      </c>
      <c r="C410" s="8"/>
      <c r="D410" s="1" t="s">
        <v>473</v>
      </c>
      <c r="E410" s="2">
        <v>28900</v>
      </c>
      <c r="F410" s="1">
        <v>1823612</v>
      </c>
      <c r="G410" s="1">
        <f t="shared" ca="1" si="19"/>
        <v>47</v>
      </c>
      <c r="H410" s="1"/>
      <c r="I410" s="1"/>
      <c r="J410" s="8"/>
      <c r="K410" s="8"/>
      <c r="L410" s="8"/>
      <c r="M410" s="8"/>
      <c r="N410" s="8"/>
      <c r="O410" s="9"/>
      <c r="P410" s="3"/>
      <c r="Q410" s="8"/>
    </row>
    <row r="411" spans="1:17" x14ac:dyDescent="0.3">
      <c r="A411" s="88"/>
      <c r="B411" s="97">
        <v>410</v>
      </c>
      <c r="C411" s="8"/>
      <c r="D411" s="1" t="s">
        <v>474</v>
      </c>
      <c r="E411" s="2">
        <v>30560</v>
      </c>
      <c r="F411" s="1">
        <v>2009225</v>
      </c>
      <c r="G411" s="1">
        <f t="shared" ca="1" si="19"/>
        <v>43</v>
      </c>
      <c r="H411" s="1"/>
      <c r="I411" s="1"/>
      <c r="J411" s="8"/>
      <c r="K411" s="8"/>
      <c r="L411" s="8"/>
      <c r="M411" s="8"/>
      <c r="N411" s="8"/>
      <c r="O411" s="9"/>
      <c r="P411" s="3"/>
      <c r="Q411" s="8"/>
    </row>
    <row r="412" spans="1:17" x14ac:dyDescent="0.3">
      <c r="A412" s="88"/>
      <c r="B412" s="97">
        <v>411</v>
      </c>
      <c r="C412" s="8"/>
      <c r="D412" s="1" t="s">
        <v>475</v>
      </c>
      <c r="E412" s="2">
        <v>41862</v>
      </c>
      <c r="F412" s="1">
        <v>4010014</v>
      </c>
      <c r="G412" s="1">
        <f t="shared" ca="1" si="19"/>
        <v>12</v>
      </c>
      <c r="H412" s="1"/>
      <c r="I412" s="1"/>
      <c r="J412" s="8"/>
      <c r="K412" s="8"/>
      <c r="L412" s="8"/>
      <c r="M412" s="8"/>
      <c r="N412" s="8"/>
      <c r="O412" s="9"/>
      <c r="P412" s="3"/>
      <c r="Q412" s="8"/>
    </row>
    <row r="413" spans="1:17" x14ac:dyDescent="0.3">
      <c r="A413" s="88"/>
      <c r="B413" s="97">
        <v>412</v>
      </c>
      <c r="C413" s="8"/>
      <c r="D413" s="1" t="s">
        <v>476</v>
      </c>
      <c r="E413" s="2">
        <v>43042</v>
      </c>
      <c r="F413" s="1">
        <v>4010017</v>
      </c>
      <c r="G413" s="1">
        <f t="shared" ca="1" si="19"/>
        <v>9</v>
      </c>
      <c r="H413" s="1"/>
      <c r="I413" s="1"/>
      <c r="J413" s="8"/>
      <c r="K413" s="8"/>
      <c r="L413" s="8"/>
      <c r="M413" s="8"/>
      <c r="N413" s="8"/>
      <c r="O413" s="9"/>
      <c r="P413" s="3"/>
      <c r="Q413" s="8"/>
    </row>
    <row r="414" spans="1:17" x14ac:dyDescent="0.3">
      <c r="A414" s="88"/>
      <c r="B414" s="97">
        <v>413</v>
      </c>
      <c r="C414" s="8"/>
      <c r="D414" s="1" t="s">
        <v>477</v>
      </c>
      <c r="E414" s="2">
        <v>20549</v>
      </c>
      <c r="F414" s="1">
        <v>2120715</v>
      </c>
      <c r="G414" s="1">
        <f t="shared" ca="1" si="19"/>
        <v>70</v>
      </c>
      <c r="H414" s="1"/>
      <c r="I414" s="1"/>
      <c r="J414" s="8"/>
      <c r="K414" s="8"/>
      <c r="L414" s="8"/>
      <c r="M414" s="8"/>
      <c r="N414" s="8"/>
      <c r="O414" s="9"/>
      <c r="P414" s="3"/>
      <c r="Q414" s="8"/>
    </row>
    <row r="415" spans="1:17" x14ac:dyDescent="0.3">
      <c r="A415" s="88"/>
      <c r="B415" s="97">
        <v>414</v>
      </c>
      <c r="C415" s="8"/>
      <c r="D415" s="1" t="s">
        <v>478</v>
      </c>
      <c r="E415" s="2">
        <v>18402</v>
      </c>
      <c r="F415" s="1">
        <v>1328217</v>
      </c>
      <c r="G415" s="1">
        <f t="shared" ca="1" si="19"/>
        <v>76</v>
      </c>
      <c r="H415" s="1"/>
      <c r="I415" s="1"/>
      <c r="J415" s="8"/>
      <c r="K415" s="8"/>
      <c r="L415" s="8"/>
      <c r="M415" s="8"/>
      <c r="N415" s="8"/>
      <c r="O415" s="9"/>
      <c r="P415" s="3"/>
      <c r="Q415" s="8"/>
    </row>
    <row r="416" spans="1:17" x14ac:dyDescent="0.3">
      <c r="A416" s="88"/>
      <c r="B416" s="97">
        <v>415</v>
      </c>
      <c r="C416" s="8"/>
      <c r="D416" s="1" t="s">
        <v>479</v>
      </c>
      <c r="E416" s="2">
        <v>17403</v>
      </c>
      <c r="F416" s="1">
        <v>1110233</v>
      </c>
      <c r="G416" s="1">
        <f t="shared" ca="1" si="19"/>
        <v>79</v>
      </c>
      <c r="H416" s="1"/>
      <c r="I416" s="1"/>
      <c r="J416" s="8"/>
      <c r="K416" s="8"/>
      <c r="L416" s="8"/>
      <c r="M416" s="8"/>
      <c r="N416" s="8"/>
      <c r="O416" s="9"/>
      <c r="P416" s="3"/>
      <c r="Q416" s="8"/>
    </row>
    <row r="417" spans="1:17" x14ac:dyDescent="0.3">
      <c r="A417" s="88"/>
      <c r="B417" s="97">
        <v>416</v>
      </c>
      <c r="C417" s="8"/>
      <c r="D417" s="1" t="s">
        <v>480</v>
      </c>
      <c r="E417" s="2">
        <v>21433</v>
      </c>
      <c r="F417" s="1">
        <v>2768317</v>
      </c>
      <c r="G417" s="1">
        <f t="shared" ca="1" si="19"/>
        <v>68</v>
      </c>
      <c r="H417" s="1"/>
      <c r="I417" s="1"/>
      <c r="J417" s="8"/>
      <c r="K417" s="8"/>
      <c r="L417" s="8"/>
      <c r="M417" s="8"/>
      <c r="N417" s="8"/>
      <c r="O417" s="9"/>
      <c r="P417" s="3"/>
      <c r="Q417" s="8"/>
    </row>
    <row r="418" spans="1:17" x14ac:dyDescent="0.3">
      <c r="A418" s="88"/>
      <c r="B418" s="97">
        <v>417</v>
      </c>
      <c r="C418" s="8"/>
      <c r="D418" s="1" t="s">
        <v>481</v>
      </c>
      <c r="E418" s="2">
        <v>18905</v>
      </c>
      <c r="F418" s="1">
        <v>1148416</v>
      </c>
      <c r="G418" s="1">
        <f t="shared" ca="1" si="19"/>
        <v>75</v>
      </c>
      <c r="H418" s="1"/>
      <c r="I418" s="1"/>
      <c r="J418" s="8"/>
      <c r="K418" s="8"/>
      <c r="L418" s="8"/>
      <c r="M418" s="8"/>
      <c r="N418" s="8"/>
      <c r="O418" s="9"/>
      <c r="P418" s="3"/>
      <c r="Q418" s="8"/>
    </row>
    <row r="419" spans="1:17" x14ac:dyDescent="0.3">
      <c r="A419" s="88"/>
      <c r="B419" s="97">
        <v>418</v>
      </c>
      <c r="C419" s="8"/>
      <c r="D419" s="1" t="s">
        <v>170</v>
      </c>
      <c r="E419" s="2">
        <v>20000</v>
      </c>
      <c r="F419" s="1">
        <v>2470718</v>
      </c>
      <c r="G419" s="1">
        <f t="shared" ca="1" si="19"/>
        <v>72</v>
      </c>
      <c r="H419" s="1"/>
      <c r="I419" s="1"/>
      <c r="J419" s="8"/>
      <c r="K419" s="8"/>
      <c r="L419" s="8"/>
      <c r="M419" s="8"/>
      <c r="N419" s="8"/>
      <c r="O419" s="9"/>
      <c r="P419" s="3"/>
      <c r="Q419" s="8"/>
    </row>
    <row r="420" spans="1:17" x14ac:dyDescent="0.3">
      <c r="A420" s="88"/>
      <c r="B420" s="97">
        <v>419</v>
      </c>
      <c r="C420" s="8"/>
      <c r="D420" s="1" t="s">
        <v>482</v>
      </c>
      <c r="E420" s="2">
        <v>20835</v>
      </c>
      <c r="F420" s="1">
        <v>2140614</v>
      </c>
      <c r="G420" s="1">
        <f t="shared" ca="1" si="19"/>
        <v>69</v>
      </c>
      <c r="H420" s="1"/>
      <c r="I420" s="1"/>
      <c r="J420" s="8"/>
      <c r="K420" s="8"/>
      <c r="L420" s="8"/>
      <c r="M420" s="8"/>
      <c r="N420" s="8"/>
      <c r="O420" s="9"/>
      <c r="P420" s="3"/>
      <c r="Q420" s="8"/>
    </row>
    <row r="421" spans="1:17" x14ac:dyDescent="0.3">
      <c r="A421" s="88"/>
      <c r="B421" s="97">
        <v>420</v>
      </c>
      <c r="C421" s="8"/>
      <c r="D421" s="1" t="s">
        <v>134</v>
      </c>
      <c r="E421" s="2">
        <v>31942</v>
      </c>
      <c r="F421" s="1">
        <v>2784210</v>
      </c>
      <c r="G421" s="1">
        <f t="shared" ca="1" si="19"/>
        <v>39</v>
      </c>
      <c r="H421" s="1"/>
      <c r="I421" s="1"/>
      <c r="J421" s="8"/>
      <c r="K421" s="8"/>
      <c r="L421" s="8"/>
      <c r="M421" s="8"/>
      <c r="N421" s="8"/>
      <c r="O421" s="9"/>
      <c r="P421" s="3"/>
      <c r="Q421" s="8"/>
    </row>
    <row r="422" spans="1:17" x14ac:dyDescent="0.3">
      <c r="A422" s="88"/>
      <c r="B422" s="97">
        <v>421</v>
      </c>
      <c r="C422" s="8"/>
      <c r="D422" s="1" t="s">
        <v>483</v>
      </c>
      <c r="E422" s="2">
        <v>25299</v>
      </c>
      <c r="F422" s="1">
        <v>2478626</v>
      </c>
      <c r="G422" s="1">
        <f t="shared" ca="1" si="19"/>
        <v>57</v>
      </c>
      <c r="H422" s="1"/>
      <c r="I422" s="1"/>
      <c r="J422" s="8"/>
      <c r="K422" s="8"/>
      <c r="L422" s="8"/>
      <c r="M422" s="8"/>
      <c r="N422" s="8"/>
      <c r="O422" s="9"/>
      <c r="P422" s="3"/>
      <c r="Q422" s="8"/>
    </row>
    <row r="423" spans="1:17" x14ac:dyDescent="0.3">
      <c r="A423" s="88"/>
      <c r="B423" s="97">
        <v>422</v>
      </c>
      <c r="C423" s="8" t="s">
        <v>169</v>
      </c>
      <c r="D423" s="1" t="s">
        <v>484</v>
      </c>
      <c r="E423" s="2">
        <v>28099</v>
      </c>
      <c r="F423" s="1">
        <v>2650618</v>
      </c>
      <c r="G423" s="1">
        <f t="shared" ca="1" si="19"/>
        <v>50</v>
      </c>
      <c r="H423" s="1"/>
      <c r="I423" s="1"/>
      <c r="J423" s="8"/>
      <c r="K423" s="8"/>
      <c r="L423" s="8"/>
      <c r="M423" s="8"/>
      <c r="N423" s="8"/>
      <c r="O423" s="9"/>
      <c r="P423" s="3"/>
      <c r="Q423" s="8"/>
    </row>
    <row r="424" spans="1:17" x14ac:dyDescent="0.3">
      <c r="A424" s="88"/>
      <c r="B424" s="97">
        <v>423</v>
      </c>
      <c r="C424" s="8"/>
      <c r="D424" s="1" t="s">
        <v>485</v>
      </c>
      <c r="E424" s="2">
        <v>16958</v>
      </c>
      <c r="F424" s="1">
        <v>2478417</v>
      </c>
      <c r="G424" s="1">
        <f t="shared" ca="1" si="19"/>
        <v>80</v>
      </c>
      <c r="H424" s="1"/>
      <c r="I424" s="1"/>
      <c r="J424" s="8"/>
      <c r="K424" s="8"/>
      <c r="L424" s="8"/>
      <c r="M424" s="8"/>
      <c r="N424" s="8"/>
      <c r="O424" s="9"/>
      <c r="P424" s="3"/>
      <c r="Q424" s="8"/>
    </row>
    <row r="425" spans="1:17" x14ac:dyDescent="0.3">
      <c r="A425" s="88"/>
      <c r="B425" s="97">
        <v>424</v>
      </c>
      <c r="C425" s="8"/>
      <c r="D425" s="1" t="s">
        <v>486</v>
      </c>
      <c r="E425" s="2">
        <v>28459</v>
      </c>
      <c r="F425" s="1">
        <v>1120310</v>
      </c>
      <c r="G425" s="1">
        <f t="shared" ca="1" si="19"/>
        <v>49</v>
      </c>
      <c r="H425" s="1"/>
      <c r="I425" s="1"/>
      <c r="J425" s="8"/>
      <c r="K425" s="8"/>
      <c r="L425" s="8"/>
      <c r="M425" s="8"/>
      <c r="N425" s="8"/>
      <c r="O425" s="9"/>
      <c r="P425" s="3"/>
      <c r="Q425" s="8"/>
    </row>
    <row r="426" spans="1:17" x14ac:dyDescent="0.3">
      <c r="A426" s="88"/>
      <c r="B426" s="97">
        <v>425</v>
      </c>
      <c r="C426" s="8"/>
      <c r="D426" s="1" t="s">
        <v>487</v>
      </c>
      <c r="E426" s="2">
        <v>29879</v>
      </c>
      <c r="F426" s="1">
        <v>2914216</v>
      </c>
      <c r="G426" s="1">
        <f t="shared" ca="1" si="19"/>
        <v>45</v>
      </c>
      <c r="H426" s="1"/>
      <c r="I426" s="1"/>
      <c r="J426" s="8"/>
      <c r="K426" s="8"/>
      <c r="L426" s="8"/>
      <c r="M426" s="8"/>
      <c r="N426" s="8"/>
      <c r="O426" s="9"/>
      <c r="P426" s="3"/>
      <c r="Q426" s="8"/>
    </row>
    <row r="427" spans="1:17" x14ac:dyDescent="0.3">
      <c r="A427" s="88"/>
      <c r="B427" s="97">
        <v>426</v>
      </c>
      <c r="C427" s="8"/>
      <c r="D427" s="1" t="s">
        <v>488</v>
      </c>
      <c r="E427" s="2">
        <v>40203</v>
      </c>
      <c r="F427" s="1">
        <v>4913911</v>
      </c>
      <c r="G427" s="1">
        <f t="shared" ca="1" si="19"/>
        <v>16</v>
      </c>
      <c r="H427" s="1"/>
      <c r="I427" s="1"/>
      <c r="J427" s="8"/>
      <c r="K427" s="8"/>
      <c r="L427" s="8"/>
      <c r="M427" s="8"/>
      <c r="N427" s="8"/>
      <c r="O427" s="9"/>
      <c r="P427" s="3"/>
      <c r="Q427" s="8"/>
    </row>
    <row r="428" spans="1:17" x14ac:dyDescent="0.3">
      <c r="A428" s="88"/>
      <c r="B428" s="97">
        <v>427</v>
      </c>
      <c r="C428" s="8"/>
      <c r="D428" s="1" t="s">
        <v>489</v>
      </c>
      <c r="E428" s="2">
        <v>41894</v>
      </c>
      <c r="F428" s="1">
        <v>4095411</v>
      </c>
      <c r="G428" s="1">
        <f t="shared" ca="1" si="19"/>
        <v>12</v>
      </c>
      <c r="H428" s="1"/>
      <c r="I428" s="1"/>
      <c r="J428" s="8"/>
      <c r="K428" s="8"/>
      <c r="L428" s="8"/>
      <c r="M428" s="8"/>
      <c r="N428" s="8"/>
      <c r="O428" s="9"/>
      <c r="P428" s="3"/>
      <c r="Q428" s="8"/>
    </row>
    <row r="429" spans="1:17" x14ac:dyDescent="0.3">
      <c r="B429" s="97">
        <v>428</v>
      </c>
      <c r="C429" s="8"/>
      <c r="D429" s="1" t="s">
        <v>490</v>
      </c>
      <c r="E429" s="2">
        <v>28815</v>
      </c>
      <c r="F429" s="1">
        <v>1914215</v>
      </c>
      <c r="G429" s="1">
        <f t="shared" ca="1" si="19"/>
        <v>48</v>
      </c>
      <c r="H429" s="1"/>
      <c r="I429" s="1"/>
      <c r="J429" s="8"/>
      <c r="K429" s="8"/>
      <c r="L429" s="8"/>
      <c r="M429" s="8"/>
      <c r="N429" s="8"/>
      <c r="O429" s="9"/>
      <c r="P429" s="3"/>
      <c r="Q429" s="8"/>
    </row>
    <row r="430" spans="1:17" x14ac:dyDescent="0.3">
      <c r="B430" s="97">
        <v>429</v>
      </c>
      <c r="C430" s="8"/>
      <c r="D430" s="1" t="s">
        <v>270</v>
      </c>
      <c r="E430" s="2">
        <v>29476</v>
      </c>
      <c r="F430" s="1">
        <v>2117825</v>
      </c>
      <c r="G430" s="1">
        <f t="shared" ca="1" si="19"/>
        <v>46</v>
      </c>
      <c r="H430" s="1"/>
      <c r="I430" s="1"/>
      <c r="J430" s="8"/>
      <c r="K430" s="8"/>
      <c r="L430" s="8"/>
      <c r="M430" s="8"/>
      <c r="N430" s="8"/>
      <c r="O430" s="9"/>
      <c r="P430" s="3"/>
      <c r="Q430" s="8"/>
    </row>
    <row r="431" spans="1:17" x14ac:dyDescent="0.3">
      <c r="B431" s="97">
        <v>430</v>
      </c>
      <c r="C431" s="8"/>
      <c r="D431" s="1" t="s">
        <v>491</v>
      </c>
      <c r="E431" s="2">
        <v>41663</v>
      </c>
      <c r="F431" s="1">
        <v>4126111</v>
      </c>
      <c r="G431" s="1">
        <f t="shared" ca="1" si="19"/>
        <v>12</v>
      </c>
      <c r="H431" s="1"/>
      <c r="I431" s="1"/>
      <c r="J431" s="8"/>
      <c r="K431" s="8"/>
      <c r="L431" s="8"/>
      <c r="M431" s="8"/>
      <c r="N431" s="8"/>
      <c r="O431" s="9"/>
      <c r="P431" s="3"/>
      <c r="Q431" s="8"/>
    </row>
    <row r="432" spans="1:17" x14ac:dyDescent="0.3">
      <c r="B432" s="97">
        <v>431</v>
      </c>
      <c r="C432" s="8"/>
      <c r="D432" s="1" t="s">
        <v>492</v>
      </c>
      <c r="E432" s="2">
        <v>28812</v>
      </c>
      <c r="F432" s="1">
        <v>2469516</v>
      </c>
      <c r="G432" s="1">
        <f t="shared" ca="1" si="19"/>
        <v>48</v>
      </c>
      <c r="H432" s="1"/>
      <c r="I432" s="1"/>
      <c r="J432" s="8"/>
      <c r="K432" s="8"/>
      <c r="L432" s="8"/>
      <c r="M432" s="8"/>
      <c r="N432" s="8"/>
      <c r="O432" s="9"/>
      <c r="P432" s="3"/>
      <c r="Q432" s="8"/>
    </row>
    <row r="433" spans="2:17" x14ac:dyDescent="0.3">
      <c r="B433" s="97">
        <v>432</v>
      </c>
      <c r="C433" s="8"/>
      <c r="D433" s="1" t="s">
        <v>493</v>
      </c>
      <c r="E433" s="2">
        <v>27138</v>
      </c>
      <c r="F433" s="1">
        <v>1149612</v>
      </c>
      <c r="G433" s="1">
        <f t="shared" ca="1" si="19"/>
        <v>52</v>
      </c>
      <c r="H433" s="1"/>
      <c r="I433" s="1"/>
      <c r="J433" s="8"/>
      <c r="K433" s="8"/>
      <c r="L433" s="8"/>
      <c r="M433" s="8"/>
      <c r="N433" s="8"/>
      <c r="O433" s="9"/>
      <c r="P433" s="3"/>
      <c r="Q433" s="8"/>
    </row>
    <row r="434" spans="2:17" x14ac:dyDescent="0.3">
      <c r="B434" s="97">
        <v>433</v>
      </c>
      <c r="C434" s="8"/>
      <c r="D434" s="1" t="s">
        <v>494</v>
      </c>
      <c r="E434" s="2">
        <v>39100</v>
      </c>
      <c r="F434" s="1">
        <v>3415518</v>
      </c>
      <c r="G434" s="1">
        <f t="shared" ca="1" si="19"/>
        <v>19</v>
      </c>
      <c r="H434" s="1"/>
      <c r="I434" s="1"/>
      <c r="J434" s="8"/>
      <c r="K434" s="8"/>
      <c r="L434" s="8"/>
      <c r="M434" s="8"/>
      <c r="N434" s="8"/>
      <c r="O434" s="9"/>
      <c r="P434" s="3"/>
      <c r="Q434" s="8"/>
    </row>
    <row r="435" spans="2:17" x14ac:dyDescent="0.3">
      <c r="B435" s="97">
        <v>434</v>
      </c>
      <c r="C435" s="8"/>
      <c r="D435" s="1" t="s">
        <v>495</v>
      </c>
      <c r="E435" s="2">
        <v>39664</v>
      </c>
      <c r="F435" s="1">
        <v>3213516</v>
      </c>
      <c r="G435" s="1">
        <f t="shared" ca="1" si="19"/>
        <v>18</v>
      </c>
      <c r="H435" s="1"/>
      <c r="I435" s="1"/>
      <c r="J435" s="8"/>
      <c r="K435" s="8"/>
      <c r="L435" s="8"/>
      <c r="M435" s="8"/>
      <c r="N435" s="8"/>
      <c r="O435" s="9"/>
      <c r="P435" s="3"/>
      <c r="Q435" s="8"/>
    </row>
    <row r="436" spans="2:17" x14ac:dyDescent="0.3">
      <c r="B436" s="97">
        <v>435</v>
      </c>
      <c r="C436" s="8"/>
      <c r="D436" s="1" t="s">
        <v>496</v>
      </c>
      <c r="E436" s="2">
        <v>28881</v>
      </c>
      <c r="F436" s="1">
        <v>1110616</v>
      </c>
      <c r="G436" s="1">
        <f t="shared" ca="1" si="19"/>
        <v>47</v>
      </c>
      <c r="H436" s="1"/>
      <c r="I436" s="1"/>
      <c r="J436" s="8"/>
      <c r="K436" s="8"/>
      <c r="L436" s="8"/>
      <c r="M436" s="8"/>
      <c r="N436" s="8"/>
      <c r="O436" s="9"/>
      <c r="P436" s="3"/>
      <c r="Q436" s="8"/>
    </row>
    <row r="437" spans="2:17" x14ac:dyDescent="0.3">
      <c r="B437" s="97">
        <v>436</v>
      </c>
      <c r="C437" s="8"/>
      <c r="D437" s="1" t="s">
        <v>497</v>
      </c>
      <c r="E437" s="2">
        <v>28699</v>
      </c>
      <c r="F437" s="1">
        <v>2114119</v>
      </c>
      <c r="G437" s="1">
        <f t="shared" ca="1" si="19"/>
        <v>48</v>
      </c>
      <c r="H437" s="1"/>
      <c r="I437" s="1"/>
      <c r="J437" s="8"/>
      <c r="K437" s="8"/>
      <c r="L437" s="8"/>
      <c r="M437" s="8"/>
      <c r="N437" s="8"/>
      <c r="O437" s="9"/>
      <c r="P437" s="3"/>
      <c r="Q437" s="8"/>
    </row>
    <row r="438" spans="2:17" x14ac:dyDescent="0.3">
      <c r="B438" s="97">
        <v>437</v>
      </c>
      <c r="C438" s="8"/>
      <c r="D438" s="1" t="s">
        <v>498</v>
      </c>
      <c r="E438" s="2">
        <v>40266</v>
      </c>
      <c r="F438" s="1">
        <v>3096114</v>
      </c>
      <c r="G438" s="1">
        <f t="shared" ca="1" si="19"/>
        <v>16</v>
      </c>
      <c r="H438" s="1"/>
      <c r="I438" s="1"/>
      <c r="J438" s="8"/>
      <c r="K438" s="8"/>
      <c r="L438" s="8"/>
      <c r="M438" s="8"/>
      <c r="N438" s="8"/>
      <c r="O438" s="9"/>
      <c r="P438" s="3"/>
      <c r="Q438" s="8"/>
    </row>
    <row r="439" spans="2:17" x14ac:dyDescent="0.3">
      <c r="B439" s="97">
        <v>438</v>
      </c>
      <c r="C439" s="8"/>
      <c r="D439" s="1" t="s">
        <v>499</v>
      </c>
      <c r="E439" s="2">
        <v>41891</v>
      </c>
      <c r="F439" s="1">
        <v>4095411</v>
      </c>
      <c r="G439" s="1">
        <f t="shared" ca="1" si="19"/>
        <v>12</v>
      </c>
      <c r="H439" s="1"/>
      <c r="I439" s="1"/>
      <c r="J439" s="8"/>
      <c r="K439" s="8"/>
      <c r="L439" s="8"/>
      <c r="M439" s="8"/>
      <c r="N439" s="8"/>
      <c r="O439" s="9"/>
      <c r="P439" s="3"/>
      <c r="Q439" s="8"/>
    </row>
    <row r="440" spans="2:17" x14ac:dyDescent="0.3">
      <c r="B440" s="97">
        <v>439</v>
      </c>
      <c r="C440" s="8"/>
      <c r="D440" s="1" t="s">
        <v>500</v>
      </c>
      <c r="E440" s="2">
        <v>28934</v>
      </c>
      <c r="F440" s="1">
        <v>1090310</v>
      </c>
      <c r="G440" s="1">
        <f t="shared" ca="1" si="19"/>
        <v>47</v>
      </c>
      <c r="H440" s="1"/>
      <c r="I440" s="1"/>
      <c r="J440" s="8"/>
      <c r="K440" s="8"/>
      <c r="L440" s="8"/>
      <c r="M440" s="8"/>
      <c r="N440" s="8"/>
      <c r="O440" s="9"/>
      <c r="P440" s="3"/>
      <c r="Q440" s="8"/>
    </row>
    <row r="441" spans="2:17" x14ac:dyDescent="0.3">
      <c r="B441" s="97">
        <v>440</v>
      </c>
      <c r="C441" s="8"/>
      <c r="D441" s="1" t="s">
        <v>501</v>
      </c>
      <c r="E441" s="2">
        <v>30218</v>
      </c>
      <c r="F441" s="1">
        <v>2113427</v>
      </c>
      <c r="G441" s="1">
        <f t="shared" ca="1" si="19"/>
        <v>44</v>
      </c>
      <c r="H441" s="1"/>
      <c r="I441" s="1"/>
      <c r="J441" s="8"/>
      <c r="K441" s="8"/>
      <c r="L441" s="8"/>
      <c r="M441" s="8"/>
      <c r="N441" s="8"/>
      <c r="O441" s="9"/>
      <c r="P441" s="3"/>
      <c r="Q441" s="8"/>
    </row>
    <row r="442" spans="2:17" x14ac:dyDescent="0.3">
      <c r="B442" s="97">
        <v>441</v>
      </c>
      <c r="C442" s="8"/>
      <c r="D442" s="1" t="s">
        <v>502</v>
      </c>
      <c r="E442" s="2">
        <v>40646</v>
      </c>
      <c r="F442" s="1">
        <v>3094212</v>
      </c>
      <c r="G442" s="1">
        <f t="shared" ca="1" si="19"/>
        <v>15</v>
      </c>
      <c r="H442" s="1"/>
      <c r="I442" s="1"/>
      <c r="J442" s="8"/>
      <c r="K442" s="8"/>
      <c r="L442" s="8"/>
      <c r="M442" s="8"/>
      <c r="N442" s="8"/>
      <c r="O442" s="9"/>
      <c r="P442" s="3"/>
      <c r="Q442" s="8"/>
    </row>
    <row r="443" spans="2:17" x14ac:dyDescent="0.3">
      <c r="B443" s="97">
        <v>442</v>
      </c>
      <c r="C443" s="8"/>
      <c r="D443" s="1" t="s">
        <v>369</v>
      </c>
      <c r="E443" s="2">
        <v>41737</v>
      </c>
      <c r="F443" s="1">
        <v>4090414</v>
      </c>
      <c r="G443" s="1">
        <f t="shared" ca="1" si="19"/>
        <v>12</v>
      </c>
      <c r="H443" s="1"/>
      <c r="I443" s="1"/>
      <c r="J443" s="8"/>
      <c r="K443" s="8"/>
      <c r="L443" s="8"/>
      <c r="M443" s="8"/>
      <c r="N443" s="8"/>
      <c r="O443" s="9"/>
      <c r="P443" s="3"/>
      <c r="Q443" s="8"/>
    </row>
    <row r="444" spans="2:17" x14ac:dyDescent="0.3">
      <c r="B444" s="97">
        <v>443</v>
      </c>
      <c r="C444" s="8"/>
      <c r="D444" s="1" t="s">
        <v>503</v>
      </c>
      <c r="E444" s="2">
        <v>26862</v>
      </c>
      <c r="F444" s="1">
        <v>1121540</v>
      </c>
      <c r="G444" s="1">
        <f t="shared" ca="1" si="19"/>
        <v>53</v>
      </c>
      <c r="H444" s="1"/>
      <c r="I444" s="1"/>
      <c r="J444" s="8"/>
      <c r="K444" s="8"/>
      <c r="L444" s="8"/>
      <c r="M444" s="8"/>
      <c r="N444" s="8"/>
      <c r="O444" s="9"/>
      <c r="P444" s="3"/>
      <c r="Q444" s="8"/>
    </row>
    <row r="445" spans="2:17" x14ac:dyDescent="0.3">
      <c r="B445" s="97">
        <v>444</v>
      </c>
      <c r="C445" s="8"/>
      <c r="D445" s="1" t="s">
        <v>504</v>
      </c>
      <c r="E445" s="2">
        <v>29709</v>
      </c>
      <c r="F445" s="1">
        <v>2123215</v>
      </c>
      <c r="G445" s="1">
        <f t="shared" ca="1" si="19"/>
        <v>45</v>
      </c>
      <c r="H445" s="1"/>
      <c r="I445" s="1"/>
      <c r="J445" s="8"/>
      <c r="K445" s="8"/>
      <c r="L445" s="8"/>
      <c r="M445" s="8"/>
      <c r="N445" s="8"/>
      <c r="O445" s="9"/>
      <c r="P445" s="3"/>
      <c r="Q445" s="8"/>
    </row>
    <row r="446" spans="2:17" x14ac:dyDescent="0.3">
      <c r="B446" s="97">
        <v>445</v>
      </c>
      <c r="C446" s="8"/>
      <c r="D446" s="1" t="s">
        <v>505</v>
      </c>
      <c r="E446" s="2">
        <v>39766</v>
      </c>
      <c r="F446" s="1">
        <v>4121214</v>
      </c>
      <c r="G446" s="1">
        <f t="shared" ca="1" si="19"/>
        <v>18</v>
      </c>
      <c r="H446" s="1"/>
      <c r="I446" s="1"/>
      <c r="J446" s="8"/>
      <c r="K446" s="8"/>
      <c r="L446" s="8"/>
      <c r="M446" s="8"/>
      <c r="N446" s="8"/>
      <c r="O446" s="9"/>
      <c r="P446" s="3"/>
      <c r="Q446" s="8"/>
    </row>
    <row r="447" spans="2:17" x14ac:dyDescent="0.3">
      <c r="B447" s="97">
        <v>446</v>
      </c>
      <c r="C447" s="8"/>
      <c r="D447" s="1" t="s">
        <v>506</v>
      </c>
      <c r="E447" s="2">
        <v>41929</v>
      </c>
      <c r="F447" s="1">
        <v>3121216</v>
      </c>
      <c r="G447" s="1">
        <f t="shared" ca="1" si="19"/>
        <v>12</v>
      </c>
      <c r="H447" s="1"/>
      <c r="I447" s="1"/>
      <c r="J447" s="8"/>
      <c r="K447" s="8"/>
      <c r="L447" s="8"/>
      <c r="M447" s="8"/>
      <c r="N447" s="8"/>
      <c r="O447" s="9"/>
      <c r="P447" s="3"/>
      <c r="Q447" s="8"/>
    </row>
    <row r="448" spans="2:17" x14ac:dyDescent="0.3">
      <c r="B448" s="97">
        <v>447</v>
      </c>
      <c r="C448" s="8"/>
      <c r="D448" s="1" t="s">
        <v>507</v>
      </c>
      <c r="E448" s="2">
        <v>29595</v>
      </c>
      <c r="F448" s="1">
        <v>1042225</v>
      </c>
      <c r="G448" s="1">
        <f t="shared" ca="1" si="19"/>
        <v>45</v>
      </c>
      <c r="H448" s="1"/>
      <c r="I448" s="1"/>
      <c r="J448" s="8"/>
      <c r="K448" s="8"/>
      <c r="L448" s="8"/>
      <c r="M448" s="8"/>
      <c r="N448" s="8"/>
      <c r="O448" s="9"/>
      <c r="P448" s="3"/>
      <c r="Q448" s="8"/>
    </row>
    <row r="449" spans="2:17" x14ac:dyDescent="0.3">
      <c r="B449" s="97">
        <v>448</v>
      </c>
      <c r="C449" s="8"/>
      <c r="D449" s="1" t="s">
        <v>508</v>
      </c>
      <c r="E449" s="2">
        <v>30255</v>
      </c>
      <c r="F449" s="1">
        <v>1386914</v>
      </c>
      <c r="G449" s="1">
        <f t="shared" ca="1" si="19"/>
        <v>44</v>
      </c>
      <c r="H449" s="1"/>
      <c r="I449" s="1"/>
      <c r="J449" s="8"/>
      <c r="K449" s="8"/>
      <c r="L449" s="8"/>
      <c r="M449" s="8"/>
      <c r="N449" s="8"/>
      <c r="O449" s="9"/>
      <c r="P449" s="3"/>
      <c r="Q449" s="8"/>
    </row>
    <row r="450" spans="2:17" x14ac:dyDescent="0.3">
      <c r="B450" s="97">
        <v>449</v>
      </c>
      <c r="C450" s="8"/>
      <c r="D450" s="1" t="s">
        <v>509</v>
      </c>
      <c r="E450" s="2">
        <v>30307</v>
      </c>
      <c r="F450" s="1">
        <v>2380614</v>
      </c>
      <c r="G450" s="1">
        <f t="shared" ca="1" si="19"/>
        <v>44</v>
      </c>
      <c r="H450" s="1"/>
      <c r="I450" s="1"/>
      <c r="J450" s="8"/>
      <c r="K450" s="8"/>
      <c r="L450" s="8"/>
      <c r="M450" s="8"/>
      <c r="N450" s="8"/>
      <c r="O450" s="9"/>
      <c r="P450" s="3"/>
      <c r="Q450" s="8"/>
    </row>
    <row r="451" spans="2:17" x14ac:dyDescent="0.3">
      <c r="B451" s="97">
        <v>450</v>
      </c>
      <c r="C451" s="8"/>
      <c r="D451" s="1" t="s">
        <v>510</v>
      </c>
      <c r="E451" s="2">
        <v>40505</v>
      </c>
      <c r="F451" s="1">
        <v>4411618</v>
      </c>
      <c r="G451" s="1">
        <f t="shared" ca="1" si="19"/>
        <v>16</v>
      </c>
      <c r="H451" s="1"/>
      <c r="I451" s="1"/>
      <c r="J451" s="8"/>
      <c r="K451" s="8"/>
      <c r="L451" s="8"/>
      <c r="M451" s="8"/>
      <c r="N451" s="8"/>
      <c r="O451" s="9"/>
      <c r="P451" s="3"/>
      <c r="Q451" s="8"/>
    </row>
    <row r="452" spans="2:17" x14ac:dyDescent="0.3">
      <c r="B452" s="97">
        <v>451</v>
      </c>
      <c r="C452" s="8"/>
      <c r="D452" s="1" t="s">
        <v>511</v>
      </c>
      <c r="E452" s="2">
        <v>42104</v>
      </c>
      <c r="F452" s="1">
        <v>4475921</v>
      </c>
      <c r="G452" s="1">
        <f t="shared" ca="1" si="19"/>
        <v>11</v>
      </c>
      <c r="H452" s="1"/>
      <c r="I452" s="1"/>
      <c r="J452" s="8"/>
      <c r="K452" s="8"/>
      <c r="L452" s="8"/>
      <c r="M452" s="8"/>
      <c r="N452" s="8"/>
      <c r="O452" s="9"/>
      <c r="P452" s="3"/>
      <c r="Q452" s="8"/>
    </row>
    <row r="453" spans="2:17" x14ac:dyDescent="0.3">
      <c r="B453" s="97">
        <v>452</v>
      </c>
      <c r="C453" s="8"/>
      <c r="D453" s="1" t="s">
        <v>512</v>
      </c>
      <c r="E453" s="2">
        <v>26686</v>
      </c>
      <c r="F453" s="1">
        <v>1235020</v>
      </c>
      <c r="G453" s="1">
        <f t="shared" ca="1" si="19"/>
        <v>53</v>
      </c>
      <c r="H453" s="1"/>
      <c r="I453" s="1"/>
      <c r="J453" s="8"/>
      <c r="K453" s="8"/>
      <c r="L453" s="8"/>
      <c r="M453" s="8"/>
      <c r="N453" s="8"/>
      <c r="O453" s="9"/>
      <c r="P453" s="3"/>
      <c r="Q453" s="8"/>
    </row>
    <row r="454" spans="2:17" x14ac:dyDescent="0.3">
      <c r="B454" s="97">
        <v>453</v>
      </c>
      <c r="C454" s="8"/>
      <c r="D454" s="1" t="s">
        <v>513</v>
      </c>
      <c r="E454" s="2">
        <v>27525</v>
      </c>
      <c r="F454" s="1">
        <v>2802415</v>
      </c>
      <c r="G454" s="1">
        <f t="shared" ca="1" si="19"/>
        <v>51</v>
      </c>
      <c r="H454" s="1"/>
      <c r="I454" s="1"/>
      <c r="J454" s="8"/>
      <c r="K454" s="8"/>
      <c r="L454" s="8"/>
      <c r="M454" s="8"/>
      <c r="N454" s="8"/>
      <c r="O454" s="9"/>
      <c r="P454" s="3"/>
      <c r="Q454" s="8"/>
    </row>
    <row r="455" spans="2:17" x14ac:dyDescent="0.3">
      <c r="B455" s="97">
        <v>454</v>
      </c>
      <c r="C455" s="8"/>
      <c r="D455" s="1" t="s">
        <v>514</v>
      </c>
      <c r="E455" s="2">
        <v>39450</v>
      </c>
      <c r="F455" s="1">
        <v>4475910</v>
      </c>
      <c r="G455" s="1">
        <f t="shared" ca="1" si="19"/>
        <v>18</v>
      </c>
      <c r="H455" s="1"/>
      <c r="I455" s="1"/>
      <c r="J455" s="8"/>
      <c r="K455" s="8"/>
      <c r="L455" s="8"/>
      <c r="M455" s="8"/>
      <c r="N455" s="8"/>
      <c r="O455" s="9"/>
      <c r="P455" s="3"/>
      <c r="Q455" s="8"/>
    </row>
    <row r="456" spans="2:17" x14ac:dyDescent="0.3">
      <c r="B456" s="97">
        <v>455</v>
      </c>
      <c r="C456" s="8"/>
      <c r="D456" s="1" t="s">
        <v>515</v>
      </c>
      <c r="E456" s="2">
        <v>27025</v>
      </c>
      <c r="F456" s="1">
        <v>2411411</v>
      </c>
      <c r="G456" s="1">
        <f t="shared" ca="1" si="19"/>
        <v>53</v>
      </c>
      <c r="H456" s="1"/>
      <c r="I456" s="1"/>
      <c r="J456" s="8"/>
      <c r="K456" s="8"/>
      <c r="L456" s="8"/>
      <c r="M456" s="8"/>
      <c r="N456" s="8"/>
      <c r="O456" s="9"/>
      <c r="P456" s="3"/>
      <c r="Q456" s="8"/>
    </row>
    <row r="457" spans="2:17" x14ac:dyDescent="0.3">
      <c r="B457" s="97">
        <v>456</v>
      </c>
      <c r="C457" s="8"/>
      <c r="D457" s="1" t="s">
        <v>516</v>
      </c>
      <c r="E457" s="2">
        <v>34008</v>
      </c>
      <c r="F457" s="1">
        <v>1519914</v>
      </c>
      <c r="G457" s="1">
        <f t="shared" ca="1" si="19"/>
        <v>33</v>
      </c>
      <c r="H457" s="1"/>
      <c r="I457" s="1"/>
      <c r="J457" s="8"/>
      <c r="K457" s="8"/>
      <c r="L457" s="8"/>
      <c r="M457" s="8"/>
      <c r="N457" s="8"/>
      <c r="O457" s="9"/>
      <c r="P457" s="3"/>
      <c r="Q457" s="8"/>
    </row>
    <row r="458" spans="2:17" x14ac:dyDescent="0.3">
      <c r="B458" s="97">
        <v>457</v>
      </c>
      <c r="C458" s="8"/>
      <c r="D458" s="1" t="s">
        <v>517</v>
      </c>
      <c r="E458" s="2">
        <v>30015</v>
      </c>
      <c r="F458" s="1">
        <v>1449617</v>
      </c>
      <c r="G458" s="1">
        <f t="shared" ca="1" si="19"/>
        <v>44</v>
      </c>
      <c r="H458" s="1"/>
      <c r="I458" s="1"/>
      <c r="J458" s="8"/>
      <c r="K458" s="8"/>
      <c r="L458" s="8"/>
      <c r="M458" s="8"/>
      <c r="N458" s="8"/>
      <c r="O458" s="9"/>
      <c r="P458" s="3"/>
      <c r="Q458" s="8"/>
    </row>
    <row r="459" spans="2:17" x14ac:dyDescent="0.3">
      <c r="B459" s="97">
        <v>458</v>
      </c>
      <c r="C459" s="8"/>
      <c r="D459" s="1" t="s">
        <v>518</v>
      </c>
      <c r="E459" s="2">
        <v>31851</v>
      </c>
      <c r="F459" s="1">
        <v>2519917</v>
      </c>
      <c r="G459" s="1">
        <f t="shared" ca="1" si="19"/>
        <v>39</v>
      </c>
      <c r="H459" s="1"/>
      <c r="I459" s="1"/>
      <c r="J459" s="8"/>
      <c r="K459" s="8"/>
      <c r="L459" s="8"/>
      <c r="M459" s="8"/>
      <c r="N459" s="8"/>
      <c r="O459" s="9"/>
      <c r="P459" s="3"/>
      <c r="Q459" s="8"/>
    </row>
    <row r="460" spans="2:17" x14ac:dyDescent="0.3">
      <c r="B460" s="97">
        <v>459</v>
      </c>
      <c r="C460" s="8"/>
      <c r="D460" s="1" t="s">
        <v>519</v>
      </c>
      <c r="E460" s="2">
        <v>41492</v>
      </c>
      <c r="F460" s="1">
        <v>3476018</v>
      </c>
      <c r="G460" s="1">
        <f t="shared" ca="1" si="19"/>
        <v>13</v>
      </c>
      <c r="H460" s="1"/>
      <c r="I460" s="1"/>
      <c r="J460" s="8"/>
      <c r="K460" s="8"/>
      <c r="L460" s="8"/>
      <c r="M460" s="8"/>
      <c r="N460" s="8"/>
      <c r="O460" s="9"/>
      <c r="P460" s="3"/>
      <c r="Q460" s="8"/>
    </row>
    <row r="461" spans="2:17" x14ac:dyDescent="0.3">
      <c r="B461" s="97">
        <v>460</v>
      </c>
      <c r="C461" s="8"/>
      <c r="D461" s="1" t="s">
        <v>520</v>
      </c>
      <c r="E461" s="2">
        <v>42564</v>
      </c>
      <c r="F461" s="1">
        <v>4</v>
      </c>
      <c r="G461" s="1">
        <f t="shared" ref="G461:G524" ca="1" si="20">YEAR(TODAY())-YEAR(E461)</f>
        <v>10</v>
      </c>
      <c r="H461" s="1"/>
      <c r="I461" s="1"/>
      <c r="J461" s="8"/>
      <c r="K461" s="8"/>
      <c r="L461" s="8"/>
      <c r="M461" s="8"/>
      <c r="N461" s="8"/>
      <c r="O461" s="9"/>
      <c r="P461" s="3"/>
      <c r="Q461" s="8"/>
    </row>
    <row r="462" spans="2:17" x14ac:dyDescent="0.3">
      <c r="B462" s="97">
        <v>461</v>
      </c>
      <c r="C462" s="8"/>
      <c r="D462" s="1" t="s">
        <v>521</v>
      </c>
      <c r="E462" s="2">
        <v>30041</v>
      </c>
      <c r="F462" s="1">
        <v>1143115</v>
      </c>
      <c r="G462" s="1">
        <f t="shared" ca="1" si="20"/>
        <v>44</v>
      </c>
      <c r="H462" s="1"/>
      <c r="I462" s="1"/>
      <c r="J462" s="8"/>
      <c r="K462" s="8"/>
      <c r="L462" s="8"/>
      <c r="M462" s="8"/>
      <c r="N462" s="8"/>
      <c r="O462" s="9"/>
      <c r="P462" s="3"/>
      <c r="Q462" s="8"/>
    </row>
    <row r="463" spans="2:17" x14ac:dyDescent="0.3">
      <c r="B463" s="97">
        <v>462</v>
      </c>
      <c r="C463" s="8"/>
      <c r="D463" s="1" t="s">
        <v>522</v>
      </c>
      <c r="E463" s="2">
        <v>30323</v>
      </c>
      <c r="F463" s="1">
        <v>2013010</v>
      </c>
      <c r="G463" s="1">
        <f t="shared" ca="1" si="20"/>
        <v>43</v>
      </c>
      <c r="H463" s="1"/>
      <c r="I463" s="1"/>
      <c r="J463" s="8"/>
      <c r="K463" s="8"/>
      <c r="L463" s="8"/>
      <c r="M463" s="8"/>
      <c r="N463" s="8"/>
      <c r="O463" s="9"/>
      <c r="P463" s="3"/>
      <c r="Q463" s="8"/>
    </row>
    <row r="464" spans="2:17" x14ac:dyDescent="0.3">
      <c r="B464" s="97">
        <v>463</v>
      </c>
      <c r="C464" s="8"/>
      <c r="D464" s="1" t="s">
        <v>523</v>
      </c>
      <c r="E464" s="2">
        <v>38294</v>
      </c>
      <c r="F464" s="1">
        <v>4218615</v>
      </c>
      <c r="G464" s="1">
        <f t="shared" ca="1" si="20"/>
        <v>22</v>
      </c>
      <c r="H464" s="1"/>
      <c r="I464" s="1"/>
      <c r="J464" s="8"/>
      <c r="K464" s="8"/>
      <c r="L464" s="8"/>
      <c r="M464" s="8"/>
      <c r="N464" s="8"/>
      <c r="O464" s="9"/>
      <c r="P464" s="3"/>
      <c r="Q464" s="8"/>
    </row>
    <row r="465" spans="2:17" x14ac:dyDescent="0.3">
      <c r="B465" s="97">
        <v>464</v>
      </c>
      <c r="C465" s="8"/>
      <c r="D465" s="1" t="s">
        <v>524</v>
      </c>
      <c r="E465" s="2">
        <v>32717</v>
      </c>
      <c r="F465" s="1">
        <v>2411716</v>
      </c>
      <c r="G465" s="1">
        <f t="shared" ca="1" si="20"/>
        <v>37</v>
      </c>
      <c r="H465" s="1"/>
      <c r="I465" s="1"/>
      <c r="J465" s="8"/>
      <c r="K465" s="8"/>
      <c r="L465" s="8"/>
      <c r="M465" s="8"/>
      <c r="N465" s="8"/>
      <c r="O465" s="9"/>
      <c r="P465" s="3"/>
      <c r="Q465" s="8"/>
    </row>
    <row r="466" spans="2:17" x14ac:dyDescent="0.3">
      <c r="B466" s="97">
        <v>465</v>
      </c>
      <c r="C466" s="8"/>
      <c r="D466" s="1" t="s">
        <v>525</v>
      </c>
      <c r="E466" s="2">
        <v>16136</v>
      </c>
      <c r="F466" s="1">
        <v>1929911</v>
      </c>
      <c r="G466" s="1">
        <f t="shared" ca="1" si="20"/>
        <v>82</v>
      </c>
      <c r="H466" s="1"/>
      <c r="I466" s="1"/>
      <c r="J466" s="8"/>
      <c r="K466" s="8"/>
      <c r="L466" s="8"/>
      <c r="M466" s="8"/>
      <c r="N466" s="8"/>
      <c r="O466" s="9"/>
      <c r="P466" s="3"/>
      <c r="Q466" s="8"/>
    </row>
    <row r="467" spans="2:17" x14ac:dyDescent="0.3">
      <c r="B467" s="97">
        <v>466</v>
      </c>
      <c r="C467" s="8"/>
      <c r="D467" s="1" t="s">
        <v>526</v>
      </c>
      <c r="E467" s="2">
        <v>19864</v>
      </c>
      <c r="F467" s="1">
        <v>2929913</v>
      </c>
      <c r="G467" s="1">
        <f t="shared" ca="1" si="20"/>
        <v>72</v>
      </c>
      <c r="H467" s="1"/>
      <c r="I467" s="1"/>
      <c r="J467" s="8"/>
      <c r="K467" s="8"/>
      <c r="L467" s="8"/>
      <c r="M467" s="8"/>
      <c r="N467" s="8"/>
      <c r="O467" s="9"/>
      <c r="P467" s="3"/>
      <c r="Q467" s="8"/>
    </row>
    <row r="468" spans="2:17" x14ac:dyDescent="0.3">
      <c r="B468" s="97">
        <v>467</v>
      </c>
      <c r="C468" s="8"/>
      <c r="D468" s="1" t="s">
        <v>527</v>
      </c>
      <c r="E468" s="2">
        <v>29797</v>
      </c>
      <c r="F468" s="1">
        <v>1795817</v>
      </c>
      <c r="G468" s="1">
        <f t="shared" ca="1" si="20"/>
        <v>45</v>
      </c>
      <c r="H468" s="1"/>
      <c r="I468" s="1"/>
      <c r="J468" s="8"/>
      <c r="K468" s="8"/>
      <c r="L468" s="8"/>
      <c r="M468" s="8"/>
      <c r="N468" s="8"/>
      <c r="O468" s="9"/>
      <c r="P468" s="3"/>
      <c r="Q468" s="8"/>
    </row>
    <row r="469" spans="2:17" x14ac:dyDescent="0.3">
      <c r="B469" s="97">
        <v>468</v>
      </c>
      <c r="C469" s="8"/>
      <c r="D469" s="1" t="s">
        <v>528</v>
      </c>
      <c r="E469" s="2">
        <v>29866</v>
      </c>
      <c r="F469" s="1">
        <v>2768315</v>
      </c>
      <c r="G469" s="1">
        <f t="shared" ca="1" si="20"/>
        <v>45</v>
      </c>
      <c r="H469" s="1"/>
      <c r="I469" s="1"/>
      <c r="J469" s="8"/>
      <c r="K469" s="8"/>
      <c r="L469" s="8"/>
      <c r="M469" s="8"/>
      <c r="N469" s="8"/>
      <c r="O469" s="9"/>
      <c r="P469" s="3"/>
      <c r="Q469" s="8"/>
    </row>
    <row r="470" spans="2:17" x14ac:dyDescent="0.3">
      <c r="B470" s="97">
        <v>469</v>
      </c>
      <c r="C470" s="8"/>
      <c r="D470" s="1" t="s">
        <v>529</v>
      </c>
      <c r="E470" s="2">
        <v>40830</v>
      </c>
      <c r="F470" s="1">
        <v>3412036</v>
      </c>
      <c r="G470" s="1">
        <f t="shared" ca="1" si="20"/>
        <v>15</v>
      </c>
      <c r="H470" s="1"/>
      <c r="I470" s="1"/>
      <c r="J470" s="8"/>
      <c r="K470" s="8"/>
      <c r="L470" s="8"/>
      <c r="M470" s="8"/>
      <c r="N470" s="8"/>
      <c r="O470" s="9"/>
      <c r="P470" s="3"/>
      <c r="Q470" s="8"/>
    </row>
    <row r="471" spans="2:17" x14ac:dyDescent="0.3">
      <c r="B471" s="97">
        <v>470</v>
      </c>
      <c r="C471" s="8"/>
      <c r="D471" s="1" t="s">
        <v>530</v>
      </c>
      <c r="E471" s="2">
        <v>42119</v>
      </c>
      <c r="F471" s="1">
        <v>3412018</v>
      </c>
      <c r="G471" s="1">
        <f t="shared" ca="1" si="20"/>
        <v>11</v>
      </c>
      <c r="H471" s="1"/>
      <c r="I471" s="1"/>
      <c r="J471" s="8"/>
      <c r="K471" s="8"/>
      <c r="L471" s="8"/>
      <c r="M471" s="8"/>
      <c r="N471" s="8"/>
      <c r="O471" s="9"/>
      <c r="P471" s="3"/>
      <c r="Q471" s="8"/>
    </row>
    <row r="472" spans="2:17" x14ac:dyDescent="0.3">
      <c r="B472" s="97">
        <v>471</v>
      </c>
      <c r="C472" s="8"/>
      <c r="D472" s="1" t="s">
        <v>531</v>
      </c>
      <c r="E472" s="2">
        <v>28824</v>
      </c>
      <c r="F472" s="1">
        <v>1064819</v>
      </c>
      <c r="G472" s="1">
        <f t="shared" ca="1" si="20"/>
        <v>48</v>
      </c>
      <c r="H472" s="1"/>
      <c r="I472" s="1"/>
      <c r="J472" s="8"/>
      <c r="K472" s="8"/>
      <c r="L472" s="8"/>
      <c r="M472" s="8"/>
      <c r="N472" s="8"/>
      <c r="O472" s="9"/>
      <c r="P472" s="3"/>
      <c r="Q472" s="8"/>
    </row>
    <row r="473" spans="2:17" x14ac:dyDescent="0.3">
      <c r="B473" s="97">
        <v>472</v>
      </c>
      <c r="C473" s="8"/>
      <c r="D473" s="1" t="s">
        <v>532</v>
      </c>
      <c r="E473" s="2">
        <v>30272</v>
      </c>
      <c r="F473" s="1">
        <v>2123029</v>
      </c>
      <c r="G473" s="1">
        <f t="shared" ca="1" si="20"/>
        <v>44</v>
      </c>
      <c r="H473" s="1"/>
      <c r="I473" s="1"/>
      <c r="J473" s="8"/>
      <c r="K473" s="8"/>
      <c r="L473" s="8"/>
      <c r="M473" s="8"/>
      <c r="N473" s="8"/>
      <c r="O473" s="9"/>
      <c r="P473" s="3"/>
      <c r="Q473" s="8"/>
    </row>
    <row r="474" spans="2:17" x14ac:dyDescent="0.3">
      <c r="B474" s="97">
        <v>473</v>
      </c>
      <c r="C474" s="8"/>
      <c r="D474" s="1" t="s">
        <v>533</v>
      </c>
      <c r="E474" s="2">
        <v>41666</v>
      </c>
      <c r="F474" s="1">
        <v>3475931</v>
      </c>
      <c r="G474" s="1">
        <f t="shared" ca="1" si="20"/>
        <v>12</v>
      </c>
      <c r="H474" s="1"/>
      <c r="I474" s="1"/>
      <c r="J474" s="8"/>
      <c r="K474" s="8"/>
      <c r="L474" s="8"/>
      <c r="M474" s="8"/>
      <c r="N474" s="8"/>
      <c r="O474" s="9"/>
      <c r="P474" s="3"/>
      <c r="Q474" s="8"/>
    </row>
    <row r="475" spans="2:17" x14ac:dyDescent="0.3">
      <c r="B475" s="97">
        <v>474</v>
      </c>
      <c r="C475" s="8"/>
      <c r="D475" s="1" t="s">
        <v>534</v>
      </c>
      <c r="E475" s="2">
        <v>42066</v>
      </c>
      <c r="F475" s="1">
        <v>4020411</v>
      </c>
      <c r="G475" s="1">
        <f t="shared" ca="1" si="20"/>
        <v>11</v>
      </c>
      <c r="H475" s="1"/>
      <c r="I475" s="1"/>
      <c r="J475" s="8"/>
      <c r="K475" s="8"/>
      <c r="L475" s="8"/>
      <c r="M475" s="8"/>
      <c r="N475" s="8"/>
      <c r="O475" s="9"/>
      <c r="P475" s="3"/>
      <c r="Q475" s="8"/>
    </row>
    <row r="476" spans="2:17" x14ac:dyDescent="0.3">
      <c r="B476" s="97">
        <v>475</v>
      </c>
      <c r="C476" s="8"/>
      <c r="D476" s="1" t="s">
        <v>535</v>
      </c>
      <c r="E476" s="2">
        <v>30726</v>
      </c>
      <c r="F476" s="1">
        <v>1065921</v>
      </c>
      <c r="G476" s="1">
        <f t="shared" ca="1" si="20"/>
        <v>42</v>
      </c>
      <c r="H476" s="1"/>
      <c r="I476" s="1"/>
      <c r="J476" s="8"/>
      <c r="K476" s="8"/>
      <c r="L476" s="8"/>
      <c r="M476" s="8"/>
      <c r="N476" s="8"/>
      <c r="O476" s="9"/>
      <c r="P476" s="3"/>
      <c r="Q476" s="8"/>
    </row>
    <row r="477" spans="2:17" x14ac:dyDescent="0.3">
      <c r="B477" s="97">
        <v>476</v>
      </c>
      <c r="C477" s="8"/>
      <c r="D477" s="1" t="s">
        <v>536</v>
      </c>
      <c r="E477" s="2">
        <v>31061</v>
      </c>
      <c r="F477" s="1">
        <v>2048414</v>
      </c>
      <c r="G477" s="1">
        <f t="shared" ca="1" si="20"/>
        <v>41</v>
      </c>
      <c r="H477" s="1"/>
      <c r="I477" s="1"/>
      <c r="J477" s="8"/>
      <c r="K477" s="8"/>
      <c r="L477" s="8"/>
      <c r="M477" s="8"/>
      <c r="N477" s="8"/>
      <c r="O477" s="9"/>
      <c r="P477" s="3"/>
      <c r="Q477" s="8"/>
    </row>
    <row r="478" spans="2:17" x14ac:dyDescent="0.3">
      <c r="B478" s="97">
        <v>477</v>
      </c>
      <c r="C478" s="8"/>
      <c r="D478" s="1" t="s">
        <v>537</v>
      </c>
      <c r="E478" s="2">
        <v>42100</v>
      </c>
      <c r="F478" s="1">
        <v>4188213</v>
      </c>
      <c r="G478" s="1">
        <f t="shared" ca="1" si="20"/>
        <v>11</v>
      </c>
      <c r="H478" s="1"/>
      <c r="I478" s="1"/>
      <c r="J478" s="8"/>
      <c r="K478" s="8"/>
      <c r="L478" s="8"/>
      <c r="M478" s="8"/>
      <c r="N478" s="8"/>
      <c r="O478" s="9"/>
      <c r="P478" s="3"/>
      <c r="Q478" s="8"/>
    </row>
    <row r="479" spans="2:17" x14ac:dyDescent="0.3">
      <c r="B479" s="97">
        <v>478</v>
      </c>
      <c r="C479" s="8"/>
      <c r="D479" s="1" t="s">
        <v>538</v>
      </c>
      <c r="E479" s="2">
        <v>43378</v>
      </c>
      <c r="F479" s="1">
        <v>3188213</v>
      </c>
      <c r="G479" s="1">
        <f t="shared" ca="1" si="20"/>
        <v>8</v>
      </c>
      <c r="H479" s="1"/>
      <c r="I479" s="1"/>
      <c r="J479" s="8"/>
      <c r="K479" s="8"/>
      <c r="L479" s="8"/>
      <c r="M479" s="8"/>
      <c r="N479" s="8"/>
      <c r="O479" s="9"/>
      <c r="P479" s="3"/>
      <c r="Q479" s="8"/>
    </row>
    <row r="480" spans="2:17" x14ac:dyDescent="0.3">
      <c r="B480" s="97">
        <v>479</v>
      </c>
      <c r="C480" s="8"/>
      <c r="D480" s="1" t="s">
        <v>539</v>
      </c>
      <c r="E480" s="2">
        <v>29242</v>
      </c>
      <c r="F480" s="1">
        <v>1722116</v>
      </c>
      <c r="G480" s="1">
        <f t="shared" ca="1" si="20"/>
        <v>46</v>
      </c>
      <c r="H480" s="1"/>
      <c r="I480" s="1"/>
      <c r="J480" s="8"/>
      <c r="K480" s="8"/>
      <c r="L480" s="8"/>
      <c r="M480" s="8"/>
      <c r="N480" s="8"/>
      <c r="O480" s="9"/>
      <c r="P480" s="3"/>
      <c r="Q480" s="8"/>
    </row>
    <row r="481" spans="2:17" x14ac:dyDescent="0.3">
      <c r="B481" s="97">
        <v>480</v>
      </c>
      <c r="C481" s="8"/>
      <c r="D481" s="1" t="s">
        <v>540</v>
      </c>
      <c r="E481" s="2">
        <v>31212</v>
      </c>
      <c r="F481" s="1">
        <v>2731010</v>
      </c>
      <c r="G481" s="1">
        <f t="shared" ca="1" si="20"/>
        <v>41</v>
      </c>
      <c r="H481" s="1"/>
      <c r="I481" s="1"/>
      <c r="J481" s="8"/>
      <c r="K481" s="8"/>
      <c r="L481" s="8"/>
      <c r="M481" s="8"/>
      <c r="N481" s="8"/>
      <c r="O481" s="9"/>
      <c r="P481" s="3"/>
      <c r="Q481" s="8"/>
    </row>
    <row r="482" spans="2:17" x14ac:dyDescent="0.3">
      <c r="B482" s="97">
        <v>481</v>
      </c>
      <c r="C482" s="8"/>
      <c r="D482" s="1" t="s">
        <v>541</v>
      </c>
      <c r="E482" s="2">
        <v>40739</v>
      </c>
      <c r="F482" s="1">
        <v>4412718</v>
      </c>
      <c r="G482" s="1">
        <f t="shared" ca="1" si="20"/>
        <v>15</v>
      </c>
      <c r="H482" s="1"/>
      <c r="I482" s="1"/>
      <c r="J482" s="8"/>
      <c r="K482" s="8"/>
      <c r="L482" s="8"/>
      <c r="M482" s="8"/>
      <c r="N482" s="8"/>
      <c r="O482" s="9"/>
      <c r="P482" s="3"/>
      <c r="Q482" s="8"/>
    </row>
    <row r="483" spans="2:17" x14ac:dyDescent="0.3">
      <c r="B483" s="97">
        <v>482</v>
      </c>
      <c r="C483" s="8"/>
      <c r="D483" s="1" t="s">
        <v>542</v>
      </c>
      <c r="E483" s="2">
        <v>41310</v>
      </c>
      <c r="F483" s="1">
        <v>4476014</v>
      </c>
      <c r="G483" s="1">
        <f t="shared" ca="1" si="20"/>
        <v>13</v>
      </c>
      <c r="H483" s="1"/>
      <c r="I483" s="1"/>
      <c r="J483" s="8"/>
      <c r="K483" s="8"/>
      <c r="L483" s="8"/>
      <c r="M483" s="8"/>
      <c r="N483" s="8"/>
      <c r="O483" s="9"/>
      <c r="P483" s="3"/>
      <c r="Q483" s="8"/>
    </row>
    <row r="484" spans="2:17" x14ac:dyDescent="0.3">
      <c r="B484" s="97">
        <v>483</v>
      </c>
      <c r="C484" s="8"/>
      <c r="D484" s="1" t="s">
        <v>543</v>
      </c>
      <c r="E484" s="2">
        <v>27520</v>
      </c>
      <c r="F484" s="1">
        <v>1140523</v>
      </c>
      <c r="G484" s="1">
        <f t="shared" ca="1" si="20"/>
        <v>51</v>
      </c>
      <c r="H484" s="1"/>
      <c r="I484" s="1"/>
      <c r="J484" s="8"/>
      <c r="K484" s="8"/>
      <c r="L484" s="8"/>
      <c r="M484" s="8"/>
      <c r="N484" s="8"/>
      <c r="O484" s="9"/>
      <c r="P484" s="3"/>
      <c r="Q484" s="8"/>
    </row>
    <row r="485" spans="2:17" x14ac:dyDescent="0.3">
      <c r="B485" s="97">
        <v>484</v>
      </c>
      <c r="C485" s="8"/>
      <c r="D485" s="1" t="s">
        <v>544</v>
      </c>
      <c r="E485" s="2">
        <v>28090</v>
      </c>
      <c r="F485" s="1">
        <v>2475747</v>
      </c>
      <c r="G485" s="1">
        <f t="shared" ca="1" si="20"/>
        <v>50</v>
      </c>
      <c r="H485" s="1"/>
      <c r="I485" s="1"/>
      <c r="J485" s="8"/>
      <c r="K485" s="8"/>
      <c r="L485" s="8"/>
      <c r="M485" s="8"/>
      <c r="N485" s="8"/>
      <c r="O485" s="9"/>
      <c r="P485" s="3"/>
      <c r="Q485" s="8"/>
    </row>
    <row r="486" spans="2:17" x14ac:dyDescent="0.3">
      <c r="B486" s="97">
        <v>485</v>
      </c>
      <c r="C486" s="8"/>
      <c r="D486" s="1" t="s">
        <v>262</v>
      </c>
      <c r="E486" s="2">
        <v>35628</v>
      </c>
      <c r="F486" s="1">
        <v>2149131</v>
      </c>
      <c r="G486" s="1">
        <f t="shared" ca="1" si="20"/>
        <v>29</v>
      </c>
      <c r="H486" s="1"/>
      <c r="I486" s="1"/>
      <c r="J486" s="8"/>
      <c r="K486" s="8"/>
      <c r="L486" s="8"/>
      <c r="M486" s="8"/>
      <c r="N486" s="8"/>
      <c r="O486" s="9"/>
      <c r="P486" s="3"/>
      <c r="Q486" s="8"/>
    </row>
    <row r="487" spans="2:17" x14ac:dyDescent="0.3">
      <c r="B487" s="97">
        <v>486</v>
      </c>
      <c r="C487" s="8"/>
      <c r="D487" s="1" t="s">
        <v>545</v>
      </c>
      <c r="E487" s="2">
        <v>36820</v>
      </c>
      <c r="F487" s="1">
        <v>4419412</v>
      </c>
      <c r="G487" s="1">
        <f t="shared" ca="1" si="20"/>
        <v>26</v>
      </c>
      <c r="H487" s="1"/>
      <c r="I487" s="1"/>
      <c r="J487" s="8"/>
      <c r="K487" s="8"/>
      <c r="L487" s="8"/>
      <c r="M487" s="8"/>
      <c r="N487" s="8"/>
      <c r="O487" s="9"/>
      <c r="P487" s="3"/>
      <c r="Q487" s="8"/>
    </row>
    <row r="488" spans="2:17" x14ac:dyDescent="0.3">
      <c r="B488" s="97">
        <v>487</v>
      </c>
      <c r="C488" s="8"/>
      <c r="D488" s="1" t="s">
        <v>546</v>
      </c>
      <c r="E488" s="2">
        <v>28887</v>
      </c>
      <c r="F488" s="1">
        <v>1475748</v>
      </c>
      <c r="G488" s="1">
        <f t="shared" ca="1" si="20"/>
        <v>47</v>
      </c>
      <c r="H488" s="1"/>
      <c r="I488" s="1"/>
      <c r="J488" s="8"/>
      <c r="K488" s="8"/>
      <c r="L488" s="8"/>
      <c r="M488" s="8"/>
      <c r="N488" s="8"/>
      <c r="O488" s="9"/>
      <c r="P488" s="3"/>
      <c r="Q488" s="8"/>
    </row>
    <row r="489" spans="2:17" x14ac:dyDescent="0.3">
      <c r="B489" s="97">
        <v>488</v>
      </c>
      <c r="C489" s="8"/>
      <c r="D489" s="1" t="s">
        <v>547</v>
      </c>
      <c r="E489" s="2">
        <v>28295</v>
      </c>
      <c r="F489" s="1">
        <v>1469019</v>
      </c>
      <c r="G489" s="1">
        <f t="shared" ca="1" si="20"/>
        <v>49</v>
      </c>
      <c r="H489" s="1"/>
      <c r="I489" s="1"/>
      <c r="J489" s="8"/>
      <c r="K489" s="8"/>
      <c r="L489" s="8"/>
      <c r="M489" s="8"/>
      <c r="N489" s="8"/>
      <c r="O489" s="9"/>
      <c r="P489" s="3"/>
      <c r="Q489" s="8"/>
    </row>
    <row r="490" spans="2:17" x14ac:dyDescent="0.3">
      <c r="B490" s="97">
        <v>489</v>
      </c>
      <c r="C490" s="8"/>
      <c r="D490" s="1" t="s">
        <v>548</v>
      </c>
      <c r="E490" s="2">
        <v>20418</v>
      </c>
      <c r="F490" s="1">
        <v>1235010</v>
      </c>
      <c r="G490" s="1">
        <f t="shared" ca="1" si="20"/>
        <v>71</v>
      </c>
      <c r="H490" s="1"/>
      <c r="I490" s="1"/>
      <c r="J490" s="8"/>
      <c r="K490" s="8"/>
      <c r="L490" s="8"/>
      <c r="M490" s="8"/>
      <c r="N490" s="8"/>
      <c r="O490" s="9"/>
      <c r="P490" s="3"/>
      <c r="Q490" s="8"/>
    </row>
    <row r="491" spans="2:17" x14ac:dyDescent="0.3">
      <c r="B491" s="97">
        <v>490</v>
      </c>
      <c r="C491" s="8"/>
      <c r="D491" s="1" t="s">
        <v>549</v>
      </c>
      <c r="E491" s="2">
        <v>21494</v>
      </c>
      <c r="F491" s="1">
        <v>2052726</v>
      </c>
      <c r="G491" s="1">
        <f t="shared" ca="1" si="20"/>
        <v>68</v>
      </c>
      <c r="H491" s="1"/>
      <c r="I491" s="1"/>
      <c r="J491" s="8"/>
      <c r="K491" s="8"/>
      <c r="L491" s="8"/>
      <c r="M491" s="8"/>
      <c r="N491" s="8"/>
      <c r="O491" s="9"/>
      <c r="P491" s="3"/>
      <c r="Q491" s="8"/>
    </row>
    <row r="492" spans="2:17" x14ac:dyDescent="0.3">
      <c r="B492" s="97">
        <v>491</v>
      </c>
      <c r="C492" s="8"/>
      <c r="D492" s="1" t="s">
        <v>550</v>
      </c>
      <c r="E492" s="2">
        <v>32399</v>
      </c>
      <c r="F492" s="1">
        <v>1235220</v>
      </c>
      <c r="G492" s="1">
        <f t="shared" ca="1" si="20"/>
        <v>38</v>
      </c>
      <c r="H492" s="1"/>
      <c r="I492" s="1"/>
      <c r="J492" s="8"/>
      <c r="K492" s="8"/>
      <c r="L492" s="8"/>
      <c r="M492" s="8"/>
      <c r="N492" s="8"/>
      <c r="O492" s="9"/>
      <c r="P492" s="3"/>
      <c r="Q492" s="8"/>
    </row>
    <row r="493" spans="2:17" x14ac:dyDescent="0.3">
      <c r="B493" s="97">
        <v>492</v>
      </c>
      <c r="C493" s="8"/>
      <c r="D493" s="1" t="s">
        <v>551</v>
      </c>
      <c r="E493" s="2">
        <v>30726</v>
      </c>
      <c r="F493" s="1">
        <v>1852216</v>
      </c>
      <c r="G493" s="1">
        <f t="shared" ca="1" si="20"/>
        <v>42</v>
      </c>
      <c r="H493" s="1"/>
      <c r="I493" s="1"/>
      <c r="J493" s="8"/>
      <c r="K493" s="8"/>
      <c r="L493" s="8"/>
      <c r="M493" s="8"/>
      <c r="N493" s="8"/>
      <c r="O493" s="9"/>
      <c r="P493" s="3"/>
      <c r="Q493" s="8"/>
    </row>
    <row r="494" spans="2:17" x14ac:dyDescent="0.3">
      <c r="B494" s="97">
        <v>493</v>
      </c>
      <c r="C494" s="8"/>
      <c r="D494" s="1" t="s">
        <v>552</v>
      </c>
      <c r="E494" s="2">
        <v>30496</v>
      </c>
      <c r="F494" s="1">
        <v>2470915</v>
      </c>
      <c r="G494" s="1">
        <f t="shared" ca="1" si="20"/>
        <v>43</v>
      </c>
      <c r="H494" s="1"/>
      <c r="I494" s="1"/>
      <c r="J494" s="8"/>
      <c r="K494" s="8"/>
      <c r="L494" s="8"/>
      <c r="M494" s="8"/>
      <c r="N494" s="8"/>
      <c r="O494" s="9"/>
      <c r="P494" s="3"/>
      <c r="Q494" s="8"/>
    </row>
    <row r="495" spans="2:17" x14ac:dyDescent="0.3">
      <c r="B495" s="97">
        <v>494</v>
      </c>
      <c r="C495" s="8"/>
      <c r="D495" s="1" t="s">
        <v>553</v>
      </c>
      <c r="E495" s="2">
        <v>40628</v>
      </c>
      <c r="F495" s="1">
        <v>4475923</v>
      </c>
      <c r="G495" s="1">
        <f t="shared" ca="1" si="20"/>
        <v>15</v>
      </c>
      <c r="H495" s="1"/>
      <c r="I495" s="1"/>
      <c r="J495" s="8"/>
      <c r="K495" s="8"/>
      <c r="L495" s="8"/>
      <c r="M495" s="8"/>
      <c r="N495" s="8"/>
      <c r="O495" s="9"/>
      <c r="P495" s="3"/>
      <c r="Q495" s="8"/>
    </row>
    <row r="496" spans="2:17" x14ac:dyDescent="0.3">
      <c r="B496" s="97">
        <v>495</v>
      </c>
      <c r="C496" s="8"/>
      <c r="D496" s="1" t="s">
        <v>554</v>
      </c>
      <c r="E496" s="2">
        <v>30147</v>
      </c>
      <c r="F496" s="1">
        <v>1140821</v>
      </c>
      <c r="G496" s="1">
        <f t="shared" ca="1" si="20"/>
        <v>44</v>
      </c>
      <c r="H496" s="1"/>
      <c r="I496" s="1"/>
      <c r="J496" s="8"/>
      <c r="K496" s="8"/>
      <c r="L496" s="8"/>
      <c r="M496" s="8"/>
      <c r="N496" s="8"/>
      <c r="O496" s="9"/>
      <c r="P496" s="3"/>
      <c r="Q496" s="8"/>
    </row>
    <row r="497" spans="2:17" x14ac:dyDescent="0.3">
      <c r="B497" s="97">
        <v>496</v>
      </c>
      <c r="C497" s="8"/>
      <c r="D497" s="1" t="s">
        <v>555</v>
      </c>
      <c r="E497" s="2">
        <v>27824</v>
      </c>
      <c r="F497" s="1">
        <v>2344111</v>
      </c>
      <c r="G497" s="1">
        <f t="shared" ca="1" si="20"/>
        <v>50</v>
      </c>
      <c r="H497" s="1"/>
      <c r="I497" s="1"/>
      <c r="J497" s="8"/>
      <c r="K497" s="8"/>
      <c r="L497" s="8"/>
      <c r="M497" s="8"/>
      <c r="N497" s="8"/>
      <c r="O497" s="9"/>
      <c r="P497" s="3"/>
      <c r="Q497" s="8"/>
    </row>
    <row r="498" spans="2:17" x14ac:dyDescent="0.3">
      <c r="B498" s="97">
        <v>497</v>
      </c>
      <c r="C498" s="8"/>
      <c r="D498" s="1" t="s">
        <v>556</v>
      </c>
      <c r="E498" s="2">
        <v>29817</v>
      </c>
      <c r="F498" s="1">
        <v>1344116</v>
      </c>
      <c r="G498" s="1">
        <f t="shared" ca="1" si="20"/>
        <v>45</v>
      </c>
      <c r="H498" s="1"/>
      <c r="I498" s="1"/>
      <c r="J498" s="8"/>
      <c r="K498" s="8"/>
      <c r="L498" s="8"/>
      <c r="M498" s="8"/>
      <c r="N498" s="8"/>
      <c r="O498" s="9"/>
      <c r="P498" s="3"/>
      <c r="Q498" s="8"/>
    </row>
    <row r="499" spans="2:17" x14ac:dyDescent="0.3">
      <c r="B499" s="97">
        <v>498</v>
      </c>
      <c r="C499" s="8"/>
      <c r="D499" s="1" t="s">
        <v>557</v>
      </c>
      <c r="E499" s="2">
        <v>26940</v>
      </c>
      <c r="F499" s="1">
        <v>2457412</v>
      </c>
      <c r="G499" s="1">
        <f t="shared" ca="1" si="20"/>
        <v>53</v>
      </c>
      <c r="H499" s="1"/>
      <c r="I499" s="1"/>
      <c r="J499" s="8"/>
      <c r="K499" s="8"/>
      <c r="L499" s="8"/>
      <c r="M499" s="8"/>
      <c r="N499" s="8"/>
      <c r="O499" s="9"/>
      <c r="P499" s="3"/>
      <c r="Q499" s="8"/>
    </row>
    <row r="500" spans="2:17" x14ac:dyDescent="0.3">
      <c r="B500" s="97">
        <v>499</v>
      </c>
      <c r="C500" s="8"/>
      <c r="D500" s="1" t="s">
        <v>558</v>
      </c>
      <c r="E500" s="2">
        <v>31542</v>
      </c>
      <c r="F500" s="1">
        <v>1247316</v>
      </c>
      <c r="G500" s="1">
        <f t="shared" ca="1" si="20"/>
        <v>40</v>
      </c>
      <c r="H500" s="1"/>
      <c r="I500" s="1"/>
      <c r="J500" s="8"/>
      <c r="K500" s="8"/>
      <c r="L500" s="8"/>
      <c r="M500" s="8"/>
      <c r="N500" s="8"/>
      <c r="O500" s="9"/>
      <c r="P500" s="3"/>
      <c r="Q500" s="8"/>
    </row>
    <row r="501" spans="2:17" x14ac:dyDescent="0.3">
      <c r="B501" s="97">
        <v>500</v>
      </c>
      <c r="C501" s="8"/>
      <c r="D501" s="1" t="s">
        <v>559</v>
      </c>
      <c r="E501" s="2">
        <v>33693</v>
      </c>
      <c r="F501" s="1">
        <v>2906116</v>
      </c>
      <c r="G501" s="1">
        <f t="shared" ca="1" si="20"/>
        <v>34</v>
      </c>
      <c r="H501" s="1"/>
      <c r="I501" s="1"/>
      <c r="J501" s="8"/>
      <c r="K501" s="8"/>
      <c r="L501" s="8"/>
      <c r="M501" s="8"/>
      <c r="N501" s="8"/>
      <c r="O501" s="9"/>
      <c r="P501" s="3"/>
      <c r="Q501" s="8"/>
    </row>
    <row r="502" spans="2:17" x14ac:dyDescent="0.3">
      <c r="B502" s="97">
        <v>501</v>
      </c>
      <c r="C502" s="8"/>
      <c r="D502" s="1" t="s">
        <v>560</v>
      </c>
      <c r="E502" s="2">
        <v>43638</v>
      </c>
      <c r="F502" s="1">
        <v>3475915</v>
      </c>
      <c r="G502" s="1">
        <f t="shared" ca="1" si="20"/>
        <v>7</v>
      </c>
      <c r="H502" s="1"/>
      <c r="I502" s="1"/>
      <c r="J502" s="8"/>
      <c r="K502" s="8"/>
      <c r="L502" s="8"/>
      <c r="M502" s="8"/>
      <c r="N502" s="8"/>
      <c r="O502" s="9"/>
      <c r="P502" s="3"/>
      <c r="Q502" s="8"/>
    </row>
    <row r="503" spans="2:17" x14ac:dyDescent="0.3">
      <c r="B503" s="97">
        <v>502</v>
      </c>
      <c r="C503" s="8"/>
      <c r="D503" s="1" t="s">
        <v>561</v>
      </c>
      <c r="E503" s="2">
        <v>26681</v>
      </c>
      <c r="F503" s="1">
        <v>1932232</v>
      </c>
      <c r="G503" s="1">
        <f t="shared" ca="1" si="20"/>
        <v>53</v>
      </c>
      <c r="H503" s="1"/>
      <c r="I503" s="1"/>
      <c r="J503" s="8"/>
      <c r="K503" s="8"/>
      <c r="L503" s="8"/>
      <c r="M503" s="8"/>
      <c r="N503" s="8"/>
      <c r="O503" s="9"/>
      <c r="P503" s="3"/>
      <c r="Q503" s="8"/>
    </row>
    <row r="504" spans="2:17" x14ac:dyDescent="0.3">
      <c r="B504" s="97">
        <v>503</v>
      </c>
      <c r="C504" s="8"/>
      <c r="D504" s="1" t="s">
        <v>562</v>
      </c>
      <c r="E504" s="2">
        <v>26935</v>
      </c>
      <c r="F504" s="1">
        <v>2850521</v>
      </c>
      <c r="G504" s="1">
        <f t="shared" ca="1" si="20"/>
        <v>53</v>
      </c>
      <c r="H504" s="1"/>
      <c r="I504" s="1"/>
      <c r="J504" s="8"/>
      <c r="K504" s="8"/>
      <c r="L504" s="8"/>
      <c r="M504" s="8"/>
      <c r="N504" s="8"/>
      <c r="O504" s="9"/>
      <c r="P504" s="3"/>
      <c r="Q504" s="8"/>
    </row>
    <row r="505" spans="2:17" x14ac:dyDescent="0.3">
      <c r="B505" s="97">
        <v>504</v>
      </c>
      <c r="C505" s="8"/>
      <c r="D505" s="1" t="s">
        <v>459</v>
      </c>
      <c r="E505" s="2">
        <v>38798</v>
      </c>
      <c r="F505" s="1">
        <v>4476011</v>
      </c>
      <c r="G505" s="1">
        <f t="shared" ca="1" si="20"/>
        <v>20</v>
      </c>
      <c r="H505" s="1"/>
      <c r="I505" s="1"/>
      <c r="J505" s="8"/>
      <c r="K505" s="8"/>
      <c r="L505" s="8"/>
      <c r="M505" s="8"/>
      <c r="N505" s="8"/>
      <c r="O505" s="9"/>
      <c r="P505" s="3"/>
      <c r="Q505" s="8"/>
    </row>
    <row r="506" spans="2:17" x14ac:dyDescent="0.3">
      <c r="B506" s="97">
        <v>505</v>
      </c>
      <c r="C506" s="8"/>
      <c r="D506" s="1" t="s">
        <v>563</v>
      </c>
      <c r="E506" s="2">
        <v>32874</v>
      </c>
      <c r="F506" s="1">
        <v>2169310</v>
      </c>
      <c r="G506" s="1">
        <f t="shared" ca="1" si="20"/>
        <v>36</v>
      </c>
      <c r="H506" s="1"/>
      <c r="I506" s="1"/>
      <c r="J506" s="8"/>
      <c r="K506" s="8"/>
      <c r="L506" s="8"/>
      <c r="M506" s="8"/>
      <c r="N506" s="8"/>
      <c r="O506" s="9"/>
      <c r="P506" s="3"/>
      <c r="Q506" s="8"/>
    </row>
    <row r="507" spans="2:17" x14ac:dyDescent="0.3">
      <c r="B507" s="97">
        <v>506</v>
      </c>
      <c r="C507" s="8"/>
      <c r="D507" s="1" t="s">
        <v>564</v>
      </c>
      <c r="E507" s="2">
        <v>29653</v>
      </c>
      <c r="F507" s="1">
        <v>1478511</v>
      </c>
      <c r="G507" s="1">
        <f t="shared" ca="1" si="20"/>
        <v>45</v>
      </c>
      <c r="H507" s="1"/>
      <c r="I507" s="1"/>
      <c r="J507" s="8"/>
      <c r="K507" s="8"/>
      <c r="L507" s="8"/>
      <c r="M507" s="8"/>
      <c r="N507" s="8"/>
      <c r="O507" s="9"/>
      <c r="P507" s="3"/>
      <c r="Q507" s="8"/>
    </row>
    <row r="508" spans="2:17" x14ac:dyDescent="0.3">
      <c r="B508" s="97">
        <v>507</v>
      </c>
      <c r="C508" s="8"/>
      <c r="D508" s="1" t="s">
        <v>565</v>
      </c>
      <c r="E508" s="2">
        <v>42588</v>
      </c>
      <c r="F508" s="1">
        <v>3051212</v>
      </c>
      <c r="G508" s="1">
        <f t="shared" ca="1" si="20"/>
        <v>10</v>
      </c>
      <c r="H508" s="1"/>
      <c r="I508" s="1"/>
      <c r="J508" s="8"/>
      <c r="K508" s="8"/>
      <c r="L508" s="8"/>
      <c r="M508" s="8"/>
      <c r="N508" s="8"/>
      <c r="O508" s="9"/>
      <c r="P508" s="3"/>
      <c r="Q508" s="8"/>
    </row>
    <row r="509" spans="2:17" x14ac:dyDescent="0.3">
      <c r="B509" s="97">
        <v>508</v>
      </c>
      <c r="C509" s="8"/>
      <c r="D509" s="1" t="s">
        <v>566</v>
      </c>
      <c r="E509" s="2">
        <v>23887</v>
      </c>
      <c r="F509" s="1">
        <v>2241517</v>
      </c>
      <c r="G509" s="1">
        <f t="shared" ca="1" si="20"/>
        <v>61</v>
      </c>
      <c r="H509" s="1"/>
      <c r="I509" s="1"/>
      <c r="J509" s="8"/>
      <c r="K509" s="8"/>
      <c r="L509" s="8"/>
      <c r="M509" s="8"/>
      <c r="N509" s="8"/>
      <c r="O509" s="9"/>
      <c r="P509" s="3"/>
      <c r="Q509" s="8"/>
    </row>
    <row r="510" spans="2:17" x14ac:dyDescent="0.3">
      <c r="B510" s="97">
        <v>509</v>
      </c>
      <c r="C510" s="8"/>
      <c r="D510" s="1" t="s">
        <v>567</v>
      </c>
      <c r="E510" s="2">
        <v>31977</v>
      </c>
      <c r="F510" s="1">
        <v>2226519</v>
      </c>
      <c r="G510" s="1">
        <f t="shared" ca="1" si="20"/>
        <v>39</v>
      </c>
      <c r="H510" s="1"/>
      <c r="I510" s="1"/>
      <c r="J510" s="8"/>
      <c r="K510" s="8"/>
      <c r="L510" s="8"/>
      <c r="M510" s="8"/>
      <c r="N510" s="8"/>
      <c r="O510" s="9"/>
      <c r="P510" s="3"/>
      <c r="Q510" s="8"/>
    </row>
    <row r="511" spans="2:17" x14ac:dyDescent="0.3">
      <c r="B511" s="97">
        <v>510</v>
      </c>
      <c r="C511" s="8"/>
      <c r="D511" s="1" t="s">
        <v>568</v>
      </c>
      <c r="E511" s="2">
        <v>30072</v>
      </c>
      <c r="F511" s="1">
        <v>1348037</v>
      </c>
      <c r="G511" s="1">
        <f t="shared" ca="1" si="20"/>
        <v>44</v>
      </c>
      <c r="H511" s="1"/>
      <c r="I511" s="1"/>
      <c r="J511" s="8"/>
      <c r="K511" s="8"/>
      <c r="L511" s="8"/>
      <c r="M511" s="8"/>
      <c r="N511" s="8"/>
      <c r="O511" s="9"/>
      <c r="P511" s="3"/>
      <c r="Q511" s="8"/>
    </row>
    <row r="512" spans="2:17" x14ac:dyDescent="0.3">
      <c r="B512" s="97">
        <v>511</v>
      </c>
      <c r="C512" s="8"/>
      <c r="D512" s="1" t="s">
        <v>569</v>
      </c>
      <c r="E512" s="2">
        <v>42466</v>
      </c>
      <c r="F512" s="1">
        <v>4476011</v>
      </c>
      <c r="G512" s="1">
        <f t="shared" ca="1" si="20"/>
        <v>10</v>
      </c>
      <c r="H512" s="1"/>
      <c r="I512" s="1"/>
      <c r="J512" s="8"/>
      <c r="K512" s="8"/>
      <c r="L512" s="8"/>
      <c r="M512" s="8"/>
      <c r="N512" s="8"/>
      <c r="O512" s="9"/>
      <c r="P512" s="3"/>
      <c r="Q512" s="8"/>
    </row>
    <row r="513" spans="2:17" x14ac:dyDescent="0.3">
      <c r="B513" s="97">
        <v>512</v>
      </c>
      <c r="C513" s="8"/>
      <c r="D513" s="1" t="s">
        <v>570</v>
      </c>
      <c r="E513" s="2">
        <v>32566</v>
      </c>
      <c r="F513" s="1">
        <v>2403412</v>
      </c>
      <c r="G513" s="1">
        <f t="shared" ca="1" si="20"/>
        <v>37</v>
      </c>
      <c r="H513" s="1"/>
      <c r="I513" s="1"/>
      <c r="J513" s="8"/>
      <c r="K513" s="8"/>
      <c r="L513" s="8"/>
      <c r="M513" s="8"/>
      <c r="N513" s="8"/>
      <c r="O513" s="9"/>
      <c r="P513" s="3"/>
      <c r="Q513" s="8"/>
    </row>
    <row r="514" spans="2:17" x14ac:dyDescent="0.3">
      <c r="B514" s="97">
        <v>513</v>
      </c>
      <c r="C514" s="8"/>
      <c r="D514" s="1" t="s">
        <v>571</v>
      </c>
      <c r="E514" s="2">
        <v>32280</v>
      </c>
      <c r="F514" s="1">
        <v>1400711</v>
      </c>
      <c r="G514" s="1">
        <f t="shared" ca="1" si="20"/>
        <v>38</v>
      </c>
      <c r="H514" s="1"/>
      <c r="I514" s="1"/>
      <c r="J514" s="8"/>
      <c r="K514" s="8"/>
      <c r="L514" s="8"/>
      <c r="M514" s="8"/>
      <c r="N514" s="8"/>
      <c r="O514" s="9"/>
      <c r="P514" s="3"/>
      <c r="Q514" s="8"/>
    </row>
    <row r="515" spans="2:17" x14ac:dyDescent="0.3">
      <c r="B515" s="97">
        <v>514</v>
      </c>
      <c r="C515" s="8"/>
      <c r="D515" s="1" t="s">
        <v>572</v>
      </c>
      <c r="E515" s="2">
        <v>42495</v>
      </c>
      <c r="F515" s="1">
        <v>3411612</v>
      </c>
      <c r="G515" s="1">
        <f t="shared" ca="1" si="20"/>
        <v>10</v>
      </c>
      <c r="H515" s="1"/>
      <c r="I515" s="1"/>
      <c r="J515" s="8"/>
      <c r="K515" s="8"/>
      <c r="L515" s="8"/>
      <c r="M515" s="8"/>
      <c r="N515" s="8"/>
      <c r="O515" s="9"/>
      <c r="P515" s="3"/>
      <c r="Q515" s="8"/>
    </row>
    <row r="516" spans="2:17" x14ac:dyDescent="0.3">
      <c r="B516" s="97">
        <v>515</v>
      </c>
      <c r="C516" s="8"/>
      <c r="D516" s="1" t="s">
        <v>573</v>
      </c>
      <c r="E516" s="2">
        <v>33656</v>
      </c>
      <c r="F516" s="1">
        <v>2412017</v>
      </c>
      <c r="G516" s="1">
        <f t="shared" ca="1" si="20"/>
        <v>34</v>
      </c>
      <c r="H516" s="1"/>
      <c r="I516" s="1"/>
      <c r="J516" s="8"/>
      <c r="K516" s="8"/>
      <c r="L516" s="8"/>
      <c r="M516" s="8"/>
      <c r="N516" s="8"/>
      <c r="O516" s="9"/>
      <c r="P516" s="3"/>
      <c r="Q516" s="8"/>
    </row>
    <row r="517" spans="2:17" x14ac:dyDescent="0.3">
      <c r="B517" s="97">
        <v>516</v>
      </c>
      <c r="C517" s="8"/>
      <c r="D517" s="1" t="s">
        <v>574</v>
      </c>
      <c r="E517" s="2">
        <v>30106</v>
      </c>
      <c r="F517" s="1">
        <v>2402811</v>
      </c>
      <c r="G517" s="1">
        <f t="shared" ca="1" si="20"/>
        <v>44</v>
      </c>
      <c r="H517" s="1"/>
      <c r="I517" s="1"/>
      <c r="J517" s="8"/>
      <c r="K517" s="8"/>
      <c r="L517" s="8"/>
      <c r="M517" s="8"/>
      <c r="N517" s="8"/>
      <c r="O517" s="9"/>
      <c r="P517" s="3"/>
      <c r="Q517" s="8"/>
    </row>
    <row r="518" spans="2:17" x14ac:dyDescent="0.3">
      <c r="B518" s="97">
        <v>517</v>
      </c>
      <c r="C518" s="8"/>
      <c r="D518" s="1" t="s">
        <v>575</v>
      </c>
      <c r="E518" s="2">
        <v>28984</v>
      </c>
      <c r="F518" s="1">
        <v>1535610</v>
      </c>
      <c r="G518" s="1">
        <f t="shared" ca="1" si="20"/>
        <v>47</v>
      </c>
      <c r="H518" s="1"/>
      <c r="I518" s="1"/>
      <c r="J518" s="8"/>
      <c r="K518" s="8"/>
      <c r="L518" s="8"/>
      <c r="M518" s="8"/>
      <c r="N518" s="8"/>
      <c r="O518" s="9"/>
      <c r="P518" s="3"/>
      <c r="Q518" s="8"/>
    </row>
    <row r="519" spans="2:17" x14ac:dyDescent="0.3">
      <c r="B519" s="97">
        <v>518</v>
      </c>
      <c r="C519" s="8"/>
      <c r="D519" s="1" t="s">
        <v>576</v>
      </c>
      <c r="E519" s="2">
        <v>41851</v>
      </c>
      <c r="F519" s="1">
        <v>4</v>
      </c>
      <c r="G519" s="1">
        <f t="shared" ca="1" si="20"/>
        <v>12</v>
      </c>
      <c r="H519" s="1"/>
      <c r="I519" s="1"/>
      <c r="J519" s="8"/>
      <c r="K519" s="8"/>
      <c r="L519" s="8"/>
      <c r="M519" s="8"/>
      <c r="N519" s="8"/>
      <c r="O519" s="9"/>
      <c r="P519" s="3"/>
      <c r="Q519" s="8"/>
    </row>
    <row r="520" spans="2:17" x14ac:dyDescent="0.3">
      <c r="B520" s="97">
        <v>519</v>
      </c>
      <c r="C520" s="8"/>
      <c r="D520" s="1" t="s">
        <v>577</v>
      </c>
      <c r="E520" s="2">
        <v>42633</v>
      </c>
      <c r="F520" s="1">
        <v>3412612</v>
      </c>
      <c r="G520" s="1">
        <f t="shared" ca="1" si="20"/>
        <v>10</v>
      </c>
      <c r="H520" s="1"/>
      <c r="I520" s="1"/>
      <c r="J520" s="8"/>
      <c r="K520" s="8"/>
      <c r="L520" s="8"/>
      <c r="M520" s="8"/>
      <c r="N520" s="8"/>
      <c r="O520" s="9"/>
      <c r="P520" s="3"/>
      <c r="Q520" s="8"/>
    </row>
    <row r="521" spans="2:17" x14ac:dyDescent="0.3">
      <c r="B521" s="97">
        <v>520</v>
      </c>
      <c r="C521" s="8"/>
      <c r="D521" s="1" t="s">
        <v>578</v>
      </c>
      <c r="E521" s="2">
        <v>27131</v>
      </c>
      <c r="F521" s="1">
        <v>1405813</v>
      </c>
      <c r="G521" s="1">
        <f t="shared" ca="1" si="20"/>
        <v>52</v>
      </c>
      <c r="H521" s="1"/>
      <c r="I521" s="1"/>
      <c r="J521" s="8"/>
      <c r="K521" s="8"/>
      <c r="L521" s="8"/>
      <c r="M521" s="8"/>
      <c r="N521" s="8"/>
      <c r="O521" s="9"/>
      <c r="P521" s="3"/>
      <c r="Q521" s="8"/>
    </row>
    <row r="522" spans="2:17" x14ac:dyDescent="0.3">
      <c r="B522" s="97">
        <v>521</v>
      </c>
      <c r="C522" s="8"/>
      <c r="D522" s="1" t="s">
        <v>555</v>
      </c>
      <c r="E522" s="2">
        <v>29873</v>
      </c>
      <c r="F522" s="1">
        <v>2037613</v>
      </c>
      <c r="G522" s="1">
        <f t="shared" ca="1" si="20"/>
        <v>45</v>
      </c>
      <c r="H522" s="1"/>
      <c r="I522" s="1"/>
      <c r="J522" s="8"/>
      <c r="K522" s="8"/>
      <c r="L522" s="8"/>
      <c r="M522" s="8"/>
      <c r="N522" s="8"/>
      <c r="O522" s="9"/>
      <c r="P522" s="3"/>
      <c r="Q522" s="8"/>
    </row>
    <row r="523" spans="2:17" x14ac:dyDescent="0.3">
      <c r="B523" s="97">
        <v>522</v>
      </c>
      <c r="C523" s="8"/>
      <c r="D523" s="1" t="s">
        <v>579</v>
      </c>
      <c r="E523" s="2">
        <v>42699</v>
      </c>
      <c r="F523" s="1">
        <v>3212610</v>
      </c>
      <c r="G523" s="1">
        <f t="shared" ca="1" si="20"/>
        <v>10</v>
      </c>
      <c r="H523" s="1"/>
      <c r="I523" s="1"/>
      <c r="J523" s="8"/>
      <c r="K523" s="8"/>
      <c r="L523" s="8"/>
      <c r="M523" s="8"/>
      <c r="N523" s="8"/>
      <c r="O523" s="9"/>
      <c r="P523" s="3"/>
      <c r="Q523" s="8"/>
    </row>
    <row r="524" spans="2:17" x14ac:dyDescent="0.3">
      <c r="B524" s="97">
        <v>523</v>
      </c>
      <c r="C524" s="8"/>
      <c r="D524" s="1" t="s">
        <v>580</v>
      </c>
      <c r="E524" s="2">
        <v>20997</v>
      </c>
      <c r="F524" s="1">
        <v>1169310</v>
      </c>
      <c r="G524" s="1">
        <f t="shared" ca="1" si="20"/>
        <v>69</v>
      </c>
      <c r="H524" s="1"/>
      <c r="I524" s="1"/>
      <c r="J524" s="8"/>
      <c r="K524" s="8"/>
      <c r="L524" s="8"/>
      <c r="M524" s="8"/>
      <c r="N524" s="8"/>
      <c r="O524" s="9"/>
      <c r="P524" s="3"/>
      <c r="Q524" s="8"/>
    </row>
    <row r="525" spans="2:17" x14ac:dyDescent="0.3">
      <c r="B525" s="97">
        <v>524</v>
      </c>
      <c r="C525" s="8"/>
      <c r="D525" s="1" t="s">
        <v>581</v>
      </c>
      <c r="E525" s="2">
        <v>33309</v>
      </c>
      <c r="F525" s="1">
        <v>1169313</v>
      </c>
      <c r="G525" s="1">
        <f t="shared" ref="G525:G588" ca="1" si="21">YEAR(TODAY())-YEAR(E525)</f>
        <v>35</v>
      </c>
      <c r="H525" s="1"/>
      <c r="I525" s="1"/>
      <c r="J525" s="8"/>
      <c r="K525" s="8"/>
      <c r="L525" s="8"/>
      <c r="M525" s="8"/>
      <c r="N525" s="8"/>
      <c r="O525" s="9"/>
      <c r="P525" s="3"/>
      <c r="Q525" s="8"/>
    </row>
    <row r="526" spans="2:17" x14ac:dyDescent="0.3">
      <c r="B526" s="97">
        <v>525</v>
      </c>
      <c r="C526" s="8"/>
      <c r="D526" s="1" t="s">
        <v>582</v>
      </c>
      <c r="E526" s="2">
        <v>20819</v>
      </c>
      <c r="F526" s="1">
        <v>2655816</v>
      </c>
      <c r="G526" s="1">
        <f t="shared" ca="1" si="21"/>
        <v>70</v>
      </c>
      <c r="H526" s="1"/>
      <c r="I526" s="1"/>
      <c r="J526" s="8"/>
      <c r="K526" s="8"/>
      <c r="L526" s="8"/>
      <c r="M526" s="8"/>
      <c r="N526" s="8"/>
      <c r="O526" s="9"/>
      <c r="P526" s="3"/>
      <c r="Q526" s="8"/>
    </row>
    <row r="527" spans="2:17" x14ac:dyDescent="0.3">
      <c r="B527" s="97">
        <v>526</v>
      </c>
      <c r="C527" s="8"/>
      <c r="D527" s="1" t="s">
        <v>583</v>
      </c>
      <c r="E527" s="2">
        <v>25325</v>
      </c>
      <c r="F527" s="1">
        <v>1031330</v>
      </c>
      <c r="G527" s="1">
        <f t="shared" ca="1" si="21"/>
        <v>57</v>
      </c>
      <c r="H527" s="1"/>
      <c r="I527" s="1"/>
      <c r="J527" s="8"/>
      <c r="K527" s="8"/>
      <c r="L527" s="8"/>
      <c r="M527" s="8"/>
      <c r="N527" s="8"/>
      <c r="O527" s="9"/>
      <c r="P527" s="3"/>
      <c r="Q527" s="8"/>
    </row>
    <row r="528" spans="2:17" x14ac:dyDescent="0.3">
      <c r="B528" s="97">
        <v>527</v>
      </c>
      <c r="C528" s="8"/>
      <c r="D528" s="1" t="s">
        <v>584</v>
      </c>
      <c r="E528" s="2">
        <v>26410</v>
      </c>
      <c r="F528" s="1">
        <v>2031324</v>
      </c>
      <c r="G528" s="1">
        <f t="shared" ca="1" si="21"/>
        <v>54</v>
      </c>
      <c r="H528" s="1"/>
      <c r="I528" s="1"/>
      <c r="J528" s="8"/>
      <c r="K528" s="8"/>
      <c r="L528" s="8"/>
      <c r="M528" s="8"/>
      <c r="N528" s="8"/>
      <c r="O528" s="9"/>
      <c r="P528" s="3"/>
      <c r="Q528" s="8"/>
    </row>
    <row r="529" spans="2:17" x14ac:dyDescent="0.3">
      <c r="B529" s="97">
        <v>528</v>
      </c>
      <c r="C529" s="8"/>
      <c r="D529" s="1" t="s">
        <v>585</v>
      </c>
      <c r="E529" s="1">
        <v>2010</v>
      </c>
      <c r="F529" s="1"/>
      <c r="G529" s="1">
        <f t="shared" ca="1" si="21"/>
        <v>121</v>
      </c>
      <c r="H529" s="1"/>
      <c r="I529" s="1"/>
      <c r="J529" s="8"/>
      <c r="K529" s="8"/>
      <c r="L529" s="8"/>
      <c r="M529" s="8"/>
      <c r="N529" s="8"/>
      <c r="O529" s="9"/>
      <c r="P529" s="3"/>
      <c r="Q529" s="8"/>
    </row>
    <row r="530" spans="2:17" x14ac:dyDescent="0.3">
      <c r="B530" s="97">
        <v>529</v>
      </c>
      <c r="C530" s="8"/>
      <c r="D530" s="1" t="s">
        <v>586</v>
      </c>
      <c r="E530" s="2">
        <v>32492</v>
      </c>
      <c r="F530" s="1">
        <v>2634436</v>
      </c>
      <c r="G530" s="1">
        <f t="shared" ca="1" si="21"/>
        <v>38</v>
      </c>
      <c r="H530" s="1"/>
      <c r="I530" s="1"/>
      <c r="J530" s="8"/>
      <c r="K530" s="8"/>
      <c r="L530" s="8"/>
      <c r="M530" s="8"/>
      <c r="N530" s="8"/>
      <c r="O530" s="9"/>
      <c r="P530" s="3"/>
      <c r="Q530" s="8"/>
    </row>
    <row r="531" spans="2:17" x14ac:dyDescent="0.3">
      <c r="B531" s="97">
        <v>530</v>
      </c>
      <c r="C531" s="8"/>
      <c r="D531" s="1" t="s">
        <v>587</v>
      </c>
      <c r="E531" s="2">
        <v>23257</v>
      </c>
      <c r="F531" s="1">
        <v>1056612</v>
      </c>
      <c r="G531" s="1">
        <f t="shared" ca="1" si="21"/>
        <v>63</v>
      </c>
      <c r="H531" s="1"/>
      <c r="I531" s="1"/>
      <c r="J531" s="8"/>
      <c r="K531" s="8"/>
      <c r="L531" s="8"/>
      <c r="M531" s="8"/>
      <c r="N531" s="8"/>
      <c r="O531" s="9"/>
      <c r="P531" s="3"/>
      <c r="Q531" s="8"/>
    </row>
    <row r="532" spans="2:17" x14ac:dyDescent="0.3">
      <c r="B532" s="97">
        <v>531</v>
      </c>
      <c r="C532" s="8"/>
      <c r="D532" s="1" t="s">
        <v>588</v>
      </c>
      <c r="E532" s="2">
        <v>23977</v>
      </c>
      <c r="F532" s="1">
        <v>2380214</v>
      </c>
      <c r="G532" s="1">
        <f t="shared" ca="1" si="21"/>
        <v>61</v>
      </c>
      <c r="H532" s="1"/>
      <c r="I532" s="1"/>
      <c r="J532" s="8"/>
      <c r="K532" s="8"/>
      <c r="L532" s="8"/>
      <c r="M532" s="8"/>
      <c r="N532" s="8"/>
      <c r="O532" s="9"/>
      <c r="P532" s="3"/>
      <c r="Q532" s="8"/>
    </row>
    <row r="533" spans="2:17" x14ac:dyDescent="0.3">
      <c r="B533" s="97">
        <v>532</v>
      </c>
      <c r="C533" s="8"/>
      <c r="D533" s="1" t="s">
        <v>589</v>
      </c>
      <c r="E533" s="2">
        <v>38112</v>
      </c>
      <c r="F533" s="1">
        <v>3419511</v>
      </c>
      <c r="G533" s="1">
        <f t="shared" ca="1" si="21"/>
        <v>22</v>
      </c>
      <c r="H533" s="1"/>
      <c r="I533" s="1"/>
      <c r="J533" s="8"/>
      <c r="K533" s="8"/>
      <c r="L533" s="8"/>
      <c r="M533" s="8"/>
      <c r="N533" s="8"/>
      <c r="O533" s="9"/>
      <c r="P533" s="3"/>
      <c r="Q533" s="8"/>
    </row>
    <row r="534" spans="2:17" x14ac:dyDescent="0.3">
      <c r="B534" s="97">
        <v>533</v>
      </c>
      <c r="C534" s="8"/>
      <c r="D534" s="1" t="s">
        <v>590</v>
      </c>
      <c r="E534" s="2">
        <v>31928</v>
      </c>
      <c r="F534" s="1">
        <v>2702212</v>
      </c>
      <c r="G534" s="1">
        <f t="shared" ca="1" si="21"/>
        <v>39</v>
      </c>
      <c r="H534" s="1"/>
      <c r="I534" s="1"/>
      <c r="J534" s="8"/>
      <c r="K534" s="8"/>
      <c r="L534" s="8"/>
      <c r="M534" s="8"/>
      <c r="N534" s="8"/>
      <c r="O534" s="9"/>
      <c r="P534" s="3"/>
      <c r="Q534" s="8"/>
    </row>
    <row r="535" spans="2:17" x14ac:dyDescent="0.3">
      <c r="B535" s="97">
        <v>534</v>
      </c>
      <c r="C535" s="8"/>
      <c r="D535" s="1" t="s">
        <v>591</v>
      </c>
      <c r="E535" s="2">
        <v>31067</v>
      </c>
      <c r="F535" s="1">
        <v>1476424</v>
      </c>
      <c r="G535" s="1">
        <f t="shared" ca="1" si="21"/>
        <v>41</v>
      </c>
      <c r="H535" s="1"/>
      <c r="I535" s="1"/>
      <c r="J535" s="8"/>
      <c r="K535" s="8"/>
      <c r="L535" s="8"/>
      <c r="M535" s="8"/>
      <c r="N535" s="8"/>
      <c r="O535" s="9"/>
      <c r="P535" s="3"/>
      <c r="Q535" s="8"/>
    </row>
    <row r="536" spans="2:17" x14ac:dyDescent="0.3">
      <c r="B536" s="97">
        <v>535</v>
      </c>
      <c r="C536" s="8"/>
      <c r="D536" s="1" t="s">
        <v>592</v>
      </c>
      <c r="E536" s="2">
        <v>42137</v>
      </c>
      <c r="F536" s="1">
        <v>4478818</v>
      </c>
      <c r="G536" s="1">
        <f t="shared" ca="1" si="21"/>
        <v>11</v>
      </c>
      <c r="H536" s="1"/>
      <c r="I536" s="1"/>
      <c r="J536" s="8"/>
      <c r="K536" s="8"/>
      <c r="L536" s="8"/>
      <c r="M536" s="8"/>
      <c r="N536" s="8"/>
      <c r="O536" s="9"/>
      <c r="P536" s="3"/>
      <c r="Q536" s="8"/>
    </row>
    <row r="537" spans="2:17" x14ac:dyDescent="0.3">
      <c r="B537" s="97">
        <v>536</v>
      </c>
      <c r="C537" s="8"/>
      <c r="D537" s="1" t="s">
        <v>593</v>
      </c>
      <c r="E537" s="2">
        <v>42856</v>
      </c>
      <c r="F537" s="1">
        <v>4478811</v>
      </c>
      <c r="G537" s="1">
        <f t="shared" ca="1" si="21"/>
        <v>9</v>
      </c>
      <c r="H537" s="1"/>
      <c r="I537" s="1"/>
      <c r="J537" s="8"/>
      <c r="K537" s="8"/>
      <c r="L537" s="8"/>
      <c r="M537" s="8"/>
      <c r="N537" s="8"/>
      <c r="O537" s="9"/>
      <c r="P537" s="3"/>
      <c r="Q537" s="8"/>
    </row>
    <row r="538" spans="2:17" x14ac:dyDescent="0.3">
      <c r="B538" s="97">
        <v>537</v>
      </c>
      <c r="C538" s="8"/>
      <c r="D538" s="1" t="s">
        <v>594</v>
      </c>
      <c r="E538" s="2">
        <v>43652</v>
      </c>
      <c r="F538" s="1">
        <v>3478811</v>
      </c>
      <c r="G538" s="1">
        <f t="shared" ca="1" si="21"/>
        <v>7</v>
      </c>
      <c r="H538" s="1"/>
      <c r="I538" s="1"/>
      <c r="J538" s="8"/>
      <c r="K538" s="8"/>
      <c r="L538" s="8"/>
      <c r="M538" s="8"/>
      <c r="N538" s="8"/>
      <c r="O538" s="9"/>
      <c r="P538" s="3"/>
      <c r="Q538" s="8"/>
    </row>
    <row r="539" spans="2:17" x14ac:dyDescent="0.3">
      <c r="B539" s="97">
        <v>538</v>
      </c>
      <c r="C539" s="8"/>
      <c r="D539" s="1" t="s">
        <v>595</v>
      </c>
      <c r="E539" s="2">
        <v>22157</v>
      </c>
      <c r="F539" s="1">
        <v>2106118</v>
      </c>
      <c r="G539" s="1">
        <f t="shared" ca="1" si="21"/>
        <v>66</v>
      </c>
      <c r="H539" s="1"/>
      <c r="I539" s="1"/>
      <c r="J539" s="8"/>
      <c r="K539" s="8"/>
      <c r="L539" s="8"/>
      <c r="M539" s="8"/>
      <c r="N539" s="8"/>
      <c r="O539" s="9"/>
      <c r="P539" s="3"/>
      <c r="Q539" s="8"/>
    </row>
    <row r="540" spans="2:17" x14ac:dyDescent="0.3">
      <c r="B540" s="97">
        <v>539</v>
      </c>
      <c r="C540" s="8"/>
      <c r="D540" s="1" t="s">
        <v>596</v>
      </c>
      <c r="E540" s="2">
        <v>31557</v>
      </c>
      <c r="F540" s="1">
        <v>2169214</v>
      </c>
      <c r="G540" s="1">
        <f t="shared" ca="1" si="21"/>
        <v>40</v>
      </c>
      <c r="H540" s="1"/>
      <c r="I540" s="1"/>
      <c r="J540" s="8"/>
      <c r="K540" s="8"/>
      <c r="L540" s="8"/>
      <c r="M540" s="8"/>
      <c r="N540" s="8"/>
      <c r="O540" s="9"/>
      <c r="P540" s="3"/>
      <c r="Q540" s="8"/>
    </row>
    <row r="541" spans="2:17" x14ac:dyDescent="0.3">
      <c r="B541" s="97">
        <v>540</v>
      </c>
      <c r="C541" s="8"/>
      <c r="D541" s="1" t="s">
        <v>597</v>
      </c>
      <c r="E541" s="2">
        <v>31178</v>
      </c>
      <c r="F541" s="1">
        <v>1120014</v>
      </c>
      <c r="G541" s="1">
        <f t="shared" ca="1" si="21"/>
        <v>41</v>
      </c>
      <c r="H541" s="1"/>
      <c r="I541" s="1"/>
      <c r="J541" s="8"/>
      <c r="K541" s="8"/>
      <c r="L541" s="8"/>
      <c r="M541" s="8"/>
      <c r="N541" s="8"/>
      <c r="O541" s="9"/>
      <c r="P541" s="3"/>
      <c r="Q541" s="8"/>
    </row>
    <row r="542" spans="2:17" x14ac:dyDescent="0.3">
      <c r="B542" s="97">
        <v>541</v>
      </c>
      <c r="C542" s="8"/>
      <c r="D542" s="1" t="s">
        <v>598</v>
      </c>
      <c r="E542" s="2">
        <v>42886</v>
      </c>
      <c r="F542" s="1">
        <v>3148213</v>
      </c>
      <c r="G542" s="1">
        <f t="shared" ca="1" si="21"/>
        <v>9</v>
      </c>
      <c r="H542" s="1"/>
      <c r="I542" s="1"/>
      <c r="J542" s="8"/>
      <c r="K542" s="8"/>
      <c r="L542" s="8"/>
      <c r="M542" s="8"/>
      <c r="N542" s="8"/>
      <c r="O542" s="9"/>
      <c r="P542" s="3"/>
      <c r="Q542" s="8"/>
    </row>
    <row r="543" spans="2:17" x14ac:dyDescent="0.3">
      <c r="B543" s="97">
        <v>542</v>
      </c>
      <c r="C543" s="8"/>
      <c r="D543" s="1" t="s">
        <v>599</v>
      </c>
      <c r="E543" s="2">
        <v>43474</v>
      </c>
      <c r="F543" s="1">
        <v>4152016</v>
      </c>
      <c r="G543" s="1">
        <f t="shared" ca="1" si="21"/>
        <v>7</v>
      </c>
      <c r="H543" s="1"/>
      <c r="I543" s="1"/>
      <c r="J543" s="8"/>
      <c r="K543" s="8"/>
      <c r="L543" s="8"/>
      <c r="M543" s="8"/>
      <c r="N543" s="8"/>
      <c r="O543" s="9"/>
      <c r="P543" s="3"/>
      <c r="Q543" s="8"/>
    </row>
    <row r="544" spans="2:17" x14ac:dyDescent="0.3">
      <c r="B544" s="97">
        <v>543</v>
      </c>
      <c r="C544" s="8"/>
      <c r="D544" s="1" t="s">
        <v>600</v>
      </c>
      <c r="E544" s="2">
        <v>44132</v>
      </c>
      <c r="F544" s="1">
        <v>3581160</v>
      </c>
      <c r="G544" s="1">
        <f t="shared" ca="1" si="21"/>
        <v>6</v>
      </c>
      <c r="H544" s="1"/>
      <c r="I544" s="1"/>
      <c r="J544" s="8"/>
      <c r="K544" s="8"/>
      <c r="L544" s="8"/>
      <c r="M544" s="8"/>
      <c r="N544" s="8"/>
      <c r="O544" s="9"/>
      <c r="P544" s="3"/>
      <c r="Q544" s="8"/>
    </row>
    <row r="545" spans="2:17" x14ac:dyDescent="0.3">
      <c r="B545" s="97">
        <v>544</v>
      </c>
      <c r="C545" s="8"/>
      <c r="D545" s="1" t="s">
        <v>601</v>
      </c>
      <c r="E545" s="2">
        <v>29408</v>
      </c>
      <c r="F545" s="1">
        <v>1120722</v>
      </c>
      <c r="G545" s="1">
        <f t="shared" ca="1" si="21"/>
        <v>46</v>
      </c>
      <c r="H545" s="1"/>
      <c r="I545" s="1"/>
      <c r="J545" s="8"/>
      <c r="K545" s="8"/>
      <c r="L545" s="8"/>
      <c r="M545" s="8"/>
      <c r="N545" s="8"/>
      <c r="O545" s="9"/>
      <c r="P545" s="3"/>
      <c r="Q545" s="8"/>
    </row>
    <row r="546" spans="2:17" x14ac:dyDescent="0.3">
      <c r="B546" s="97">
        <v>545</v>
      </c>
      <c r="C546" s="8"/>
      <c r="D546" s="1" t="s">
        <v>602</v>
      </c>
      <c r="E546" s="2">
        <v>33009</v>
      </c>
      <c r="F546" s="1">
        <v>2328115</v>
      </c>
      <c r="G546" s="1">
        <f t="shared" ca="1" si="21"/>
        <v>36</v>
      </c>
      <c r="H546" s="1"/>
      <c r="I546" s="1"/>
      <c r="J546" s="8"/>
      <c r="K546" s="8"/>
      <c r="L546" s="8"/>
      <c r="M546" s="8"/>
      <c r="N546" s="8"/>
      <c r="O546" s="9"/>
      <c r="P546" s="3"/>
      <c r="Q546" s="8"/>
    </row>
    <row r="547" spans="2:17" x14ac:dyDescent="0.3">
      <c r="B547" s="97">
        <v>546</v>
      </c>
      <c r="C547" s="8"/>
      <c r="D547" s="1" t="s">
        <v>603</v>
      </c>
      <c r="E547" s="2">
        <v>25063</v>
      </c>
      <c r="F547" s="1">
        <v>1476814</v>
      </c>
      <c r="G547" s="1">
        <f t="shared" ca="1" si="21"/>
        <v>58</v>
      </c>
      <c r="H547" s="1"/>
      <c r="I547" s="1"/>
      <c r="J547" s="8"/>
      <c r="K547" s="8"/>
      <c r="L547" s="8"/>
      <c r="M547" s="8"/>
      <c r="N547" s="8"/>
      <c r="O547" s="9"/>
      <c r="P547" s="3"/>
      <c r="Q547" s="8"/>
    </row>
    <row r="548" spans="2:17" x14ac:dyDescent="0.3">
      <c r="B548" s="97">
        <v>547</v>
      </c>
      <c r="C548" s="8"/>
      <c r="D548" s="1" t="s">
        <v>604</v>
      </c>
      <c r="E548" s="2">
        <v>25419</v>
      </c>
      <c r="F548" s="1">
        <v>2167518</v>
      </c>
      <c r="G548" s="1">
        <f t="shared" ca="1" si="21"/>
        <v>57</v>
      </c>
      <c r="H548" s="1"/>
      <c r="I548" s="1"/>
      <c r="J548" s="8"/>
      <c r="K548" s="8"/>
      <c r="L548" s="8"/>
      <c r="M548" s="8"/>
      <c r="N548" s="8"/>
      <c r="O548" s="9"/>
      <c r="P548" s="3"/>
      <c r="Q548" s="8"/>
    </row>
    <row r="549" spans="2:17" x14ac:dyDescent="0.3">
      <c r="B549" s="97">
        <v>548</v>
      </c>
      <c r="C549" s="8"/>
      <c r="D549" s="1" t="s">
        <v>605</v>
      </c>
      <c r="E549" s="2">
        <v>35265</v>
      </c>
      <c r="F549" s="1">
        <v>1476811</v>
      </c>
      <c r="G549" s="1">
        <f t="shared" ca="1" si="21"/>
        <v>30</v>
      </c>
      <c r="H549" s="1"/>
      <c r="I549" s="1"/>
      <c r="J549" s="8"/>
      <c r="K549" s="8"/>
      <c r="L549" s="8"/>
      <c r="M549" s="8"/>
      <c r="N549" s="8"/>
      <c r="O549" s="9"/>
      <c r="P549" s="3"/>
      <c r="Q549" s="8"/>
    </row>
    <row r="550" spans="2:17" x14ac:dyDescent="0.3">
      <c r="B550" s="97">
        <v>549</v>
      </c>
      <c r="C550" s="8"/>
      <c r="D550" s="1" t="s">
        <v>606</v>
      </c>
      <c r="E550" s="2">
        <v>35884</v>
      </c>
      <c r="F550" s="1">
        <v>2419313</v>
      </c>
      <c r="G550" s="1">
        <f t="shared" ca="1" si="21"/>
        <v>28</v>
      </c>
      <c r="H550" s="1"/>
      <c r="I550" s="1"/>
      <c r="J550" s="8"/>
      <c r="K550" s="8"/>
      <c r="L550" s="8"/>
      <c r="M550" s="8"/>
      <c r="N550" s="8"/>
      <c r="O550" s="9"/>
      <c r="P550" s="3"/>
      <c r="Q550" s="8"/>
    </row>
    <row r="551" spans="2:17" x14ac:dyDescent="0.3">
      <c r="B551" s="97">
        <v>550</v>
      </c>
      <c r="C551" s="8"/>
      <c r="D551" s="1" t="s">
        <v>607</v>
      </c>
      <c r="E551" s="2">
        <v>25469</v>
      </c>
      <c r="F551" s="1">
        <v>1</v>
      </c>
      <c r="G551" s="1">
        <f t="shared" ca="1" si="21"/>
        <v>57</v>
      </c>
      <c r="H551" s="1"/>
      <c r="I551" s="1"/>
      <c r="J551" s="8"/>
      <c r="K551" s="8"/>
      <c r="L551" s="8"/>
      <c r="M551" s="8"/>
      <c r="N551" s="8"/>
      <c r="O551" s="9"/>
      <c r="P551" s="3"/>
      <c r="Q551" s="8"/>
    </row>
    <row r="552" spans="2:17" x14ac:dyDescent="0.3">
      <c r="B552" s="97">
        <v>551</v>
      </c>
      <c r="C552" s="8"/>
      <c r="D552" s="1" t="s">
        <v>608</v>
      </c>
      <c r="E552" s="2">
        <v>34175</v>
      </c>
      <c r="F552" s="1">
        <v>2251724</v>
      </c>
      <c r="G552" s="1">
        <f t="shared" ca="1" si="21"/>
        <v>33</v>
      </c>
      <c r="H552" s="1"/>
      <c r="I552" s="1"/>
      <c r="J552" s="8"/>
      <c r="K552" s="8"/>
      <c r="L552" s="8"/>
      <c r="M552" s="8"/>
      <c r="N552" s="8"/>
      <c r="O552" s="9"/>
      <c r="P552" s="3"/>
      <c r="Q552" s="8"/>
    </row>
    <row r="553" spans="2:17" x14ac:dyDescent="0.3">
      <c r="B553" s="97">
        <v>552</v>
      </c>
      <c r="C553" s="8"/>
      <c r="D553" s="1" t="s">
        <v>609</v>
      </c>
      <c r="E553" s="2">
        <v>22327</v>
      </c>
      <c r="F553" s="1">
        <v>1011815</v>
      </c>
      <c r="G553" s="1">
        <f t="shared" ca="1" si="21"/>
        <v>65</v>
      </c>
      <c r="H553" s="1"/>
      <c r="I553" s="1"/>
      <c r="J553" s="8"/>
      <c r="K553" s="8"/>
      <c r="L553" s="8"/>
      <c r="M553" s="8"/>
      <c r="N553" s="8"/>
      <c r="O553" s="9"/>
      <c r="P553" s="3"/>
      <c r="Q553" s="8"/>
    </row>
    <row r="554" spans="2:17" x14ac:dyDescent="0.3">
      <c r="B554" s="97">
        <v>553</v>
      </c>
      <c r="C554" s="8"/>
      <c r="D554" s="1" t="s">
        <v>610</v>
      </c>
      <c r="E554" s="2">
        <v>22239</v>
      </c>
      <c r="F554" s="1">
        <v>2812342</v>
      </c>
      <c r="G554" s="1">
        <f t="shared" ca="1" si="21"/>
        <v>66</v>
      </c>
      <c r="H554" s="1"/>
      <c r="I554" s="1"/>
      <c r="J554" s="8"/>
      <c r="K554" s="8"/>
      <c r="L554" s="8"/>
      <c r="M554" s="8"/>
      <c r="N554" s="8"/>
      <c r="O554" s="9"/>
      <c r="P554" s="3"/>
      <c r="Q554" s="8"/>
    </row>
    <row r="555" spans="2:17" x14ac:dyDescent="0.3">
      <c r="B555" s="97">
        <v>554</v>
      </c>
      <c r="C555" s="8"/>
      <c r="D555" s="1" t="s">
        <v>611</v>
      </c>
      <c r="E555" s="2">
        <v>17411</v>
      </c>
      <c r="F555" s="1">
        <v>1822832</v>
      </c>
      <c r="G555" s="1">
        <f t="shared" ca="1" si="21"/>
        <v>79</v>
      </c>
      <c r="H555" s="1"/>
      <c r="I555" s="1"/>
      <c r="J555" s="8"/>
      <c r="K555" s="8"/>
      <c r="L555" s="8"/>
      <c r="M555" s="8"/>
      <c r="N555" s="8"/>
      <c r="O555" s="9"/>
      <c r="P555" s="3"/>
      <c r="Q555" s="8"/>
    </row>
    <row r="556" spans="2:17" x14ac:dyDescent="0.3">
      <c r="B556" s="97">
        <v>555</v>
      </c>
      <c r="C556" s="8"/>
      <c r="D556" s="1" t="s">
        <v>612</v>
      </c>
      <c r="E556" s="2">
        <v>31775</v>
      </c>
      <c r="F556" s="1">
        <v>1064928</v>
      </c>
      <c r="G556" s="1">
        <f t="shared" ca="1" si="21"/>
        <v>40</v>
      </c>
      <c r="H556" s="1"/>
      <c r="I556" s="1"/>
      <c r="J556" s="8"/>
      <c r="K556" s="8"/>
      <c r="L556" s="8"/>
      <c r="M556" s="8"/>
      <c r="N556" s="8"/>
      <c r="O556" s="9"/>
      <c r="P556" s="3"/>
      <c r="Q556" s="8"/>
    </row>
    <row r="557" spans="2:17" x14ac:dyDescent="0.3">
      <c r="B557" s="97">
        <v>556</v>
      </c>
      <c r="C557" s="8"/>
      <c r="D557" s="1" t="s">
        <v>613</v>
      </c>
      <c r="E557" s="2">
        <v>20840</v>
      </c>
      <c r="F557" s="1">
        <v>1162512</v>
      </c>
      <c r="G557" s="1">
        <f t="shared" ca="1" si="21"/>
        <v>69</v>
      </c>
      <c r="H557" s="1"/>
      <c r="I557" s="1"/>
      <c r="J557" s="8"/>
      <c r="K557" s="8"/>
      <c r="L557" s="8"/>
      <c r="M557" s="8"/>
      <c r="N557" s="8"/>
      <c r="O557" s="9"/>
      <c r="P557" s="3"/>
      <c r="Q557" s="8"/>
    </row>
    <row r="558" spans="2:17" x14ac:dyDescent="0.3">
      <c r="B558" s="97">
        <v>557</v>
      </c>
      <c r="C558" s="8"/>
      <c r="D558" s="1" t="s">
        <v>614</v>
      </c>
      <c r="E558" s="2">
        <v>26260</v>
      </c>
      <c r="F558" s="1">
        <v>2453226</v>
      </c>
      <c r="G558" s="1">
        <f t="shared" ca="1" si="21"/>
        <v>55</v>
      </c>
      <c r="H558" s="1"/>
      <c r="I558" s="1"/>
      <c r="J558" s="8"/>
      <c r="K558" s="8"/>
      <c r="L558" s="8"/>
      <c r="M558" s="8"/>
      <c r="N558" s="8"/>
      <c r="O558" s="9"/>
      <c r="P558" s="3"/>
      <c r="Q558" s="8"/>
    </row>
    <row r="559" spans="2:17" x14ac:dyDescent="0.3">
      <c r="B559" s="97">
        <v>558</v>
      </c>
      <c r="C559" s="8"/>
      <c r="D559" s="1" t="s">
        <v>615</v>
      </c>
      <c r="E559" s="2">
        <v>25619</v>
      </c>
      <c r="F559" s="1">
        <v>1451220</v>
      </c>
      <c r="G559" s="1">
        <f t="shared" ca="1" si="21"/>
        <v>56</v>
      </c>
      <c r="H559" s="1"/>
      <c r="I559" s="1"/>
      <c r="J559" s="8"/>
      <c r="K559" s="8"/>
      <c r="L559" s="8"/>
      <c r="M559" s="8"/>
      <c r="N559" s="8"/>
      <c r="O559" s="9"/>
      <c r="P559" s="3"/>
      <c r="Q559" s="8"/>
    </row>
    <row r="560" spans="2:17" x14ac:dyDescent="0.3">
      <c r="B560" s="97">
        <v>559</v>
      </c>
      <c r="C560" s="8"/>
      <c r="D560" s="1" t="s">
        <v>616</v>
      </c>
      <c r="E560" s="2">
        <v>17086</v>
      </c>
      <c r="F560" s="1">
        <v>2451211</v>
      </c>
      <c r="G560" s="1">
        <f t="shared" ca="1" si="21"/>
        <v>80</v>
      </c>
      <c r="H560" s="1"/>
      <c r="I560" s="1"/>
      <c r="J560" s="8"/>
      <c r="K560" s="8"/>
      <c r="L560" s="8"/>
      <c r="M560" s="8"/>
      <c r="N560" s="8"/>
      <c r="O560" s="9"/>
      <c r="P560" s="3"/>
      <c r="Q560" s="8"/>
    </row>
    <row r="561" spans="2:17" x14ac:dyDescent="0.3">
      <c r="B561" s="97">
        <v>560</v>
      </c>
      <c r="C561" s="8"/>
      <c r="D561" s="1" t="s">
        <v>540</v>
      </c>
      <c r="E561" s="2">
        <v>25124</v>
      </c>
      <c r="F561" s="1">
        <v>2475742</v>
      </c>
      <c r="G561" s="1">
        <f t="shared" ca="1" si="21"/>
        <v>58</v>
      </c>
      <c r="H561" s="1"/>
      <c r="I561" s="1"/>
      <c r="J561" s="8"/>
      <c r="K561" s="8"/>
      <c r="L561" s="8"/>
      <c r="M561" s="8"/>
      <c r="N561" s="8"/>
      <c r="O561" s="9"/>
      <c r="P561" s="3"/>
      <c r="Q561" s="8"/>
    </row>
    <row r="562" spans="2:17" x14ac:dyDescent="0.3">
      <c r="B562" s="97">
        <v>561</v>
      </c>
      <c r="C562" s="8"/>
      <c r="D562" s="1" t="s">
        <v>617</v>
      </c>
      <c r="E562" s="2">
        <v>35479</v>
      </c>
      <c r="F562" s="1"/>
      <c r="G562" s="1">
        <f t="shared" ca="1" si="21"/>
        <v>29</v>
      </c>
      <c r="H562" s="1"/>
      <c r="I562" s="1"/>
      <c r="J562" s="8"/>
      <c r="K562" s="8"/>
      <c r="L562" s="8"/>
      <c r="M562" s="8"/>
      <c r="N562" s="8"/>
      <c r="O562" s="9"/>
      <c r="P562" s="3"/>
      <c r="Q562" s="8"/>
    </row>
    <row r="563" spans="2:17" x14ac:dyDescent="0.3">
      <c r="B563" s="97">
        <v>562</v>
      </c>
      <c r="C563" s="8"/>
      <c r="D563" s="1" t="s">
        <v>618</v>
      </c>
      <c r="E563" s="2">
        <v>17020</v>
      </c>
      <c r="F563" s="1">
        <v>2475719</v>
      </c>
      <c r="G563" s="1">
        <f t="shared" ca="1" si="21"/>
        <v>80</v>
      </c>
      <c r="H563" s="1"/>
      <c r="I563" s="1"/>
      <c r="J563" s="8"/>
      <c r="K563" s="8"/>
      <c r="L563" s="8"/>
      <c r="M563" s="8"/>
      <c r="N563" s="8"/>
      <c r="O563" s="9"/>
      <c r="P563" s="3"/>
      <c r="Q563" s="8"/>
    </row>
    <row r="564" spans="2:17" x14ac:dyDescent="0.3">
      <c r="B564" s="97">
        <v>563</v>
      </c>
      <c r="C564" s="8"/>
      <c r="D564" s="1" t="s">
        <v>619</v>
      </c>
      <c r="E564" s="2">
        <v>30400</v>
      </c>
      <c r="F564" s="1">
        <v>1476114</v>
      </c>
      <c r="G564" s="1">
        <f t="shared" ca="1" si="21"/>
        <v>43</v>
      </c>
      <c r="H564" s="1"/>
      <c r="I564" s="1"/>
      <c r="J564" s="8"/>
      <c r="K564" s="8"/>
      <c r="L564" s="8"/>
      <c r="M564" s="8"/>
      <c r="N564" s="8"/>
      <c r="O564" s="9"/>
      <c r="P564" s="3"/>
      <c r="Q564" s="8"/>
    </row>
    <row r="565" spans="2:17" x14ac:dyDescent="0.3">
      <c r="B565" s="97">
        <v>564</v>
      </c>
      <c r="C565" s="8"/>
      <c r="D565" s="1" t="s">
        <v>620</v>
      </c>
      <c r="E565" s="2">
        <v>28689</v>
      </c>
      <c r="F565" s="1">
        <v>2388510</v>
      </c>
      <c r="G565" s="1">
        <f t="shared" ca="1" si="21"/>
        <v>48</v>
      </c>
      <c r="H565" s="1"/>
      <c r="I565" s="1"/>
      <c r="J565" s="8"/>
      <c r="K565" s="8"/>
      <c r="L565" s="8"/>
      <c r="M565" s="8"/>
      <c r="N565" s="8"/>
      <c r="O565" s="9"/>
      <c r="P565" s="3"/>
      <c r="Q565" s="8"/>
    </row>
    <row r="566" spans="2:17" x14ac:dyDescent="0.3">
      <c r="B566" s="97">
        <v>565</v>
      </c>
      <c r="C566" s="8"/>
      <c r="D566" s="1" t="s">
        <v>621</v>
      </c>
      <c r="E566" s="2">
        <v>16180</v>
      </c>
      <c r="F566" s="1">
        <v>2229313</v>
      </c>
      <c r="G566" s="1">
        <f t="shared" ca="1" si="21"/>
        <v>82</v>
      </c>
      <c r="H566" s="1"/>
      <c r="I566" s="1"/>
      <c r="J566" s="8"/>
      <c r="K566" s="8"/>
      <c r="L566" s="8"/>
      <c r="M566" s="8"/>
      <c r="N566" s="8"/>
      <c r="O566" s="9"/>
      <c r="P566" s="3"/>
      <c r="Q566" s="8"/>
    </row>
    <row r="567" spans="2:17" x14ac:dyDescent="0.3">
      <c r="B567" s="97">
        <v>566</v>
      </c>
      <c r="C567" s="8"/>
      <c r="D567" s="1" t="s">
        <v>622</v>
      </c>
      <c r="E567" s="2">
        <v>29992</v>
      </c>
      <c r="F567" s="1">
        <v>2797911</v>
      </c>
      <c r="G567" s="1">
        <f t="shared" ca="1" si="21"/>
        <v>44</v>
      </c>
      <c r="H567" s="1"/>
      <c r="I567" s="1"/>
      <c r="J567" s="8"/>
      <c r="K567" s="8"/>
      <c r="L567" s="8"/>
      <c r="M567" s="8"/>
      <c r="N567" s="8"/>
      <c r="O567" s="9"/>
      <c r="P567" s="3"/>
      <c r="Q567" s="8"/>
    </row>
    <row r="568" spans="2:17" x14ac:dyDescent="0.3">
      <c r="B568" s="97">
        <v>567</v>
      </c>
      <c r="C568" s="8"/>
      <c r="D568" s="1" t="s">
        <v>623</v>
      </c>
      <c r="E568" s="2">
        <v>21205</v>
      </c>
      <c r="F568" s="1">
        <v>2684213</v>
      </c>
      <c r="G568" s="1">
        <f t="shared" ca="1" si="21"/>
        <v>68</v>
      </c>
      <c r="H568" s="1"/>
      <c r="I568" s="1"/>
      <c r="J568" s="8"/>
      <c r="K568" s="8"/>
      <c r="L568" s="8"/>
      <c r="M568" s="8"/>
      <c r="N568" s="8"/>
      <c r="O568" s="9"/>
      <c r="P568" s="3"/>
      <c r="Q568" s="8"/>
    </row>
    <row r="569" spans="2:17" x14ac:dyDescent="0.3">
      <c r="B569" s="97">
        <v>568</v>
      </c>
      <c r="C569" s="8"/>
      <c r="D569" s="1" t="s">
        <v>624</v>
      </c>
      <c r="E569" s="2">
        <v>28379</v>
      </c>
      <c r="F569" s="1">
        <v>1408720</v>
      </c>
      <c r="G569" s="1">
        <f t="shared" ca="1" si="21"/>
        <v>49</v>
      </c>
      <c r="H569" s="1"/>
      <c r="I569" s="1"/>
      <c r="J569" s="8"/>
      <c r="K569" s="8"/>
      <c r="L569" s="8"/>
      <c r="M569" s="8"/>
      <c r="N569" s="8"/>
      <c r="O569" s="9"/>
      <c r="P569" s="3"/>
      <c r="Q569" s="8"/>
    </row>
    <row r="570" spans="2:17" x14ac:dyDescent="0.3">
      <c r="B570" s="97">
        <v>569</v>
      </c>
      <c r="C570" s="8"/>
      <c r="D570" s="1" t="s">
        <v>625</v>
      </c>
      <c r="E570" s="2">
        <v>30215</v>
      </c>
      <c r="F570" s="1">
        <v>2118311</v>
      </c>
      <c r="G570" s="1">
        <f t="shared" ca="1" si="21"/>
        <v>44</v>
      </c>
      <c r="H570" s="1"/>
      <c r="I570" s="1"/>
      <c r="J570" s="8"/>
      <c r="K570" s="8"/>
      <c r="L570" s="8"/>
      <c r="M570" s="8"/>
      <c r="N570" s="8"/>
      <c r="O570" s="9"/>
      <c r="P570" s="3"/>
      <c r="Q570" s="8"/>
    </row>
    <row r="571" spans="2:17" x14ac:dyDescent="0.3">
      <c r="B571" s="97">
        <v>570</v>
      </c>
      <c r="C571" s="8"/>
      <c r="D571" s="1" t="s">
        <v>626</v>
      </c>
      <c r="E571" s="2">
        <v>15970</v>
      </c>
      <c r="F571" s="1">
        <v>2475713</v>
      </c>
      <c r="G571" s="1">
        <f t="shared" ca="1" si="21"/>
        <v>83</v>
      </c>
      <c r="H571" s="1"/>
      <c r="I571" s="1"/>
      <c r="J571" s="8"/>
      <c r="K571" s="8"/>
      <c r="L571" s="8"/>
      <c r="M571" s="8"/>
      <c r="N571" s="8"/>
      <c r="O571" s="9"/>
      <c r="P571" s="3"/>
      <c r="Q571" s="8"/>
    </row>
    <row r="572" spans="2:17" x14ac:dyDescent="0.3">
      <c r="B572" s="97">
        <v>571</v>
      </c>
      <c r="C572" s="8"/>
      <c r="D572" s="1" t="s">
        <v>627</v>
      </c>
      <c r="E572" s="2">
        <v>25262</v>
      </c>
      <c r="F572" s="1">
        <v>2475726</v>
      </c>
      <c r="G572" s="1">
        <f t="shared" ca="1" si="21"/>
        <v>57</v>
      </c>
      <c r="H572" s="1"/>
      <c r="I572" s="1"/>
      <c r="J572" s="8"/>
      <c r="K572" s="8"/>
      <c r="L572" s="8"/>
      <c r="M572" s="8"/>
      <c r="N572" s="8"/>
      <c r="O572" s="9"/>
      <c r="P572" s="3"/>
      <c r="Q572" s="8"/>
    </row>
    <row r="573" spans="2:17" x14ac:dyDescent="0.3">
      <c r="B573" s="97">
        <v>572</v>
      </c>
      <c r="C573" s="8"/>
      <c r="D573" s="1" t="s">
        <v>628</v>
      </c>
      <c r="E573" s="2">
        <v>34239</v>
      </c>
      <c r="F573" s="1">
        <v>1693014</v>
      </c>
      <c r="G573" s="1">
        <f t="shared" ca="1" si="21"/>
        <v>33</v>
      </c>
      <c r="H573" s="1"/>
      <c r="I573" s="1"/>
      <c r="J573" s="8"/>
      <c r="K573" s="8"/>
      <c r="L573" s="8"/>
      <c r="M573" s="8"/>
      <c r="N573" s="8"/>
      <c r="O573" s="9"/>
      <c r="P573" s="3"/>
      <c r="Q573" s="8"/>
    </row>
    <row r="574" spans="2:17" x14ac:dyDescent="0.3">
      <c r="B574" s="97">
        <v>573</v>
      </c>
      <c r="C574" s="8"/>
      <c r="D574" s="1" t="s">
        <v>629</v>
      </c>
      <c r="E574" s="2">
        <v>23829</v>
      </c>
      <c r="F574" s="1">
        <v>1905924</v>
      </c>
      <c r="G574" s="1">
        <f t="shared" ca="1" si="21"/>
        <v>61</v>
      </c>
      <c r="H574" s="1"/>
      <c r="I574" s="1"/>
      <c r="J574" s="8"/>
      <c r="K574" s="8"/>
      <c r="L574" s="8"/>
      <c r="M574" s="8"/>
      <c r="N574" s="8"/>
      <c r="O574" s="9"/>
      <c r="P574" s="3"/>
      <c r="Q574" s="8"/>
    </row>
    <row r="575" spans="2:17" x14ac:dyDescent="0.3">
      <c r="B575" s="97">
        <v>574</v>
      </c>
      <c r="C575" s="8"/>
      <c r="D575" s="1" t="s">
        <v>630</v>
      </c>
      <c r="E575" s="2">
        <v>28535</v>
      </c>
      <c r="F575" s="1">
        <v>2411720</v>
      </c>
      <c r="G575" s="1">
        <f t="shared" ca="1" si="21"/>
        <v>48</v>
      </c>
      <c r="H575" s="1"/>
      <c r="I575" s="1"/>
      <c r="J575" s="8"/>
      <c r="K575" s="8"/>
      <c r="L575" s="8"/>
      <c r="M575" s="8"/>
      <c r="N575" s="8"/>
      <c r="O575" s="9"/>
      <c r="P575" s="3"/>
      <c r="Q575" s="8"/>
    </row>
    <row r="576" spans="2:17" x14ac:dyDescent="0.3">
      <c r="B576" s="97">
        <v>575</v>
      </c>
      <c r="C576" s="8"/>
      <c r="D576" s="1" t="s">
        <v>631</v>
      </c>
      <c r="E576" s="2">
        <v>28168</v>
      </c>
      <c r="F576" s="1">
        <v>1080517</v>
      </c>
      <c r="G576" s="1">
        <f t="shared" ca="1" si="21"/>
        <v>49</v>
      </c>
      <c r="H576" s="1"/>
      <c r="I576" s="1"/>
      <c r="J576" s="8"/>
      <c r="K576" s="8"/>
      <c r="L576" s="8"/>
      <c r="M576" s="8"/>
      <c r="N576" s="8"/>
      <c r="O576" s="9"/>
      <c r="P576" s="3"/>
      <c r="Q576" s="8"/>
    </row>
    <row r="577" spans="2:17" x14ac:dyDescent="0.3">
      <c r="B577" s="97">
        <v>576</v>
      </c>
      <c r="C577" s="8"/>
      <c r="D577" s="1" t="s">
        <v>632</v>
      </c>
      <c r="E577" s="2">
        <v>29276</v>
      </c>
      <c r="F577" s="1">
        <v>2042925</v>
      </c>
      <c r="G577" s="1">
        <f t="shared" ca="1" si="21"/>
        <v>46</v>
      </c>
      <c r="H577" s="1"/>
      <c r="I577" s="1"/>
      <c r="J577" s="8"/>
      <c r="K577" s="8"/>
      <c r="L577" s="8"/>
      <c r="M577" s="8"/>
      <c r="N577" s="8"/>
      <c r="O577" s="9"/>
      <c r="P577" s="3"/>
      <c r="Q577" s="8"/>
    </row>
    <row r="578" spans="2:17" x14ac:dyDescent="0.3">
      <c r="B578" s="97">
        <v>577</v>
      </c>
      <c r="C578" s="8"/>
      <c r="D578" s="1" t="s">
        <v>633</v>
      </c>
      <c r="E578" s="2">
        <v>39730</v>
      </c>
      <c r="F578" s="1">
        <v>3165617</v>
      </c>
      <c r="G578" s="1">
        <f t="shared" ca="1" si="21"/>
        <v>18</v>
      </c>
      <c r="H578" s="1"/>
      <c r="I578" s="1"/>
      <c r="J578" s="8"/>
      <c r="K578" s="8"/>
      <c r="L578" s="8"/>
      <c r="M578" s="8"/>
      <c r="N578" s="8"/>
      <c r="O578" s="9"/>
      <c r="P578" s="3"/>
      <c r="Q578" s="8"/>
    </row>
    <row r="579" spans="2:17" x14ac:dyDescent="0.3">
      <c r="B579" s="97">
        <v>578</v>
      </c>
      <c r="C579" s="8"/>
      <c r="D579" s="1" t="s">
        <v>634</v>
      </c>
      <c r="E579" s="2">
        <v>41029</v>
      </c>
      <c r="F579" s="1">
        <v>3412028</v>
      </c>
      <c r="G579" s="1">
        <f t="shared" ca="1" si="21"/>
        <v>14</v>
      </c>
      <c r="H579" s="1"/>
      <c r="I579" s="1"/>
      <c r="J579" s="8"/>
      <c r="K579" s="8"/>
      <c r="L579" s="8"/>
      <c r="M579" s="8"/>
      <c r="N579" s="8"/>
      <c r="O579" s="9"/>
      <c r="P579" s="3"/>
      <c r="Q579" s="8"/>
    </row>
    <row r="580" spans="2:17" x14ac:dyDescent="0.3">
      <c r="B580" s="97">
        <v>579</v>
      </c>
      <c r="C580" s="8"/>
      <c r="D580" s="1" t="s">
        <v>635</v>
      </c>
      <c r="E580" s="2">
        <v>26728</v>
      </c>
      <c r="F580" s="1">
        <v>2047713</v>
      </c>
      <c r="G580" s="1">
        <f t="shared" ca="1" si="21"/>
        <v>53</v>
      </c>
      <c r="H580" s="1"/>
      <c r="I580" s="1"/>
      <c r="J580" s="8"/>
      <c r="K580" s="8"/>
      <c r="L580" s="8"/>
      <c r="M580" s="8"/>
      <c r="N580" s="8"/>
      <c r="O580" s="9"/>
      <c r="P580" s="3"/>
      <c r="Q580" s="8"/>
    </row>
    <row r="581" spans="2:17" x14ac:dyDescent="0.3">
      <c r="B581" s="97">
        <v>580</v>
      </c>
      <c r="C581" s="8"/>
      <c r="D581" s="1" t="s">
        <v>636</v>
      </c>
      <c r="E581" s="2">
        <v>26373</v>
      </c>
      <c r="F581" s="1">
        <v>1472318</v>
      </c>
      <c r="G581" s="1">
        <f t="shared" ca="1" si="21"/>
        <v>54</v>
      </c>
      <c r="H581" s="1"/>
      <c r="I581" s="1"/>
      <c r="J581" s="8"/>
      <c r="K581" s="8"/>
      <c r="L581" s="8"/>
      <c r="M581" s="8"/>
      <c r="N581" s="8"/>
      <c r="O581" s="9"/>
      <c r="P581" s="3"/>
      <c r="Q581" s="8"/>
    </row>
    <row r="582" spans="2:17" x14ac:dyDescent="0.3">
      <c r="B582" s="97">
        <v>581</v>
      </c>
      <c r="C582" s="8"/>
      <c r="D582" s="1" t="s">
        <v>637</v>
      </c>
      <c r="E582" s="2">
        <v>37576</v>
      </c>
      <c r="F582" s="1">
        <v>4152711</v>
      </c>
      <c r="G582" s="1">
        <f t="shared" ca="1" si="21"/>
        <v>24</v>
      </c>
      <c r="H582" s="1"/>
      <c r="I582" s="1"/>
      <c r="J582" s="8"/>
      <c r="K582" s="8"/>
      <c r="L582" s="8"/>
      <c r="M582" s="8"/>
      <c r="N582" s="8"/>
      <c r="O582" s="9"/>
      <c r="P582" s="3"/>
      <c r="Q582" s="8"/>
    </row>
    <row r="583" spans="2:17" x14ac:dyDescent="0.3">
      <c r="B583" s="97">
        <v>582</v>
      </c>
      <c r="C583" s="8"/>
      <c r="D583" s="1" t="s">
        <v>638</v>
      </c>
      <c r="E583" s="2">
        <v>39816</v>
      </c>
      <c r="F583" s="1">
        <v>3151614</v>
      </c>
      <c r="G583" s="1">
        <f t="shared" ca="1" si="21"/>
        <v>17</v>
      </c>
      <c r="H583" s="1"/>
      <c r="I583" s="1"/>
      <c r="J583" s="8"/>
      <c r="K583" s="8"/>
      <c r="L583" s="8"/>
      <c r="M583" s="8"/>
      <c r="N583" s="8"/>
      <c r="O583" s="9"/>
      <c r="P583" s="3"/>
      <c r="Q583" s="8"/>
    </row>
    <row r="584" spans="2:17" x14ac:dyDescent="0.3">
      <c r="B584" s="97">
        <v>583</v>
      </c>
      <c r="C584" s="8"/>
      <c r="D584" s="1" t="s">
        <v>639</v>
      </c>
      <c r="E584" s="2">
        <v>20718</v>
      </c>
      <c r="F584" s="1">
        <v>2912611</v>
      </c>
      <c r="G584" s="1">
        <f t="shared" ca="1" si="21"/>
        <v>70</v>
      </c>
      <c r="H584" s="1"/>
      <c r="I584" s="1"/>
      <c r="J584" s="8"/>
      <c r="K584" s="8"/>
      <c r="L584" s="8"/>
      <c r="M584" s="8"/>
      <c r="N584" s="8"/>
      <c r="O584" s="9"/>
      <c r="P584" s="3"/>
      <c r="Q584" s="8"/>
    </row>
    <row r="585" spans="2:17" x14ac:dyDescent="0.3">
      <c r="B585" s="97">
        <v>584</v>
      </c>
      <c r="C585" s="8"/>
      <c r="D585" s="1" t="s">
        <v>640</v>
      </c>
      <c r="E585" s="2">
        <v>17259</v>
      </c>
      <c r="F585" s="1">
        <v>1011316</v>
      </c>
      <c r="G585" s="1">
        <f t="shared" ca="1" si="21"/>
        <v>79</v>
      </c>
      <c r="H585" s="1"/>
      <c r="I585" s="1"/>
      <c r="J585" s="8"/>
      <c r="K585" s="8"/>
      <c r="L585" s="8"/>
      <c r="M585" s="8"/>
      <c r="N585" s="8"/>
      <c r="O585" s="9"/>
      <c r="P585" s="3"/>
      <c r="Q585" s="8"/>
    </row>
    <row r="586" spans="2:17" x14ac:dyDescent="0.3">
      <c r="B586" s="97">
        <v>585</v>
      </c>
      <c r="C586" s="8"/>
      <c r="D586" s="1" t="s">
        <v>641</v>
      </c>
      <c r="E586" s="2">
        <v>29647</v>
      </c>
      <c r="F586" s="1">
        <v>1677410</v>
      </c>
      <c r="G586" s="1">
        <f t="shared" ca="1" si="21"/>
        <v>45</v>
      </c>
      <c r="H586" s="1"/>
      <c r="I586" s="1"/>
      <c r="J586" s="8"/>
      <c r="K586" s="8"/>
      <c r="L586" s="8"/>
      <c r="M586" s="8"/>
      <c r="N586" s="8"/>
      <c r="O586" s="9"/>
      <c r="P586" s="3"/>
      <c r="Q586" s="8"/>
    </row>
    <row r="587" spans="2:17" x14ac:dyDescent="0.3">
      <c r="B587" s="97">
        <v>586</v>
      </c>
      <c r="C587" s="8"/>
      <c r="D587" s="1" t="s">
        <v>642</v>
      </c>
      <c r="E587" s="2">
        <v>29999</v>
      </c>
      <c r="F587" s="1">
        <v>2897118</v>
      </c>
      <c r="G587" s="1">
        <f t="shared" ca="1" si="21"/>
        <v>44</v>
      </c>
      <c r="H587" s="1"/>
      <c r="I587" s="1"/>
      <c r="J587" s="8"/>
      <c r="K587" s="8"/>
      <c r="L587" s="8"/>
      <c r="M587" s="8"/>
      <c r="N587" s="8"/>
      <c r="O587" s="9"/>
      <c r="P587" s="3"/>
      <c r="Q587" s="8"/>
    </row>
    <row r="588" spans="2:17" x14ac:dyDescent="0.3">
      <c r="B588" s="97">
        <v>587</v>
      </c>
      <c r="C588" s="8"/>
      <c r="D588" s="1" t="s">
        <v>643</v>
      </c>
      <c r="E588" s="2">
        <v>42506</v>
      </c>
      <c r="F588" s="1">
        <v>4412829</v>
      </c>
      <c r="G588" s="1">
        <f t="shared" ca="1" si="21"/>
        <v>10</v>
      </c>
      <c r="H588" s="1"/>
      <c r="I588" s="1"/>
      <c r="J588" s="8"/>
      <c r="K588" s="8"/>
      <c r="L588" s="8"/>
      <c r="M588" s="8"/>
      <c r="N588" s="8"/>
      <c r="O588" s="9"/>
      <c r="P588" s="3"/>
      <c r="Q588" s="8"/>
    </row>
    <row r="589" spans="2:17" x14ac:dyDescent="0.3">
      <c r="B589" s="97">
        <v>588</v>
      </c>
      <c r="C589" s="8"/>
      <c r="D589" s="1" t="s">
        <v>644</v>
      </c>
      <c r="E589" s="2">
        <v>26094</v>
      </c>
      <c r="F589" s="1">
        <v>1150718</v>
      </c>
      <c r="G589" s="1">
        <f t="shared" ref="G589:G652" ca="1" si="22">YEAR(TODAY())-YEAR(E589)</f>
        <v>55</v>
      </c>
      <c r="H589" s="1"/>
      <c r="I589" s="1"/>
      <c r="J589" s="8"/>
      <c r="K589" s="8"/>
      <c r="L589" s="8"/>
      <c r="M589" s="8"/>
      <c r="N589" s="8"/>
      <c r="O589" s="9"/>
      <c r="P589" s="3"/>
      <c r="Q589" s="8"/>
    </row>
    <row r="590" spans="2:17" x14ac:dyDescent="0.3">
      <c r="B590" s="97">
        <v>589</v>
      </c>
      <c r="C590" s="8"/>
      <c r="D590" s="1" t="s">
        <v>645</v>
      </c>
      <c r="E590" s="2">
        <v>25782</v>
      </c>
      <c r="F590" s="1">
        <v>2018620</v>
      </c>
      <c r="G590" s="1">
        <f t="shared" ca="1" si="22"/>
        <v>56</v>
      </c>
      <c r="H590" s="1"/>
      <c r="I590" s="1"/>
      <c r="J590" s="8"/>
      <c r="K590" s="8"/>
      <c r="L590" s="8"/>
      <c r="M590" s="8"/>
      <c r="N590" s="8"/>
      <c r="O590" s="9"/>
      <c r="P590" s="3"/>
      <c r="Q590" s="8"/>
    </row>
    <row r="591" spans="2:17" x14ac:dyDescent="0.3">
      <c r="B591" s="97">
        <v>590</v>
      </c>
      <c r="C591" s="8"/>
      <c r="D591" s="1" t="s">
        <v>646</v>
      </c>
      <c r="E591" s="2">
        <v>39833</v>
      </c>
      <c r="F591" s="1">
        <v>3412612</v>
      </c>
      <c r="G591" s="1">
        <f t="shared" ca="1" si="22"/>
        <v>17</v>
      </c>
      <c r="H591" s="1"/>
      <c r="I591" s="1"/>
      <c r="J591" s="8"/>
      <c r="K591" s="8"/>
      <c r="L591" s="8"/>
      <c r="M591" s="8"/>
      <c r="N591" s="8"/>
      <c r="O591" s="9"/>
      <c r="P591" s="3"/>
      <c r="Q591" s="8"/>
    </row>
    <row r="592" spans="2:17" x14ac:dyDescent="0.3">
      <c r="B592" s="97">
        <v>591</v>
      </c>
      <c r="C592" s="8"/>
      <c r="D592" s="1" t="s">
        <v>647</v>
      </c>
      <c r="E592" s="2">
        <v>28635</v>
      </c>
      <c r="F592" s="1">
        <v>1113939</v>
      </c>
      <c r="G592" s="1">
        <f t="shared" ca="1" si="22"/>
        <v>48</v>
      </c>
      <c r="H592" s="1"/>
      <c r="I592" s="1"/>
      <c r="J592" s="8"/>
      <c r="K592" s="8"/>
      <c r="L592" s="8"/>
      <c r="M592" s="8"/>
      <c r="N592" s="8"/>
      <c r="O592" s="9"/>
      <c r="P592" s="3"/>
      <c r="Q592" s="8"/>
    </row>
    <row r="593" spans="2:17" x14ac:dyDescent="0.3">
      <c r="B593" s="97">
        <v>592</v>
      </c>
      <c r="C593" s="8"/>
      <c r="D593" s="1" t="s">
        <v>648</v>
      </c>
      <c r="E593" s="2">
        <v>29784</v>
      </c>
      <c r="F593" s="1">
        <v>2124811</v>
      </c>
      <c r="G593" s="1">
        <f t="shared" ca="1" si="22"/>
        <v>45</v>
      </c>
      <c r="H593" s="1"/>
      <c r="I593" s="1"/>
      <c r="J593" s="8"/>
      <c r="K593" s="8"/>
      <c r="L593" s="8"/>
      <c r="M593" s="8"/>
      <c r="N593" s="8"/>
      <c r="O593" s="9"/>
      <c r="P593" s="3"/>
      <c r="Q593" s="8"/>
    </row>
    <row r="594" spans="2:17" x14ac:dyDescent="0.3">
      <c r="B594" s="97">
        <v>593</v>
      </c>
      <c r="C594" s="8"/>
      <c r="D594" s="1" t="s">
        <v>649</v>
      </c>
      <c r="E594" s="2">
        <v>20361</v>
      </c>
      <c r="F594" s="1">
        <v>1656925</v>
      </c>
      <c r="G594" s="1">
        <f t="shared" ca="1" si="22"/>
        <v>71</v>
      </c>
      <c r="H594" s="1"/>
      <c r="I594" s="1"/>
      <c r="J594" s="8"/>
      <c r="K594" s="8"/>
      <c r="L594" s="8"/>
      <c r="M594" s="8"/>
      <c r="N594" s="8"/>
      <c r="O594" s="9"/>
      <c r="P594" s="3"/>
      <c r="Q594" s="8"/>
    </row>
    <row r="595" spans="2:17" x14ac:dyDescent="0.3">
      <c r="B595" s="97">
        <v>594</v>
      </c>
      <c r="C595" s="8"/>
      <c r="D595" s="1" t="s">
        <v>650</v>
      </c>
      <c r="E595" s="2">
        <v>26983</v>
      </c>
      <c r="F595" s="1">
        <v>1328215</v>
      </c>
      <c r="G595" s="1">
        <f t="shared" ca="1" si="22"/>
        <v>53</v>
      </c>
      <c r="H595" s="1"/>
      <c r="I595" s="1"/>
      <c r="J595" s="8"/>
      <c r="K595" s="8"/>
      <c r="L595" s="8"/>
      <c r="M595" s="8"/>
      <c r="N595" s="8"/>
      <c r="O595" s="9"/>
      <c r="P595" s="3"/>
      <c r="Q595" s="8"/>
    </row>
    <row r="596" spans="2:17" x14ac:dyDescent="0.3">
      <c r="B596" s="97">
        <v>595</v>
      </c>
      <c r="C596" s="8"/>
      <c r="D596" s="1" t="s">
        <v>651</v>
      </c>
      <c r="E596" s="2">
        <v>21561</v>
      </c>
      <c r="F596" s="1">
        <v>1380618</v>
      </c>
      <c r="G596" s="1">
        <f t="shared" ca="1" si="22"/>
        <v>67</v>
      </c>
      <c r="H596" s="1"/>
      <c r="I596" s="1"/>
      <c r="J596" s="8"/>
      <c r="K596" s="8"/>
      <c r="L596" s="8"/>
      <c r="M596" s="8"/>
      <c r="N596" s="8"/>
      <c r="O596" s="9"/>
      <c r="P596" s="3"/>
      <c r="Q596" s="8"/>
    </row>
    <row r="597" spans="2:17" x14ac:dyDescent="0.3">
      <c r="B597" s="97">
        <v>596</v>
      </c>
      <c r="C597" s="8"/>
      <c r="D597" s="1" t="s">
        <v>652</v>
      </c>
      <c r="E597" s="2">
        <v>21613</v>
      </c>
      <c r="F597" s="1">
        <v>2380917</v>
      </c>
      <c r="G597" s="1">
        <f t="shared" ca="1" si="22"/>
        <v>67</v>
      </c>
      <c r="H597" s="1"/>
      <c r="I597" s="1"/>
      <c r="J597" s="8"/>
      <c r="K597" s="8"/>
      <c r="L597" s="8"/>
      <c r="M597" s="8"/>
      <c r="N597" s="8"/>
      <c r="O597" s="9"/>
      <c r="P597" s="3"/>
      <c r="Q597" s="8"/>
    </row>
    <row r="598" spans="2:17" x14ac:dyDescent="0.3">
      <c r="B598" s="97">
        <v>597</v>
      </c>
      <c r="C598" s="8"/>
      <c r="D598" s="1" t="s">
        <v>653</v>
      </c>
      <c r="E598" s="2">
        <v>25934</v>
      </c>
      <c r="F598" s="1">
        <v>2478621</v>
      </c>
      <c r="G598" s="1">
        <f t="shared" ca="1" si="22"/>
        <v>55</v>
      </c>
      <c r="H598" s="1"/>
      <c r="I598" s="1"/>
      <c r="J598" s="8"/>
      <c r="K598" s="8"/>
      <c r="L598" s="8"/>
      <c r="M598" s="8"/>
      <c r="N598" s="8"/>
      <c r="O598" s="9"/>
      <c r="P598" s="3"/>
      <c r="Q598" s="8"/>
    </row>
    <row r="599" spans="2:17" x14ac:dyDescent="0.3">
      <c r="B599" s="97">
        <v>598</v>
      </c>
      <c r="C599" s="8"/>
      <c r="D599" s="1" t="s">
        <v>654</v>
      </c>
      <c r="E599" s="2">
        <v>35319</v>
      </c>
      <c r="F599" s="1">
        <v>1233814</v>
      </c>
      <c r="G599" s="1">
        <f t="shared" ca="1" si="22"/>
        <v>30</v>
      </c>
      <c r="H599" s="1"/>
      <c r="I599" s="1"/>
      <c r="J599" s="8"/>
      <c r="K599" s="8"/>
      <c r="L599" s="8"/>
      <c r="M599" s="8"/>
      <c r="N599" s="8"/>
      <c r="O599" s="9"/>
      <c r="P599" s="3"/>
      <c r="Q599" s="8"/>
    </row>
    <row r="600" spans="2:17" x14ac:dyDescent="0.3">
      <c r="B600" s="97">
        <v>599</v>
      </c>
      <c r="C600" s="8"/>
      <c r="D600" s="1" t="s">
        <v>655</v>
      </c>
      <c r="E600" s="2">
        <v>36812</v>
      </c>
      <c r="F600" s="1">
        <v>4233810</v>
      </c>
      <c r="G600" s="1">
        <f t="shared" ca="1" si="22"/>
        <v>26</v>
      </c>
      <c r="H600" s="1"/>
      <c r="I600" s="1"/>
      <c r="J600" s="8"/>
      <c r="K600" s="8"/>
      <c r="L600" s="8"/>
      <c r="M600" s="8"/>
      <c r="N600" s="8"/>
      <c r="O600" s="9"/>
      <c r="P600" s="3"/>
      <c r="Q600" s="8"/>
    </row>
    <row r="601" spans="2:17" x14ac:dyDescent="0.3">
      <c r="B601" s="97">
        <v>600</v>
      </c>
      <c r="C601" s="8"/>
      <c r="D601" s="1" t="s">
        <v>656</v>
      </c>
      <c r="E601" s="2">
        <v>31151</v>
      </c>
      <c r="F601" s="1">
        <v>1102018</v>
      </c>
      <c r="G601" s="1">
        <f t="shared" ca="1" si="22"/>
        <v>41</v>
      </c>
      <c r="H601" s="1"/>
      <c r="I601" s="1"/>
      <c r="J601" s="8"/>
      <c r="K601" s="8"/>
      <c r="L601" s="8"/>
      <c r="M601" s="8"/>
      <c r="N601" s="8"/>
      <c r="O601" s="9"/>
      <c r="P601" s="3"/>
      <c r="Q601" s="8"/>
    </row>
    <row r="602" spans="2:17" x14ac:dyDescent="0.3">
      <c r="B602" s="97">
        <v>601</v>
      </c>
      <c r="C602" s="8"/>
      <c r="D602" s="1" t="s">
        <v>657</v>
      </c>
      <c r="E602" s="2">
        <v>19808</v>
      </c>
      <c r="F602" s="1">
        <v>2656918</v>
      </c>
      <c r="G602" s="1">
        <f t="shared" ca="1" si="22"/>
        <v>72</v>
      </c>
      <c r="H602" s="1"/>
      <c r="I602" s="1"/>
      <c r="J602" s="8"/>
      <c r="K602" s="8"/>
      <c r="L602" s="8"/>
      <c r="M602" s="8"/>
      <c r="N602" s="8"/>
      <c r="O602" s="9"/>
      <c r="P602" s="3"/>
      <c r="Q602" s="8"/>
    </row>
    <row r="603" spans="2:17" x14ac:dyDescent="0.3">
      <c r="B603" s="97">
        <v>602</v>
      </c>
      <c r="C603" s="8"/>
      <c r="D603" s="1" t="s">
        <v>658</v>
      </c>
      <c r="E603" s="2">
        <v>32445</v>
      </c>
      <c r="F603" s="1">
        <v>2095814</v>
      </c>
      <c r="G603" s="1">
        <f t="shared" ca="1" si="22"/>
        <v>38</v>
      </c>
      <c r="H603" s="1"/>
      <c r="I603" s="1"/>
      <c r="J603" s="8"/>
      <c r="K603" s="8"/>
      <c r="L603" s="8"/>
      <c r="M603" s="8"/>
      <c r="N603" s="8"/>
      <c r="O603" s="9"/>
      <c r="P603" s="3"/>
      <c r="Q603" s="8"/>
    </row>
    <row r="604" spans="2:17" x14ac:dyDescent="0.3">
      <c r="B604" s="97">
        <v>603</v>
      </c>
      <c r="C604" s="8"/>
      <c r="D604" s="1" t="s">
        <v>659</v>
      </c>
      <c r="E604" s="2">
        <v>30078</v>
      </c>
      <c r="F604" s="1">
        <v>1852828</v>
      </c>
      <c r="G604" s="1">
        <f t="shared" ca="1" si="22"/>
        <v>44</v>
      </c>
      <c r="H604" s="1"/>
      <c r="I604" s="1"/>
      <c r="J604" s="8"/>
      <c r="K604" s="8"/>
      <c r="L604" s="8"/>
      <c r="M604" s="8"/>
      <c r="N604" s="8"/>
      <c r="O604" s="9"/>
      <c r="P604" s="3"/>
      <c r="Q604" s="8"/>
    </row>
    <row r="605" spans="2:17" x14ac:dyDescent="0.3">
      <c r="B605" s="97">
        <v>604</v>
      </c>
      <c r="C605" s="8"/>
      <c r="D605" s="1" t="s">
        <v>660</v>
      </c>
      <c r="E605" s="2">
        <v>41696</v>
      </c>
      <c r="F605" s="1">
        <v>3853416</v>
      </c>
      <c r="G605" s="1">
        <f t="shared" ca="1" si="22"/>
        <v>12</v>
      </c>
      <c r="H605" s="1"/>
      <c r="I605" s="1"/>
      <c r="J605" s="8"/>
      <c r="K605" s="8"/>
      <c r="L605" s="8"/>
      <c r="M605" s="8"/>
      <c r="N605" s="8"/>
      <c r="O605" s="9"/>
      <c r="P605" s="3"/>
      <c r="Q605" s="8"/>
    </row>
    <row r="606" spans="2:17" x14ac:dyDescent="0.3">
      <c r="B606" s="97">
        <v>605</v>
      </c>
      <c r="C606" s="8"/>
      <c r="D606" s="1" t="s">
        <v>661</v>
      </c>
      <c r="E606" s="2">
        <v>42137</v>
      </c>
      <c r="F606" s="1">
        <v>4853417</v>
      </c>
      <c r="G606" s="1">
        <f t="shared" ca="1" si="22"/>
        <v>11</v>
      </c>
      <c r="H606" s="1"/>
      <c r="I606" s="1"/>
      <c r="J606" s="8"/>
      <c r="K606" s="8"/>
      <c r="L606" s="8"/>
      <c r="M606" s="8"/>
      <c r="N606" s="8"/>
      <c r="O606" s="9"/>
      <c r="P606" s="3"/>
      <c r="Q606" s="8"/>
    </row>
    <row r="607" spans="2:17" x14ac:dyDescent="0.3">
      <c r="B607" s="97">
        <v>606</v>
      </c>
      <c r="C607" s="8"/>
      <c r="D607" s="1" t="s">
        <v>662</v>
      </c>
      <c r="E607" s="2">
        <v>20716</v>
      </c>
      <c r="F607" s="1">
        <v>2897317</v>
      </c>
      <c r="G607" s="1">
        <f t="shared" ca="1" si="22"/>
        <v>70</v>
      </c>
      <c r="H607" s="1"/>
      <c r="I607" s="1"/>
      <c r="J607" s="8"/>
      <c r="K607" s="8"/>
      <c r="L607" s="8"/>
      <c r="M607" s="8"/>
      <c r="N607" s="8"/>
      <c r="O607" s="9"/>
      <c r="P607" s="3"/>
      <c r="Q607" s="8"/>
    </row>
    <row r="608" spans="2:17" x14ac:dyDescent="0.3">
      <c r="B608" s="97">
        <v>607</v>
      </c>
      <c r="C608" s="8"/>
      <c r="D608" s="1" t="s">
        <v>663</v>
      </c>
      <c r="E608" s="2">
        <v>18769</v>
      </c>
      <c r="F608" s="1">
        <v>1897112</v>
      </c>
      <c r="G608" s="1">
        <f t="shared" ca="1" si="22"/>
        <v>75</v>
      </c>
      <c r="H608" s="1"/>
      <c r="I608" s="1"/>
      <c r="J608" s="8"/>
      <c r="K608" s="8"/>
      <c r="L608" s="8"/>
      <c r="M608" s="8"/>
      <c r="N608" s="8"/>
      <c r="O608" s="9"/>
      <c r="P608" s="3"/>
      <c r="Q608" s="8"/>
    </row>
    <row r="609" spans="2:17" x14ac:dyDescent="0.3">
      <c r="B609" s="97">
        <v>608</v>
      </c>
      <c r="C609" s="8"/>
      <c r="D609" s="1" t="s">
        <v>664</v>
      </c>
      <c r="E609" s="2">
        <v>26148</v>
      </c>
      <c r="F609" s="1">
        <v>1337318</v>
      </c>
      <c r="G609" s="1">
        <f t="shared" ca="1" si="22"/>
        <v>55</v>
      </c>
      <c r="H609" s="1"/>
      <c r="I609" s="1"/>
      <c r="J609" s="8"/>
      <c r="K609" s="8"/>
      <c r="L609" s="8"/>
      <c r="M609" s="8"/>
      <c r="N609" s="8"/>
      <c r="O609" s="9"/>
      <c r="P609" s="3"/>
      <c r="Q609" s="8"/>
    </row>
    <row r="610" spans="2:17" x14ac:dyDescent="0.3">
      <c r="B610" s="97">
        <v>609</v>
      </c>
      <c r="C610" s="8"/>
      <c r="D610" s="1" t="s">
        <v>665</v>
      </c>
      <c r="E610" s="2">
        <v>30931</v>
      </c>
      <c r="F610" s="1">
        <v>1079113</v>
      </c>
      <c r="G610" s="1">
        <f t="shared" ca="1" si="22"/>
        <v>42</v>
      </c>
      <c r="H610" s="1"/>
      <c r="I610" s="1"/>
      <c r="J610" s="8"/>
      <c r="K610" s="8"/>
      <c r="L610" s="8"/>
      <c r="M610" s="8"/>
      <c r="N610" s="8"/>
      <c r="O610" s="9"/>
      <c r="P610" s="3"/>
      <c r="Q610" s="8"/>
    </row>
    <row r="611" spans="2:17" x14ac:dyDescent="0.3">
      <c r="B611" s="97">
        <v>610</v>
      </c>
      <c r="C611" s="8"/>
      <c r="D611" s="1" t="s">
        <v>666</v>
      </c>
      <c r="E611" s="2">
        <v>31495</v>
      </c>
      <c r="F611" s="1">
        <v>2203315</v>
      </c>
      <c r="G611" s="1">
        <f t="shared" ca="1" si="22"/>
        <v>40</v>
      </c>
      <c r="H611" s="1"/>
      <c r="I611" s="1"/>
      <c r="J611" s="8"/>
      <c r="K611" s="8"/>
      <c r="L611" s="8"/>
      <c r="M611" s="8"/>
      <c r="N611" s="8"/>
      <c r="O611" s="9"/>
      <c r="P611" s="3"/>
      <c r="Q611" s="8"/>
    </row>
    <row r="612" spans="2:17" x14ac:dyDescent="0.3">
      <c r="B612" s="97">
        <v>611</v>
      </c>
      <c r="C612" s="8"/>
      <c r="D612" s="1" t="s">
        <v>667</v>
      </c>
      <c r="E612" s="2">
        <v>31111</v>
      </c>
      <c r="F612" s="1">
        <v>1908116</v>
      </c>
      <c r="G612" s="1">
        <f t="shared" ca="1" si="22"/>
        <v>41</v>
      </c>
      <c r="H612" s="1"/>
      <c r="I612" s="1"/>
      <c r="J612" s="8"/>
      <c r="K612" s="8"/>
      <c r="L612" s="8"/>
      <c r="M612" s="8"/>
      <c r="N612" s="8"/>
      <c r="O612" s="9"/>
      <c r="P612" s="3"/>
      <c r="Q612" s="8"/>
    </row>
    <row r="613" spans="2:17" x14ac:dyDescent="0.3">
      <c r="B613" s="97">
        <v>612</v>
      </c>
      <c r="C613" s="8"/>
      <c r="D613" s="1" t="s">
        <v>668</v>
      </c>
      <c r="E613" s="2">
        <v>17801</v>
      </c>
      <c r="F613" s="1">
        <v>1467312</v>
      </c>
      <c r="G613" s="1">
        <f t="shared" ca="1" si="22"/>
        <v>78</v>
      </c>
      <c r="H613" s="1"/>
      <c r="I613" s="1"/>
      <c r="J613" s="8"/>
      <c r="K613" s="8"/>
      <c r="L613" s="8"/>
      <c r="M613" s="8"/>
      <c r="N613" s="8"/>
      <c r="O613" s="9"/>
      <c r="P613" s="3"/>
      <c r="Q613" s="8"/>
    </row>
    <row r="614" spans="2:17" x14ac:dyDescent="0.3">
      <c r="B614" s="97">
        <v>613</v>
      </c>
      <c r="C614" s="8"/>
      <c r="D614" s="1" t="s">
        <v>669</v>
      </c>
      <c r="E614" s="2">
        <v>19448</v>
      </c>
      <c r="F614" s="1">
        <v>2528525</v>
      </c>
      <c r="G614" s="1">
        <f t="shared" ca="1" si="22"/>
        <v>73</v>
      </c>
      <c r="H614" s="1"/>
      <c r="I614" s="1"/>
      <c r="J614" s="8"/>
      <c r="K614" s="8"/>
      <c r="L614" s="8"/>
      <c r="M614" s="8"/>
      <c r="N614" s="8"/>
      <c r="O614" s="9"/>
      <c r="P614" s="3"/>
      <c r="Q614" s="8"/>
    </row>
    <row r="615" spans="2:17" x14ac:dyDescent="0.3">
      <c r="B615" s="97">
        <v>614</v>
      </c>
      <c r="C615" s="8"/>
      <c r="D615" s="1" t="s">
        <v>670</v>
      </c>
      <c r="E615" s="2">
        <v>25455</v>
      </c>
      <c r="F615" s="1">
        <v>2475916</v>
      </c>
      <c r="G615" s="1">
        <f t="shared" ca="1" si="22"/>
        <v>57</v>
      </c>
      <c r="H615" s="1"/>
      <c r="I615" s="1"/>
      <c r="J615" s="8"/>
      <c r="K615" s="8"/>
      <c r="L615" s="8"/>
      <c r="M615" s="8"/>
      <c r="N615" s="8"/>
      <c r="O615" s="9"/>
      <c r="P615" s="3"/>
      <c r="Q615" s="8"/>
    </row>
    <row r="616" spans="2:17" x14ac:dyDescent="0.3">
      <c r="B616" s="97">
        <v>615</v>
      </c>
      <c r="C616" s="8"/>
      <c r="D616" s="1" t="s">
        <v>671</v>
      </c>
      <c r="E616" s="2">
        <v>34558</v>
      </c>
      <c r="F616" s="1">
        <v>2478910</v>
      </c>
      <c r="G616" s="1">
        <f t="shared" ca="1" si="22"/>
        <v>32</v>
      </c>
      <c r="H616" s="1"/>
      <c r="I616" s="1"/>
      <c r="J616" s="8"/>
      <c r="K616" s="8"/>
      <c r="L616" s="8"/>
      <c r="M616" s="8"/>
      <c r="N616" s="8"/>
      <c r="O616" s="9"/>
      <c r="P616" s="3"/>
      <c r="Q616" s="8"/>
    </row>
    <row r="617" spans="2:17" x14ac:dyDescent="0.3">
      <c r="B617" s="97">
        <v>616</v>
      </c>
      <c r="C617" s="8"/>
      <c r="D617" s="1" t="s">
        <v>672</v>
      </c>
      <c r="E617" s="2">
        <v>35331</v>
      </c>
      <c r="F617" s="1">
        <v>1478915</v>
      </c>
      <c r="G617" s="1">
        <f t="shared" ca="1" si="22"/>
        <v>30</v>
      </c>
      <c r="H617" s="1"/>
      <c r="I617" s="1"/>
      <c r="J617" s="8"/>
      <c r="K617" s="8"/>
      <c r="L617" s="8"/>
      <c r="M617" s="8"/>
      <c r="N617" s="8"/>
      <c r="O617" s="9"/>
      <c r="P617" s="3"/>
      <c r="Q617" s="8"/>
    </row>
    <row r="618" spans="2:17" x14ac:dyDescent="0.3">
      <c r="B618" s="97">
        <v>617</v>
      </c>
      <c r="C618" s="8"/>
      <c r="D618" s="1" t="s">
        <v>459</v>
      </c>
      <c r="E618" s="2">
        <v>28392</v>
      </c>
      <c r="F618" s="1">
        <v>2543112</v>
      </c>
      <c r="G618" s="1">
        <f t="shared" ca="1" si="22"/>
        <v>49</v>
      </c>
      <c r="H618" s="1"/>
      <c r="I618" s="1"/>
      <c r="J618" s="8"/>
      <c r="K618" s="8"/>
      <c r="L618" s="8"/>
      <c r="M618" s="8"/>
      <c r="N618" s="8"/>
      <c r="O618" s="9"/>
      <c r="P618" s="3"/>
      <c r="Q618" s="8"/>
    </row>
    <row r="619" spans="2:17" x14ac:dyDescent="0.3">
      <c r="B619" s="97">
        <v>618</v>
      </c>
      <c r="C619" s="8"/>
      <c r="D619" s="1" t="s">
        <v>673</v>
      </c>
      <c r="E619" s="2">
        <v>43587</v>
      </c>
      <c r="F619" s="1">
        <v>4476216</v>
      </c>
      <c r="G619" s="1">
        <f t="shared" ca="1" si="22"/>
        <v>7</v>
      </c>
      <c r="H619" s="1"/>
      <c r="I619" s="1"/>
      <c r="J619" s="8"/>
      <c r="K619" s="8"/>
      <c r="L619" s="8"/>
      <c r="M619" s="8"/>
      <c r="N619" s="8"/>
      <c r="O619" s="9"/>
      <c r="P619" s="3"/>
      <c r="Q619" s="8"/>
    </row>
    <row r="620" spans="2:17" x14ac:dyDescent="0.3">
      <c r="B620" s="97">
        <v>619</v>
      </c>
      <c r="C620" s="8"/>
      <c r="D620" s="1" t="s">
        <v>674</v>
      </c>
      <c r="E620" s="2">
        <v>29167</v>
      </c>
      <c r="F620" s="1">
        <v>1469410</v>
      </c>
      <c r="G620" s="1">
        <f t="shared" ca="1" si="22"/>
        <v>47</v>
      </c>
      <c r="H620" s="1"/>
      <c r="I620" s="1"/>
      <c r="J620" s="8"/>
      <c r="K620" s="8"/>
      <c r="L620" s="8"/>
      <c r="M620" s="8"/>
      <c r="N620" s="8"/>
      <c r="O620" s="9"/>
      <c r="P620" s="3"/>
      <c r="Q620" s="8"/>
    </row>
    <row r="621" spans="2:17" x14ac:dyDescent="0.3">
      <c r="B621" s="97">
        <v>620</v>
      </c>
      <c r="C621" s="8"/>
      <c r="D621" s="1" t="s">
        <v>675</v>
      </c>
      <c r="E621" s="2">
        <v>22447</v>
      </c>
      <c r="F621" s="1">
        <v>1411328</v>
      </c>
      <c r="G621" s="1">
        <f t="shared" ca="1" si="22"/>
        <v>65</v>
      </c>
      <c r="H621" s="1"/>
      <c r="I621" s="1"/>
      <c r="J621" s="8"/>
      <c r="K621" s="8"/>
      <c r="L621" s="8"/>
      <c r="M621" s="8"/>
      <c r="N621" s="8"/>
      <c r="O621" s="9"/>
      <c r="P621" s="3"/>
      <c r="Q621" s="8"/>
    </row>
    <row r="622" spans="2:17" x14ac:dyDescent="0.3">
      <c r="B622" s="97">
        <v>621</v>
      </c>
      <c r="C622" s="8"/>
      <c r="D622" s="1" t="s">
        <v>676</v>
      </c>
      <c r="E622" s="2">
        <v>34024</v>
      </c>
      <c r="F622" s="1">
        <v>1037815</v>
      </c>
      <c r="G622" s="1">
        <f t="shared" ca="1" si="22"/>
        <v>33</v>
      </c>
      <c r="H622" s="1"/>
      <c r="I622" s="1"/>
      <c r="J622" s="8"/>
      <c r="K622" s="8"/>
      <c r="L622" s="8"/>
      <c r="M622" s="8"/>
      <c r="N622" s="8"/>
      <c r="O622" s="9"/>
      <c r="P622" s="3"/>
      <c r="Q622" s="8"/>
    </row>
    <row r="623" spans="2:17" x14ac:dyDescent="0.3">
      <c r="B623" s="97">
        <v>622</v>
      </c>
      <c r="C623" s="8"/>
      <c r="D623" s="1" t="s">
        <v>677</v>
      </c>
      <c r="E623" s="2">
        <v>31402</v>
      </c>
      <c r="F623" s="1">
        <v>2478614</v>
      </c>
      <c r="G623" s="1">
        <f t="shared" ca="1" si="22"/>
        <v>41</v>
      </c>
      <c r="H623" s="1"/>
      <c r="I623" s="1"/>
      <c r="J623" s="8"/>
      <c r="K623" s="8"/>
      <c r="L623" s="8"/>
      <c r="M623" s="8"/>
      <c r="N623" s="8"/>
      <c r="O623" s="9"/>
      <c r="P623" s="3"/>
      <c r="Q623" s="8"/>
    </row>
    <row r="624" spans="2:17" x14ac:dyDescent="0.3">
      <c r="B624" s="97">
        <v>623</v>
      </c>
      <c r="C624" s="8"/>
      <c r="D624" s="1" t="s">
        <v>678</v>
      </c>
      <c r="E624" s="2">
        <v>21040</v>
      </c>
      <c r="F624" s="1">
        <v>2462433</v>
      </c>
      <c r="G624" s="1">
        <f t="shared" ca="1" si="22"/>
        <v>69</v>
      </c>
      <c r="H624" s="1"/>
      <c r="I624" s="1"/>
      <c r="J624" s="8"/>
      <c r="K624" s="8"/>
      <c r="L624" s="8"/>
      <c r="M624" s="8"/>
      <c r="N624" s="8"/>
      <c r="O624" s="9"/>
      <c r="P624" s="3"/>
      <c r="Q624" s="8"/>
    </row>
    <row r="625" spans="2:17" x14ac:dyDescent="0.3">
      <c r="B625" s="97">
        <v>624</v>
      </c>
      <c r="C625" s="8"/>
      <c r="D625" s="1" t="s">
        <v>679</v>
      </c>
      <c r="E625" s="2">
        <v>21823</v>
      </c>
      <c r="F625" s="1">
        <v>2411911</v>
      </c>
      <c r="G625" s="1">
        <f t="shared" ca="1" si="22"/>
        <v>67</v>
      </c>
      <c r="H625" s="1"/>
      <c r="I625" s="1"/>
      <c r="J625" s="8"/>
      <c r="K625" s="8"/>
      <c r="L625" s="8"/>
      <c r="M625" s="8"/>
      <c r="N625" s="8"/>
      <c r="O625" s="9"/>
      <c r="P625" s="3"/>
      <c r="Q625" s="8"/>
    </row>
    <row r="626" spans="2:17" x14ac:dyDescent="0.3">
      <c r="B626" s="97">
        <v>625</v>
      </c>
      <c r="C626" s="8"/>
      <c r="D626" s="1" t="s">
        <v>680</v>
      </c>
      <c r="E626" s="2">
        <v>19952</v>
      </c>
      <c r="F626" s="1">
        <v>1640124</v>
      </c>
      <c r="G626" s="1">
        <f t="shared" ca="1" si="22"/>
        <v>72</v>
      </c>
      <c r="H626" s="1"/>
      <c r="I626" s="1"/>
      <c r="J626" s="8"/>
      <c r="K626" s="8"/>
      <c r="L626" s="8"/>
      <c r="M626" s="8"/>
      <c r="N626" s="8"/>
      <c r="O626" s="9"/>
      <c r="P626" s="3"/>
      <c r="Q626" s="8"/>
    </row>
    <row r="627" spans="2:17" x14ac:dyDescent="0.3">
      <c r="B627" s="97">
        <v>626</v>
      </c>
      <c r="C627" s="8"/>
      <c r="D627" s="1" t="s">
        <v>681</v>
      </c>
      <c r="E627" s="2">
        <v>30357</v>
      </c>
      <c r="F627" s="1">
        <v>1231225</v>
      </c>
      <c r="G627" s="1">
        <f t="shared" ca="1" si="22"/>
        <v>43</v>
      </c>
      <c r="H627" s="1"/>
      <c r="I627" s="1"/>
      <c r="J627" s="8"/>
      <c r="K627" s="8"/>
      <c r="L627" s="8"/>
      <c r="M627" s="8"/>
      <c r="N627" s="8"/>
      <c r="O627" s="9"/>
      <c r="P627" s="3"/>
      <c r="Q627" s="8"/>
    </row>
    <row r="628" spans="2:17" x14ac:dyDescent="0.3">
      <c r="B628" s="97">
        <v>627</v>
      </c>
      <c r="C628" s="8"/>
      <c r="D628" s="1" t="s">
        <v>682</v>
      </c>
      <c r="E628" s="2">
        <v>29743</v>
      </c>
      <c r="F628" s="1">
        <v>2478011</v>
      </c>
      <c r="G628" s="1">
        <f t="shared" ca="1" si="22"/>
        <v>45</v>
      </c>
      <c r="H628" s="1"/>
      <c r="I628" s="1"/>
      <c r="J628" s="8"/>
      <c r="K628" s="8"/>
      <c r="L628" s="8"/>
      <c r="M628" s="8"/>
      <c r="N628" s="8"/>
      <c r="O628" s="9"/>
      <c r="P628" s="3"/>
      <c r="Q628" s="8"/>
    </row>
    <row r="629" spans="2:17" x14ac:dyDescent="0.3">
      <c r="B629" s="97">
        <v>628</v>
      </c>
      <c r="C629" s="8"/>
      <c r="D629" s="1" t="s">
        <v>683</v>
      </c>
      <c r="E629" s="2">
        <v>40486</v>
      </c>
      <c r="F629" s="1">
        <v>3476210</v>
      </c>
      <c r="G629" s="1">
        <f t="shared" ca="1" si="22"/>
        <v>16</v>
      </c>
      <c r="H629" s="1"/>
      <c r="I629" s="1"/>
      <c r="J629" s="8"/>
      <c r="K629" s="8"/>
      <c r="L629" s="8"/>
      <c r="M629" s="8"/>
      <c r="N629" s="8"/>
      <c r="O629" s="9"/>
      <c r="P629" s="3"/>
      <c r="Q629" s="8"/>
    </row>
    <row r="630" spans="2:17" x14ac:dyDescent="0.3">
      <c r="B630" s="97">
        <v>629</v>
      </c>
      <c r="C630" s="8"/>
      <c r="D630" s="1" t="s">
        <v>684</v>
      </c>
      <c r="E630" s="2">
        <v>41083</v>
      </c>
      <c r="F630" s="1">
        <v>4476213</v>
      </c>
      <c r="G630" s="1">
        <f t="shared" ca="1" si="22"/>
        <v>14</v>
      </c>
      <c r="H630" s="1"/>
      <c r="I630" s="1"/>
      <c r="J630" s="8"/>
      <c r="K630" s="8"/>
      <c r="L630" s="8"/>
      <c r="M630" s="8"/>
      <c r="N630" s="8"/>
      <c r="O630" s="9"/>
      <c r="P630" s="3"/>
      <c r="Q630" s="8"/>
    </row>
    <row r="631" spans="2:17" x14ac:dyDescent="0.3">
      <c r="B631" s="97">
        <v>630</v>
      </c>
      <c r="C631" s="8"/>
      <c r="D631" s="1" t="s">
        <v>685</v>
      </c>
      <c r="E631" s="2">
        <v>42044</v>
      </c>
      <c r="F631" s="1">
        <v>3476213</v>
      </c>
      <c r="G631" s="1">
        <f t="shared" ca="1" si="22"/>
        <v>11</v>
      </c>
      <c r="H631" s="1"/>
      <c r="I631" s="1"/>
      <c r="J631" s="8"/>
      <c r="K631" s="8"/>
      <c r="L631" s="8"/>
      <c r="M631" s="8"/>
      <c r="N631" s="8"/>
      <c r="O631" s="9"/>
      <c r="P631" s="3"/>
      <c r="Q631" s="8"/>
    </row>
    <row r="632" spans="2:17" x14ac:dyDescent="0.3">
      <c r="B632" s="97">
        <v>631</v>
      </c>
      <c r="C632" s="8"/>
      <c r="D632" s="1" t="s">
        <v>686</v>
      </c>
      <c r="E632" s="2">
        <v>42424</v>
      </c>
      <c r="F632" s="1">
        <v>3476211</v>
      </c>
      <c r="G632" s="1">
        <f t="shared" ca="1" si="22"/>
        <v>10</v>
      </c>
      <c r="H632" s="1"/>
      <c r="I632" s="1"/>
      <c r="J632" s="8"/>
      <c r="K632" s="8"/>
      <c r="L632" s="8"/>
      <c r="M632" s="8"/>
      <c r="N632" s="8"/>
      <c r="O632" s="9"/>
      <c r="P632" s="3"/>
      <c r="Q632" s="8"/>
    </row>
    <row r="633" spans="2:17" x14ac:dyDescent="0.3">
      <c r="B633" s="97">
        <v>632</v>
      </c>
      <c r="C633" s="8"/>
      <c r="D633" s="78" t="s">
        <v>687</v>
      </c>
      <c r="E633" s="79">
        <v>27277</v>
      </c>
      <c r="F633" s="78">
        <v>1637713</v>
      </c>
      <c r="G633" s="1">
        <f t="shared" ca="1" si="22"/>
        <v>52</v>
      </c>
      <c r="H633" s="1"/>
      <c r="I633" s="1"/>
      <c r="J633" s="8"/>
      <c r="K633" s="8"/>
      <c r="L633" s="8"/>
      <c r="M633" s="8"/>
      <c r="N633" s="8"/>
      <c r="O633" s="9"/>
      <c r="P633" s="3"/>
      <c r="Q633" s="8"/>
    </row>
    <row r="634" spans="2:17" x14ac:dyDescent="0.3">
      <c r="B634" s="97">
        <v>633</v>
      </c>
      <c r="C634" s="8"/>
      <c r="D634" s="78" t="s">
        <v>688</v>
      </c>
      <c r="E634" s="79">
        <v>29038</v>
      </c>
      <c r="F634" s="78">
        <v>2637219</v>
      </c>
      <c r="G634" s="1">
        <f t="shared" ca="1" si="22"/>
        <v>47</v>
      </c>
      <c r="H634" s="1"/>
      <c r="I634" s="1"/>
      <c r="J634" s="8"/>
      <c r="K634" s="8"/>
      <c r="L634" s="8"/>
      <c r="M634" s="8"/>
      <c r="N634" s="8"/>
      <c r="O634" s="9"/>
      <c r="P634" s="3"/>
      <c r="Q634" s="8"/>
    </row>
    <row r="635" spans="2:17" x14ac:dyDescent="0.3">
      <c r="B635" s="97">
        <v>634</v>
      </c>
      <c r="C635" s="8"/>
      <c r="D635" s="1" t="s">
        <v>689</v>
      </c>
      <c r="E635" s="2">
        <v>23289</v>
      </c>
      <c r="F635" s="1">
        <v>6860013</v>
      </c>
      <c r="G635" s="1">
        <f t="shared" ca="1" si="22"/>
        <v>63</v>
      </c>
      <c r="H635" s="1"/>
      <c r="I635" s="1"/>
      <c r="J635" s="8"/>
      <c r="K635" s="8"/>
      <c r="L635" s="8"/>
      <c r="M635" s="8"/>
      <c r="N635" s="8"/>
      <c r="O635" s="9"/>
      <c r="P635" s="3"/>
      <c r="Q635" s="8"/>
    </row>
    <row r="636" spans="2:17" x14ac:dyDescent="0.3">
      <c r="B636" s="97">
        <v>635</v>
      </c>
      <c r="C636" s="8"/>
      <c r="D636" s="1" t="s">
        <v>690</v>
      </c>
      <c r="E636" s="2">
        <v>30293</v>
      </c>
      <c r="F636" s="1">
        <v>2149211</v>
      </c>
      <c r="G636" s="1">
        <f t="shared" ca="1" si="22"/>
        <v>44</v>
      </c>
      <c r="H636" s="1"/>
      <c r="I636" s="1"/>
      <c r="J636" s="8"/>
      <c r="K636" s="8"/>
      <c r="L636" s="8"/>
      <c r="M636" s="8"/>
      <c r="N636" s="8"/>
      <c r="O636" s="9"/>
      <c r="P636" s="3"/>
      <c r="Q636" s="8"/>
    </row>
    <row r="637" spans="2:17" x14ac:dyDescent="0.3">
      <c r="B637" s="97">
        <v>636</v>
      </c>
      <c r="C637" s="8"/>
      <c r="D637" s="1" t="s">
        <v>691</v>
      </c>
      <c r="E637" s="2">
        <v>29813</v>
      </c>
      <c r="F637" s="1">
        <v>2489511</v>
      </c>
      <c r="G637" s="1">
        <f t="shared" ca="1" si="22"/>
        <v>45</v>
      </c>
      <c r="H637" s="1"/>
      <c r="I637" s="1"/>
      <c r="J637" s="8"/>
      <c r="K637" s="8"/>
      <c r="L637" s="8"/>
      <c r="M637" s="8"/>
      <c r="N637" s="8"/>
      <c r="O637" s="9"/>
      <c r="P637" s="3"/>
      <c r="Q637" s="8"/>
    </row>
    <row r="638" spans="2:17" x14ac:dyDescent="0.3">
      <c r="B638" s="97">
        <v>637</v>
      </c>
      <c r="C638" s="8"/>
      <c r="D638" s="1" t="s">
        <v>692</v>
      </c>
      <c r="E638" s="2">
        <v>30207</v>
      </c>
      <c r="F638" s="1">
        <v>1491027</v>
      </c>
      <c r="G638" s="1">
        <f t="shared" ca="1" si="22"/>
        <v>44</v>
      </c>
      <c r="H638" s="1"/>
      <c r="I638" s="1"/>
      <c r="J638" s="8"/>
      <c r="K638" s="8"/>
      <c r="L638" s="8"/>
      <c r="M638" s="8"/>
      <c r="N638" s="8"/>
      <c r="O638" s="9"/>
      <c r="P638" s="3"/>
      <c r="Q638" s="8"/>
    </row>
    <row r="639" spans="2:17" x14ac:dyDescent="0.3">
      <c r="B639" s="97">
        <v>638</v>
      </c>
      <c r="C639" s="8"/>
      <c r="D639" s="1" t="s">
        <v>693</v>
      </c>
      <c r="E639" s="2">
        <v>39110</v>
      </c>
      <c r="F639" s="1">
        <v>4021021</v>
      </c>
      <c r="G639" s="1">
        <f t="shared" ca="1" si="22"/>
        <v>19</v>
      </c>
      <c r="H639" s="1"/>
      <c r="I639" s="1"/>
      <c r="J639" s="8"/>
      <c r="K639" s="8"/>
      <c r="L639" s="8"/>
      <c r="M639" s="8"/>
      <c r="N639" s="8"/>
      <c r="O639" s="9"/>
      <c r="P639" s="3"/>
      <c r="Q639" s="8"/>
    </row>
    <row r="640" spans="2:17" x14ac:dyDescent="0.3">
      <c r="B640" s="97">
        <v>639</v>
      </c>
      <c r="C640" s="8"/>
      <c r="D640" s="1" t="s">
        <v>694</v>
      </c>
      <c r="E640" s="2">
        <v>40936</v>
      </c>
      <c r="F640" s="1">
        <v>4214911</v>
      </c>
      <c r="G640" s="1">
        <f t="shared" ca="1" si="22"/>
        <v>14</v>
      </c>
      <c r="H640" s="1"/>
      <c r="I640" s="1"/>
      <c r="J640" s="8"/>
      <c r="K640" s="8"/>
      <c r="L640" s="8"/>
      <c r="M640" s="8"/>
      <c r="N640" s="8"/>
      <c r="O640" s="9"/>
      <c r="P640" s="3"/>
      <c r="Q640" s="8"/>
    </row>
    <row r="641" spans="2:17" x14ac:dyDescent="0.3">
      <c r="B641" s="97">
        <v>640</v>
      </c>
      <c r="C641" s="8"/>
      <c r="D641" s="1" t="s">
        <v>695</v>
      </c>
      <c r="E641" s="2">
        <v>29845</v>
      </c>
      <c r="F641" s="1">
        <v>1676810</v>
      </c>
      <c r="G641" s="1">
        <f t="shared" ca="1" si="22"/>
        <v>45</v>
      </c>
      <c r="H641" s="1"/>
      <c r="I641" s="1"/>
      <c r="J641" s="8"/>
      <c r="K641" s="8"/>
      <c r="L641" s="8"/>
      <c r="M641" s="8"/>
      <c r="N641" s="8"/>
      <c r="O641" s="9"/>
      <c r="P641" s="3"/>
      <c r="Q641" s="8"/>
    </row>
    <row r="642" spans="2:17" x14ac:dyDescent="0.3">
      <c r="B642" s="97">
        <v>641</v>
      </c>
      <c r="C642" s="8"/>
      <c r="D642" s="1" t="s">
        <v>696</v>
      </c>
      <c r="E642" s="2">
        <v>27671</v>
      </c>
      <c r="F642" s="1">
        <v>2545313</v>
      </c>
      <c r="G642" s="1">
        <f t="shared" ca="1" si="22"/>
        <v>51</v>
      </c>
      <c r="H642" s="1"/>
      <c r="I642" s="1"/>
      <c r="J642" s="8"/>
      <c r="K642" s="8"/>
      <c r="L642" s="8"/>
      <c r="M642" s="8"/>
      <c r="N642" s="8"/>
      <c r="O642" s="9"/>
      <c r="P642" s="3"/>
      <c r="Q642" s="8"/>
    </row>
    <row r="643" spans="2:17" x14ac:dyDescent="0.3">
      <c r="B643" s="97">
        <v>642</v>
      </c>
      <c r="C643" s="8"/>
      <c r="D643" s="1" t="s">
        <v>697</v>
      </c>
      <c r="E643" s="2">
        <v>27103</v>
      </c>
      <c r="F643" s="1">
        <v>1252110</v>
      </c>
      <c r="G643" s="1">
        <f t="shared" ca="1" si="22"/>
        <v>52</v>
      </c>
      <c r="H643" s="1"/>
      <c r="I643" s="1"/>
      <c r="J643" s="8"/>
      <c r="K643" s="8"/>
      <c r="L643" s="8"/>
      <c r="M643" s="8"/>
      <c r="N643" s="8"/>
      <c r="O643" s="9"/>
      <c r="P643" s="3"/>
      <c r="Q643" s="8"/>
    </row>
    <row r="644" spans="2:17" x14ac:dyDescent="0.3">
      <c r="B644" s="97">
        <v>643</v>
      </c>
      <c r="C644" s="8"/>
      <c r="D644" s="1" t="s">
        <v>698</v>
      </c>
      <c r="E644" s="2">
        <v>17126</v>
      </c>
      <c r="F644" s="1">
        <v>1140122</v>
      </c>
      <c r="G644" s="1">
        <f t="shared" ca="1" si="22"/>
        <v>80</v>
      </c>
      <c r="H644" s="1"/>
      <c r="I644" s="1"/>
      <c r="J644" s="8"/>
      <c r="K644" s="8"/>
      <c r="L644" s="8"/>
      <c r="M644" s="8"/>
      <c r="N644" s="8"/>
      <c r="O644" s="9"/>
      <c r="P644" s="3"/>
      <c r="Q644" s="8"/>
    </row>
    <row r="645" spans="2:17" x14ac:dyDescent="0.3">
      <c r="B645" s="97">
        <v>644</v>
      </c>
      <c r="C645" s="8"/>
      <c r="D645" s="1" t="s">
        <v>699</v>
      </c>
      <c r="E645" s="2">
        <v>18295</v>
      </c>
      <c r="F645" s="1">
        <v>2155112</v>
      </c>
      <c r="G645" s="1">
        <f t="shared" ca="1" si="22"/>
        <v>76</v>
      </c>
      <c r="H645" s="1"/>
      <c r="I645" s="1"/>
      <c r="J645" s="8"/>
      <c r="K645" s="8"/>
      <c r="L645" s="8"/>
      <c r="M645" s="8"/>
      <c r="N645" s="8"/>
      <c r="O645" s="9"/>
      <c r="P645" s="3"/>
      <c r="Q645" s="8"/>
    </row>
    <row r="646" spans="2:17" x14ac:dyDescent="0.3">
      <c r="B646" s="97">
        <v>645</v>
      </c>
      <c r="C646" s="8"/>
      <c r="D646" s="1" t="s">
        <v>700</v>
      </c>
      <c r="E646" s="2">
        <v>29446</v>
      </c>
      <c r="F646" s="1">
        <v>1140317</v>
      </c>
      <c r="G646" s="1">
        <f t="shared" ca="1" si="22"/>
        <v>46</v>
      </c>
      <c r="H646" s="1"/>
      <c r="I646" s="1"/>
      <c r="J646" s="8"/>
      <c r="K646" s="8"/>
      <c r="L646" s="8"/>
      <c r="M646" s="8"/>
      <c r="N646" s="8"/>
      <c r="O646" s="9"/>
      <c r="P646" s="3"/>
      <c r="Q646" s="8"/>
    </row>
    <row r="647" spans="2:17" x14ac:dyDescent="0.3">
      <c r="B647" s="97">
        <v>646</v>
      </c>
      <c r="C647" s="8"/>
      <c r="D647" s="1" t="s">
        <v>701</v>
      </c>
      <c r="E647" s="2">
        <v>30622</v>
      </c>
      <c r="F647" s="1">
        <v>2542815</v>
      </c>
      <c r="G647" s="1">
        <f t="shared" ca="1" si="22"/>
        <v>43</v>
      </c>
      <c r="H647" s="1"/>
      <c r="I647" s="1"/>
      <c r="J647" s="8"/>
      <c r="K647" s="8"/>
      <c r="L647" s="8"/>
      <c r="M647" s="8"/>
      <c r="N647" s="8"/>
      <c r="O647" s="9"/>
      <c r="P647" s="3"/>
      <c r="Q647" s="8"/>
    </row>
    <row r="648" spans="2:17" x14ac:dyDescent="0.3">
      <c r="B648" s="97">
        <v>647</v>
      </c>
      <c r="C648" s="8"/>
      <c r="D648" s="1" t="s">
        <v>702</v>
      </c>
      <c r="E648" s="2">
        <v>29937</v>
      </c>
      <c r="F648" s="1">
        <v>1469416</v>
      </c>
      <c r="G648" s="1">
        <f t="shared" ca="1" si="22"/>
        <v>45</v>
      </c>
      <c r="H648" s="1"/>
      <c r="I648" s="1"/>
      <c r="J648" s="8"/>
      <c r="K648" s="8"/>
      <c r="L648" s="8"/>
      <c r="M648" s="8"/>
      <c r="N648" s="8"/>
      <c r="O648" s="9"/>
      <c r="P648" s="3"/>
      <c r="Q648" s="8"/>
    </row>
    <row r="649" spans="2:17" x14ac:dyDescent="0.3">
      <c r="B649" s="97">
        <v>648</v>
      </c>
      <c r="C649" s="8"/>
      <c r="D649" s="1" t="s">
        <v>703</v>
      </c>
      <c r="E649" s="2">
        <v>29065</v>
      </c>
      <c r="F649" s="1">
        <v>1009113</v>
      </c>
      <c r="G649" s="1">
        <f t="shared" ca="1" si="22"/>
        <v>47</v>
      </c>
      <c r="H649" s="1"/>
      <c r="I649" s="1"/>
      <c r="J649" s="8"/>
      <c r="K649" s="8"/>
      <c r="L649" s="8"/>
      <c r="M649" s="8"/>
      <c r="N649" s="8"/>
      <c r="O649" s="9"/>
      <c r="P649" s="3"/>
      <c r="Q649" s="8"/>
    </row>
    <row r="650" spans="2:17" x14ac:dyDescent="0.3">
      <c r="B650" s="97">
        <v>649</v>
      </c>
      <c r="C650" s="8"/>
      <c r="D650" s="1" t="s">
        <v>704</v>
      </c>
      <c r="E650" s="2">
        <v>41850</v>
      </c>
      <c r="F650" s="1">
        <v>3476011</v>
      </c>
      <c r="G650" s="1">
        <f t="shared" ca="1" si="22"/>
        <v>12</v>
      </c>
      <c r="H650" s="1"/>
      <c r="I650" s="1"/>
      <c r="J650" s="8"/>
      <c r="K650" s="8"/>
      <c r="L650" s="8"/>
      <c r="M650" s="8"/>
      <c r="N650" s="8"/>
      <c r="O650" s="9"/>
      <c r="P650" s="3"/>
      <c r="Q650" s="8"/>
    </row>
    <row r="651" spans="2:17" x14ac:dyDescent="0.3">
      <c r="B651" s="97">
        <v>650</v>
      </c>
      <c r="C651" s="8"/>
      <c r="D651" s="1" t="s">
        <v>705</v>
      </c>
      <c r="E651" s="2">
        <v>29650</v>
      </c>
      <c r="F651" s="1">
        <v>2768232</v>
      </c>
      <c r="G651" s="1">
        <f t="shared" ca="1" si="22"/>
        <v>45</v>
      </c>
      <c r="H651" s="1"/>
      <c r="I651" s="1"/>
      <c r="J651" s="8"/>
      <c r="K651" s="8"/>
      <c r="L651" s="8"/>
      <c r="M651" s="8"/>
      <c r="N651" s="8"/>
      <c r="O651" s="9"/>
      <c r="P651" s="3"/>
      <c r="Q651" s="8"/>
    </row>
    <row r="652" spans="2:17" x14ac:dyDescent="0.3">
      <c r="B652" s="97">
        <v>651</v>
      </c>
      <c r="C652" s="8"/>
      <c r="D652" s="1" t="s">
        <v>706</v>
      </c>
      <c r="E652" s="2">
        <v>30081</v>
      </c>
      <c r="F652" s="1">
        <v>1009112</v>
      </c>
      <c r="G652" s="1">
        <f t="shared" ca="1" si="22"/>
        <v>44</v>
      </c>
      <c r="H652" s="1"/>
      <c r="I652" s="1"/>
      <c r="J652" s="8"/>
      <c r="K652" s="8"/>
      <c r="L652" s="8"/>
      <c r="M652" s="8"/>
      <c r="N652" s="8"/>
      <c r="O652" s="9"/>
      <c r="P652" s="3"/>
      <c r="Q652" s="8"/>
    </row>
    <row r="653" spans="2:17" x14ac:dyDescent="0.3">
      <c r="B653" s="97">
        <v>652</v>
      </c>
      <c r="C653" s="8"/>
      <c r="D653" s="1" t="s">
        <v>707</v>
      </c>
      <c r="E653" s="2">
        <v>40816</v>
      </c>
      <c r="F653" s="1">
        <v>3475952</v>
      </c>
      <c r="G653" s="1">
        <f t="shared" ref="G653:G672" ca="1" si="23">YEAR(TODAY())-YEAR(E653)</f>
        <v>15</v>
      </c>
      <c r="H653" s="1"/>
      <c r="I653" s="1"/>
      <c r="J653" s="8"/>
      <c r="K653" s="8"/>
      <c r="L653" s="8"/>
      <c r="M653" s="8"/>
      <c r="N653" s="8"/>
      <c r="O653" s="9"/>
      <c r="P653" s="3"/>
      <c r="Q653" s="8"/>
    </row>
    <row r="654" spans="2:17" x14ac:dyDescent="0.3">
      <c r="B654" s="97">
        <v>653</v>
      </c>
      <c r="C654" s="8"/>
      <c r="D654" s="1" t="s">
        <v>708</v>
      </c>
      <c r="E654" s="2">
        <v>28941</v>
      </c>
      <c r="F654" s="1">
        <v>1462419</v>
      </c>
      <c r="G654" s="1">
        <f t="shared" ca="1" si="23"/>
        <v>47</v>
      </c>
      <c r="H654" s="1"/>
      <c r="I654" s="1"/>
      <c r="J654" s="8"/>
      <c r="K654" s="8"/>
      <c r="L654" s="8"/>
      <c r="M654" s="8"/>
      <c r="N654" s="8"/>
      <c r="O654" s="9"/>
      <c r="P654" s="3"/>
      <c r="Q654" s="8"/>
    </row>
    <row r="655" spans="2:17" x14ac:dyDescent="0.3">
      <c r="B655" s="97">
        <v>654</v>
      </c>
      <c r="C655" s="8"/>
      <c r="D655" s="1" t="s">
        <v>709</v>
      </c>
      <c r="E655" s="2">
        <v>19262</v>
      </c>
      <c r="F655" s="1">
        <v>1462513</v>
      </c>
      <c r="G655" s="1">
        <f t="shared" ca="1" si="23"/>
        <v>74</v>
      </c>
      <c r="H655" s="1"/>
      <c r="I655" s="1"/>
      <c r="J655" s="8"/>
      <c r="K655" s="8"/>
      <c r="L655" s="8"/>
      <c r="M655" s="8"/>
      <c r="N655" s="8"/>
      <c r="O655" s="9"/>
      <c r="P655" s="3"/>
      <c r="Q655" s="8"/>
    </row>
    <row r="656" spans="2:17" x14ac:dyDescent="0.3">
      <c r="B656" s="97">
        <v>655</v>
      </c>
      <c r="C656" s="8"/>
      <c r="D656" s="1" t="s">
        <v>710</v>
      </c>
      <c r="E656" s="2">
        <v>21351</v>
      </c>
      <c r="F656" s="1">
        <v>2460215</v>
      </c>
      <c r="G656" s="1">
        <f t="shared" ca="1" si="23"/>
        <v>68</v>
      </c>
      <c r="H656" s="1"/>
      <c r="I656" s="1"/>
      <c r="J656" s="8"/>
      <c r="K656" s="8"/>
      <c r="L656" s="8"/>
      <c r="M656" s="8"/>
      <c r="N656" s="8"/>
      <c r="O656" s="9"/>
      <c r="P656" s="3"/>
      <c r="Q656" s="8"/>
    </row>
    <row r="657" spans="2:17" x14ac:dyDescent="0.3">
      <c r="B657" s="97">
        <v>656</v>
      </c>
      <c r="C657" s="8"/>
      <c r="D657" s="1" t="s">
        <v>711</v>
      </c>
      <c r="E657" s="2">
        <v>18269</v>
      </c>
      <c r="F657" s="1">
        <v>1149316</v>
      </c>
      <c r="G657" s="1">
        <f t="shared" ca="1" si="23"/>
        <v>76</v>
      </c>
      <c r="H657" s="1"/>
      <c r="I657" s="1"/>
      <c r="J657" s="8"/>
      <c r="K657" s="8"/>
      <c r="L657" s="8"/>
      <c r="M657" s="8"/>
      <c r="N657" s="8"/>
      <c r="O657" s="9"/>
      <c r="P657" s="3"/>
      <c r="Q657" s="8"/>
    </row>
    <row r="658" spans="2:17" x14ac:dyDescent="0.3">
      <c r="B658" s="97">
        <v>657</v>
      </c>
      <c r="C658" s="8"/>
      <c r="D658" s="1" t="s">
        <v>657</v>
      </c>
      <c r="E658" s="2">
        <v>19808</v>
      </c>
      <c r="F658" s="1">
        <v>2656918</v>
      </c>
      <c r="G658" s="1">
        <f t="shared" ca="1" si="23"/>
        <v>72</v>
      </c>
      <c r="H658" s="1"/>
      <c r="I658" s="1"/>
      <c r="J658" s="8"/>
      <c r="K658" s="8"/>
      <c r="L658" s="8"/>
      <c r="M658" s="8"/>
      <c r="N658" s="8"/>
      <c r="O658" s="9"/>
      <c r="P658" s="3"/>
      <c r="Q658" s="8"/>
    </row>
    <row r="659" spans="2:17" x14ac:dyDescent="0.3">
      <c r="B659" s="97">
        <v>658</v>
      </c>
      <c r="C659" s="8"/>
      <c r="D659" s="1" t="s">
        <v>712</v>
      </c>
      <c r="E659" s="2">
        <v>29115</v>
      </c>
      <c r="F659" s="1">
        <v>2144210</v>
      </c>
      <c r="G659" s="1">
        <f t="shared" ca="1" si="23"/>
        <v>47</v>
      </c>
      <c r="H659" s="1"/>
      <c r="I659" s="1"/>
      <c r="J659" s="8"/>
      <c r="K659" s="8"/>
      <c r="L659" s="8"/>
      <c r="M659" s="8"/>
      <c r="N659" s="8"/>
      <c r="O659" s="9"/>
      <c r="P659" s="3"/>
      <c r="Q659" s="8"/>
    </row>
    <row r="660" spans="2:17" x14ac:dyDescent="0.3">
      <c r="B660" s="97">
        <v>659</v>
      </c>
      <c r="C660" s="8"/>
      <c r="D660" s="1" t="s">
        <v>713</v>
      </c>
      <c r="E660" s="2">
        <v>29906</v>
      </c>
      <c r="F660" s="1">
        <v>5860196</v>
      </c>
      <c r="G660" s="1">
        <f t="shared" ca="1" si="23"/>
        <v>45</v>
      </c>
      <c r="H660" s="1"/>
      <c r="I660" s="1"/>
      <c r="J660" s="8"/>
      <c r="K660" s="8"/>
      <c r="L660" s="8"/>
      <c r="M660" s="8"/>
      <c r="N660" s="8"/>
      <c r="O660" s="9"/>
      <c r="P660" s="3"/>
      <c r="Q660" s="8"/>
    </row>
    <row r="661" spans="2:17" x14ac:dyDescent="0.3">
      <c r="B661" s="97">
        <v>660</v>
      </c>
      <c r="C661" s="8"/>
      <c r="D661" s="1" t="s">
        <v>714</v>
      </c>
      <c r="E661" s="2">
        <v>43972</v>
      </c>
      <c r="F661" s="1">
        <v>3203315</v>
      </c>
      <c r="G661" s="1">
        <f t="shared" ca="1" si="23"/>
        <v>6</v>
      </c>
      <c r="H661" s="1"/>
      <c r="I661" s="1"/>
      <c r="J661" s="8"/>
      <c r="K661" s="8"/>
      <c r="L661" s="8"/>
      <c r="M661" s="8"/>
      <c r="N661" s="8"/>
      <c r="O661" s="9"/>
      <c r="P661" s="3"/>
      <c r="Q661" s="8"/>
    </row>
    <row r="662" spans="2:17" x14ac:dyDescent="0.3">
      <c r="B662" s="97">
        <v>661</v>
      </c>
      <c r="C662" s="8"/>
      <c r="D662" s="1" t="s">
        <v>715</v>
      </c>
      <c r="E662" s="2">
        <v>42458</v>
      </c>
      <c r="F662" s="1">
        <v>3203324</v>
      </c>
      <c r="G662" s="1">
        <f t="shared" ca="1" si="23"/>
        <v>10</v>
      </c>
      <c r="H662" s="1"/>
      <c r="I662" s="1"/>
      <c r="J662" s="8"/>
      <c r="K662" s="8"/>
      <c r="L662" s="8"/>
      <c r="M662" s="8"/>
      <c r="N662" s="8"/>
      <c r="O662" s="9"/>
      <c r="P662" s="3"/>
      <c r="Q662" s="8"/>
    </row>
    <row r="663" spans="2:17" x14ac:dyDescent="0.3">
      <c r="B663" s="97">
        <v>662</v>
      </c>
      <c r="C663" s="8"/>
      <c r="D663" s="1" t="s">
        <v>716</v>
      </c>
      <c r="E663" s="2">
        <v>43193</v>
      </c>
      <c r="F663" s="1">
        <v>4203311</v>
      </c>
      <c r="G663" s="1">
        <f t="shared" ca="1" si="23"/>
        <v>8</v>
      </c>
      <c r="H663" s="1"/>
      <c r="I663" s="1"/>
      <c r="J663" s="8"/>
      <c r="K663" s="8"/>
      <c r="L663" s="8"/>
      <c r="M663" s="8"/>
      <c r="N663" s="8"/>
      <c r="O663" s="9"/>
      <c r="P663" s="3"/>
      <c r="Q663" s="8"/>
    </row>
    <row r="664" spans="2:17" x14ac:dyDescent="0.3">
      <c r="B664" s="97">
        <v>663</v>
      </c>
      <c r="C664" s="8"/>
      <c r="D664" s="1" t="s">
        <v>717</v>
      </c>
      <c r="E664" s="2">
        <v>31484</v>
      </c>
      <c r="F664" s="1">
        <v>2631912</v>
      </c>
      <c r="G664" s="1">
        <f t="shared" ca="1" si="23"/>
        <v>40</v>
      </c>
      <c r="H664" s="1"/>
      <c r="I664" s="1"/>
      <c r="J664" s="8"/>
      <c r="K664" s="8"/>
      <c r="L664" s="8"/>
      <c r="M664" s="8"/>
      <c r="N664" s="8"/>
      <c r="O664" s="9"/>
      <c r="P664" s="3"/>
      <c r="Q664" s="8"/>
    </row>
    <row r="665" spans="2:17" x14ac:dyDescent="0.3">
      <c r="B665" s="97">
        <v>664</v>
      </c>
      <c r="C665" s="8"/>
      <c r="D665" s="1" t="s">
        <v>718</v>
      </c>
      <c r="E665" s="2">
        <v>39654</v>
      </c>
      <c r="F665" s="1">
        <v>4412512</v>
      </c>
      <c r="G665" s="1">
        <f t="shared" ca="1" si="23"/>
        <v>18</v>
      </c>
      <c r="H665" s="1"/>
      <c r="I665" s="1"/>
      <c r="J665" s="8"/>
      <c r="K665" s="8"/>
      <c r="L665" s="8"/>
      <c r="M665" s="8"/>
      <c r="N665" s="8"/>
      <c r="O665" s="9"/>
      <c r="P665" s="3"/>
      <c r="Q665" s="8"/>
    </row>
    <row r="666" spans="2:17" x14ac:dyDescent="0.3">
      <c r="B666" s="97">
        <v>665</v>
      </c>
      <c r="C666" s="8"/>
      <c r="D666" s="1" t="s">
        <v>719</v>
      </c>
      <c r="E666" s="2">
        <v>34356</v>
      </c>
      <c r="F666" s="1">
        <v>2450719</v>
      </c>
      <c r="G666" s="1">
        <f t="shared" ca="1" si="23"/>
        <v>32</v>
      </c>
      <c r="H666" s="1"/>
      <c r="I666" s="1"/>
      <c r="J666" s="8"/>
      <c r="K666" s="8"/>
      <c r="L666" s="8"/>
      <c r="M666" s="8"/>
      <c r="N666" s="8"/>
      <c r="O666" s="9"/>
      <c r="P666" s="3"/>
      <c r="Q666" s="8"/>
    </row>
    <row r="667" spans="2:17" x14ac:dyDescent="0.3">
      <c r="B667" s="97">
        <v>666</v>
      </c>
      <c r="C667" s="8"/>
      <c r="D667" s="1" t="s">
        <v>720</v>
      </c>
      <c r="E667" s="1"/>
      <c r="F667" s="1"/>
      <c r="G667" s="1">
        <f t="shared" ca="1" si="23"/>
        <v>126</v>
      </c>
      <c r="H667" s="1"/>
      <c r="I667" s="1"/>
      <c r="J667" s="8"/>
      <c r="K667" s="8"/>
      <c r="L667" s="8"/>
      <c r="M667" s="8"/>
      <c r="N667" s="8"/>
      <c r="O667" s="9"/>
      <c r="P667" s="3"/>
      <c r="Q667" s="8"/>
    </row>
    <row r="668" spans="2:17" x14ac:dyDescent="0.3">
      <c r="B668" s="97">
        <v>667</v>
      </c>
      <c r="C668" s="8"/>
      <c r="D668" s="1" t="s">
        <v>721</v>
      </c>
      <c r="E668" s="2">
        <v>18757</v>
      </c>
      <c r="F668" s="1">
        <v>2575722</v>
      </c>
      <c r="G668" s="1">
        <f t="shared" ca="1" si="23"/>
        <v>75</v>
      </c>
      <c r="H668" s="1"/>
      <c r="I668" s="1"/>
      <c r="J668" s="8"/>
      <c r="K668" s="8"/>
      <c r="L668" s="8"/>
      <c r="M668" s="8"/>
      <c r="N668" s="8"/>
      <c r="O668" s="9"/>
      <c r="P668" s="3"/>
      <c r="Q668" s="8"/>
    </row>
    <row r="669" spans="2:17" x14ac:dyDescent="0.3">
      <c r="B669" s="97">
        <v>668</v>
      </c>
      <c r="C669" s="8"/>
      <c r="D669" s="1" t="s">
        <v>722</v>
      </c>
      <c r="E669" s="2">
        <v>20242</v>
      </c>
      <c r="F669" s="1">
        <v>2447319</v>
      </c>
      <c r="G669" s="1">
        <f t="shared" ca="1" si="23"/>
        <v>71</v>
      </c>
      <c r="H669" s="1"/>
      <c r="I669" s="1"/>
      <c r="J669" s="8"/>
      <c r="K669" s="8"/>
      <c r="L669" s="8"/>
      <c r="M669" s="8"/>
      <c r="N669" s="8"/>
      <c r="O669" s="9"/>
      <c r="P669" s="3"/>
      <c r="Q669" s="8"/>
    </row>
    <row r="670" spans="2:17" x14ac:dyDescent="0.3">
      <c r="B670" s="97">
        <v>669</v>
      </c>
      <c r="C670" s="8"/>
      <c r="D670" s="1" t="s">
        <v>723</v>
      </c>
      <c r="E670" s="2">
        <v>29081</v>
      </c>
      <c r="F670" s="1">
        <v>1451324</v>
      </c>
      <c r="G670" s="1">
        <f t="shared" ca="1" si="23"/>
        <v>47</v>
      </c>
      <c r="H670" s="1"/>
      <c r="I670" s="1"/>
      <c r="J670" s="8"/>
      <c r="K670" s="8"/>
      <c r="L670" s="8"/>
      <c r="M670" s="8"/>
      <c r="N670" s="8"/>
      <c r="O670" s="9"/>
      <c r="P670" s="3"/>
      <c r="Q670" s="8"/>
    </row>
    <row r="671" spans="2:17" x14ac:dyDescent="0.3">
      <c r="B671" s="97">
        <v>670</v>
      </c>
      <c r="C671" s="8"/>
      <c r="D671" s="1" t="s">
        <v>724</v>
      </c>
      <c r="E671" s="2">
        <v>32866</v>
      </c>
      <c r="F671" s="1">
        <v>1218619</v>
      </c>
      <c r="G671" s="1">
        <f t="shared" ca="1" si="23"/>
        <v>37</v>
      </c>
      <c r="H671" s="1"/>
      <c r="I671" s="1"/>
      <c r="J671" s="8"/>
      <c r="K671" s="8"/>
      <c r="L671" s="8"/>
      <c r="M671" s="8"/>
      <c r="N671" s="8"/>
      <c r="O671" s="9"/>
      <c r="P671" s="3"/>
      <c r="Q671" s="8"/>
    </row>
    <row r="672" spans="2:17" x14ac:dyDescent="0.3">
      <c r="B672" s="97">
        <v>671</v>
      </c>
      <c r="C672" s="8"/>
      <c r="D672" s="1" t="s">
        <v>725</v>
      </c>
      <c r="E672" s="2">
        <v>34108</v>
      </c>
      <c r="F672" s="1">
        <v>2380717</v>
      </c>
      <c r="G672" s="1">
        <f t="shared" ca="1" si="23"/>
        <v>33</v>
      </c>
      <c r="H672" s="1"/>
      <c r="I672" s="1"/>
      <c r="J672" s="8"/>
      <c r="K672" s="8"/>
      <c r="L672" s="8"/>
      <c r="M672" s="8"/>
      <c r="N672" s="8"/>
      <c r="O672" s="9"/>
      <c r="P672" s="3"/>
      <c r="Q672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1627"/>
  <sheetViews>
    <sheetView tabSelected="1" view="pageBreakPreview" zoomScaleSheetLayoutView="100" workbookViewId="0">
      <pane ySplit="1" topLeftCell="A1592" activePane="bottomLeft" state="frozen"/>
      <selection pane="bottomLeft" activeCell="A1619" sqref="A1619:L1619"/>
    </sheetView>
  </sheetViews>
  <sheetFormatPr defaultRowHeight="16.5" x14ac:dyDescent="0.3"/>
  <cols>
    <col min="1" max="1" width="9.875" style="1" bestFit="1" customWidth="1"/>
    <col min="2" max="2" width="11" style="132" bestFit="1" customWidth="1"/>
    <col min="3" max="3" width="25.5" style="7" bestFit="1" customWidth="1"/>
    <col min="4" max="4" width="16" style="7" bestFit="1" customWidth="1"/>
    <col min="5" max="5" width="15.875" style="7" customWidth="1"/>
    <col min="6" max="8" width="15.875" customWidth="1"/>
    <col min="9" max="9" width="39.75" bestFit="1" customWidth="1"/>
    <col min="10" max="10" width="24.375" style="7" customWidth="1"/>
    <col min="11" max="11" width="20.625" style="7" customWidth="1"/>
    <col min="12" max="12" width="44.5" customWidth="1"/>
    <col min="14" max="14" width="12.625" customWidth="1"/>
    <col min="16" max="16" width="9" style="4"/>
    <col min="17" max="17" width="9" style="6"/>
  </cols>
  <sheetData>
    <row r="1" spans="1:18" x14ac:dyDescent="0.3">
      <c r="A1" s="1" t="s">
        <v>0</v>
      </c>
      <c r="B1" s="109" t="s">
        <v>726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14</v>
      </c>
      <c r="H1" s="1" t="s">
        <v>5</v>
      </c>
      <c r="I1" s="8" t="s">
        <v>6</v>
      </c>
      <c r="J1" s="1" t="s">
        <v>7</v>
      </c>
      <c r="K1" s="1" t="s">
        <v>727</v>
      </c>
      <c r="L1" s="1" t="s">
        <v>8</v>
      </c>
      <c r="M1" s="1" t="s">
        <v>728</v>
      </c>
      <c r="N1" s="1" t="s">
        <v>729</v>
      </c>
      <c r="O1" s="1" t="s">
        <v>730</v>
      </c>
      <c r="P1" s="3" t="s">
        <v>12</v>
      </c>
      <c r="Q1" s="5" t="s">
        <v>13</v>
      </c>
      <c r="R1" s="1" t="s">
        <v>14</v>
      </c>
    </row>
    <row r="2" spans="1:18" x14ac:dyDescent="0.3">
      <c r="A2" s="388" t="s">
        <v>731</v>
      </c>
      <c r="B2" s="444">
        <v>44198</v>
      </c>
      <c r="C2" s="33" t="s">
        <v>15</v>
      </c>
      <c r="D2" s="34">
        <v>27571</v>
      </c>
      <c r="E2" s="33">
        <v>1005215</v>
      </c>
      <c r="F2" s="33">
        <f t="shared" ref="F2:F15" ca="1" si="0">YEAR(TODAY())-YEAR(D2)</f>
        <v>51</v>
      </c>
      <c r="G2" s="33" t="s">
        <v>732</v>
      </c>
      <c r="H2" s="33"/>
      <c r="I2" s="32" t="s">
        <v>733</v>
      </c>
      <c r="J2" s="33" t="s">
        <v>734</v>
      </c>
      <c r="K2" s="33"/>
      <c r="L2" s="144" t="s">
        <v>735</v>
      </c>
      <c r="M2" s="8" t="s">
        <v>169</v>
      </c>
      <c r="N2" s="8"/>
      <c r="O2" s="8"/>
      <c r="P2" s="9"/>
      <c r="Q2" s="3"/>
      <c r="R2" s="8"/>
    </row>
    <row r="3" spans="1:18" x14ac:dyDescent="0.3">
      <c r="A3" s="388"/>
      <c r="B3" s="445"/>
      <c r="C3" s="33" t="s">
        <v>17</v>
      </c>
      <c r="D3" s="34">
        <v>28010</v>
      </c>
      <c r="E3" s="33">
        <v>2155112</v>
      </c>
      <c r="F3" s="33">
        <f t="shared" ca="1" si="0"/>
        <v>50</v>
      </c>
      <c r="G3" s="33" t="s">
        <v>736</v>
      </c>
      <c r="H3" s="33"/>
      <c r="I3" s="32"/>
      <c r="J3" s="33" t="s">
        <v>737</v>
      </c>
      <c r="K3" s="33"/>
      <c r="L3" s="8"/>
      <c r="M3" s="8"/>
      <c r="N3" s="8"/>
      <c r="O3" s="8"/>
      <c r="P3" s="9"/>
      <c r="Q3" s="3"/>
      <c r="R3" s="8"/>
    </row>
    <row r="4" spans="1:18" x14ac:dyDescent="0.3">
      <c r="A4" s="388"/>
      <c r="B4" s="445"/>
      <c r="C4" s="33" t="s">
        <v>18</v>
      </c>
      <c r="D4" s="34">
        <v>38719</v>
      </c>
      <c r="E4" s="33">
        <v>4017514</v>
      </c>
      <c r="F4" s="33">
        <f t="shared" ca="1" si="0"/>
        <v>20</v>
      </c>
      <c r="G4" s="33"/>
      <c r="H4" s="33"/>
      <c r="I4" s="32"/>
      <c r="J4" s="33"/>
      <c r="K4" s="33"/>
      <c r="L4" s="8" t="s">
        <v>3598</v>
      </c>
      <c r="M4" s="8"/>
      <c r="N4" s="8"/>
      <c r="O4" s="8"/>
      <c r="P4" s="9"/>
      <c r="Q4" s="3"/>
      <c r="R4" s="8"/>
    </row>
    <row r="5" spans="1:18" x14ac:dyDescent="0.3">
      <c r="A5" s="388"/>
      <c r="B5" s="445"/>
      <c r="C5" s="33" t="s">
        <v>19</v>
      </c>
      <c r="D5" s="34">
        <v>39504</v>
      </c>
      <c r="E5" s="33">
        <v>3382116</v>
      </c>
      <c r="F5" s="33">
        <f t="shared" ca="1" si="0"/>
        <v>18</v>
      </c>
      <c r="G5" s="33"/>
      <c r="H5" s="33"/>
      <c r="I5" s="32"/>
      <c r="J5" s="33"/>
      <c r="K5" s="33"/>
      <c r="L5" s="8"/>
      <c r="M5" s="8"/>
      <c r="N5" s="8"/>
      <c r="O5" s="8"/>
      <c r="P5" s="9"/>
      <c r="Q5" s="3"/>
      <c r="R5" s="8"/>
    </row>
    <row r="6" spans="1:18" x14ac:dyDescent="0.3">
      <c r="A6" s="388"/>
      <c r="B6" s="445"/>
      <c r="C6" s="33" t="s">
        <v>20</v>
      </c>
      <c r="D6" s="34">
        <v>40091</v>
      </c>
      <c r="E6" s="33">
        <v>3392712</v>
      </c>
      <c r="F6" s="33">
        <f t="shared" ca="1" si="0"/>
        <v>17</v>
      </c>
      <c r="G6" s="33"/>
      <c r="H6" s="33"/>
      <c r="I6" s="32"/>
      <c r="J6" s="33"/>
      <c r="K6" s="33"/>
      <c r="L6" s="8"/>
      <c r="M6" s="8"/>
      <c r="N6" s="8"/>
      <c r="O6" s="8"/>
      <c r="P6" s="104"/>
      <c r="Q6" s="5"/>
      <c r="R6" s="8"/>
    </row>
    <row r="7" spans="1:18" x14ac:dyDescent="0.3">
      <c r="A7" s="388"/>
      <c r="B7" s="445"/>
      <c r="C7" s="368" t="s">
        <v>3605</v>
      </c>
      <c r="D7" s="34">
        <v>18358</v>
      </c>
      <c r="E7" s="368">
        <v>1005219</v>
      </c>
      <c r="F7" s="368">
        <f t="shared" ca="1" si="0"/>
        <v>76</v>
      </c>
      <c r="G7" s="368" t="s">
        <v>3606</v>
      </c>
      <c r="H7" s="368"/>
      <c r="I7" s="32"/>
      <c r="J7" s="368"/>
      <c r="K7" s="368"/>
      <c r="L7" s="8"/>
      <c r="M7" s="8"/>
      <c r="N7" s="8"/>
      <c r="O7" s="8"/>
      <c r="P7" s="104"/>
      <c r="Q7" s="5"/>
      <c r="R7" s="8"/>
    </row>
    <row r="8" spans="1:18" x14ac:dyDescent="0.3">
      <c r="A8" s="388"/>
      <c r="B8" s="446"/>
      <c r="C8" s="33" t="s">
        <v>21</v>
      </c>
      <c r="D8" s="34">
        <v>18374</v>
      </c>
      <c r="E8" s="33">
        <v>2005216</v>
      </c>
      <c r="F8" s="33">
        <f t="shared" ca="1" si="0"/>
        <v>76</v>
      </c>
      <c r="G8" s="33" t="s">
        <v>738</v>
      </c>
      <c r="H8" s="33"/>
      <c r="I8" s="32"/>
      <c r="J8" s="33"/>
      <c r="K8" s="33"/>
      <c r="L8" s="8"/>
      <c r="M8" s="8"/>
      <c r="N8" s="8"/>
      <c r="O8" s="8"/>
      <c r="P8" s="104"/>
      <c r="Q8" s="5"/>
      <c r="R8" s="8"/>
    </row>
    <row r="9" spans="1:18" x14ac:dyDescent="0.3">
      <c r="A9" s="459" t="s">
        <v>739</v>
      </c>
      <c r="B9" s="447">
        <v>44563</v>
      </c>
      <c r="C9" s="57" t="s">
        <v>26</v>
      </c>
      <c r="D9" s="58">
        <v>29900</v>
      </c>
      <c r="E9" s="57">
        <v>1918416</v>
      </c>
      <c r="F9" s="57">
        <f t="shared" ca="1" si="0"/>
        <v>45</v>
      </c>
      <c r="G9" s="57" t="s">
        <v>740</v>
      </c>
      <c r="H9" s="57"/>
      <c r="I9" s="179" t="s">
        <v>741</v>
      </c>
      <c r="J9" s="57" t="s">
        <v>742</v>
      </c>
      <c r="K9" s="57"/>
      <c r="L9" s="8"/>
      <c r="M9" s="8"/>
      <c r="N9" s="8"/>
      <c r="O9" s="8"/>
      <c r="P9" s="104"/>
      <c r="Q9" s="5"/>
      <c r="R9" s="8"/>
    </row>
    <row r="10" spans="1:18" x14ac:dyDescent="0.3">
      <c r="A10" s="460"/>
      <c r="B10" s="448"/>
      <c r="C10" s="57" t="s">
        <v>743</v>
      </c>
      <c r="D10" s="58">
        <v>31687</v>
      </c>
      <c r="E10" s="57">
        <v>2406015</v>
      </c>
      <c r="F10" s="57">
        <f t="shared" ca="1" si="0"/>
        <v>40</v>
      </c>
      <c r="G10" s="57" t="s">
        <v>744</v>
      </c>
      <c r="H10" s="57"/>
      <c r="I10" s="179"/>
      <c r="J10" s="57" t="s">
        <v>745</v>
      </c>
      <c r="K10" s="57"/>
      <c r="L10" s="8"/>
      <c r="M10" s="8"/>
      <c r="N10" s="8"/>
      <c r="O10" s="8"/>
      <c r="P10" s="104"/>
      <c r="Q10" s="5"/>
      <c r="R10" s="8"/>
    </row>
    <row r="11" spans="1:18" x14ac:dyDescent="0.3">
      <c r="A11" s="460"/>
      <c r="B11" s="448"/>
      <c r="C11" s="57" t="s">
        <v>746</v>
      </c>
      <c r="D11" s="58">
        <v>42013</v>
      </c>
      <c r="E11" s="57">
        <v>4464314</v>
      </c>
      <c r="F11" s="57">
        <f t="shared" ca="1" si="0"/>
        <v>11</v>
      </c>
      <c r="G11" s="57"/>
      <c r="H11" s="57"/>
      <c r="I11" s="179"/>
      <c r="J11" s="57"/>
      <c r="K11" s="57"/>
      <c r="L11" s="8"/>
      <c r="M11" s="8"/>
      <c r="N11" s="8"/>
      <c r="O11" s="8"/>
      <c r="P11" s="104"/>
      <c r="Q11" s="5"/>
      <c r="R11" s="8"/>
    </row>
    <row r="12" spans="1:18" x14ac:dyDescent="0.3">
      <c r="A12" s="461"/>
      <c r="B12" s="449"/>
      <c r="C12" s="57" t="s">
        <v>747</v>
      </c>
      <c r="D12" s="58">
        <v>43503</v>
      </c>
      <c r="E12" s="57">
        <v>3464319</v>
      </c>
      <c r="F12" s="57">
        <f t="shared" ca="1" si="0"/>
        <v>7</v>
      </c>
      <c r="G12" s="57"/>
      <c r="H12" s="57"/>
      <c r="I12" s="179"/>
      <c r="J12" s="57"/>
      <c r="K12" s="57"/>
      <c r="L12" s="8"/>
      <c r="M12" s="8"/>
      <c r="N12" s="8"/>
      <c r="O12" s="8"/>
      <c r="P12" s="104"/>
      <c r="Q12" s="5"/>
      <c r="R12" s="8"/>
    </row>
    <row r="13" spans="1:18" x14ac:dyDescent="0.3">
      <c r="A13" s="431" t="s">
        <v>748</v>
      </c>
      <c r="B13" s="116">
        <v>44928</v>
      </c>
      <c r="C13" s="22" t="s">
        <v>749</v>
      </c>
      <c r="D13" s="25">
        <v>22772</v>
      </c>
      <c r="E13" s="22">
        <v>1798016</v>
      </c>
      <c r="F13" s="22">
        <f t="shared" ca="1" si="0"/>
        <v>64</v>
      </c>
      <c r="G13" s="22" t="s">
        <v>750</v>
      </c>
      <c r="H13" s="22"/>
      <c r="I13" s="21" t="s">
        <v>751</v>
      </c>
      <c r="J13" s="22" t="s">
        <v>752</v>
      </c>
      <c r="K13" s="22"/>
      <c r="L13" s="145" t="s">
        <v>753</v>
      </c>
      <c r="M13" s="8"/>
      <c r="N13" s="8"/>
      <c r="O13" s="8"/>
      <c r="P13" s="9"/>
      <c r="Q13" s="3"/>
      <c r="R13" s="8"/>
    </row>
    <row r="14" spans="1:18" x14ac:dyDescent="0.3">
      <c r="A14" s="432"/>
      <c r="B14" s="127"/>
      <c r="C14" s="22" t="s">
        <v>754</v>
      </c>
      <c r="D14" s="25">
        <v>24166</v>
      </c>
      <c r="E14" s="22">
        <v>2777719</v>
      </c>
      <c r="F14" s="22">
        <f t="shared" ca="1" si="0"/>
        <v>60</v>
      </c>
      <c r="G14" s="22" t="s">
        <v>755</v>
      </c>
      <c r="H14" s="22"/>
      <c r="I14" s="21"/>
      <c r="J14" s="22" t="s">
        <v>756</v>
      </c>
      <c r="K14" s="22"/>
      <c r="L14" s="8"/>
      <c r="M14" s="8"/>
      <c r="N14" s="8"/>
      <c r="O14" s="8"/>
      <c r="P14" s="9"/>
      <c r="Q14" s="3"/>
      <c r="R14" s="8"/>
    </row>
    <row r="15" spans="1:18" ht="33" x14ac:dyDescent="0.3">
      <c r="A15" s="137" t="s">
        <v>757</v>
      </c>
      <c r="B15" s="118">
        <v>44929</v>
      </c>
      <c r="C15" s="40" t="s">
        <v>299</v>
      </c>
      <c r="D15" s="41">
        <v>28377</v>
      </c>
      <c r="E15" s="40">
        <v>1455911</v>
      </c>
      <c r="F15" s="40">
        <f t="shared" ca="1" si="0"/>
        <v>49</v>
      </c>
      <c r="G15" s="40" t="s">
        <v>758</v>
      </c>
      <c r="H15" s="40"/>
      <c r="I15" s="39" t="s">
        <v>759</v>
      </c>
      <c r="J15" s="180" t="s">
        <v>760</v>
      </c>
      <c r="K15" s="180"/>
      <c r="L15" s="144" t="s">
        <v>761</v>
      </c>
      <c r="M15" s="8"/>
      <c r="N15" s="8"/>
      <c r="O15" s="8"/>
      <c r="P15" s="104"/>
      <c r="Q15" s="5"/>
      <c r="R15" s="8"/>
    </row>
    <row r="16" spans="1:18" x14ac:dyDescent="0.3">
      <c r="A16" s="408" t="s">
        <v>762</v>
      </c>
      <c r="B16" s="450">
        <v>44564</v>
      </c>
      <c r="C16" s="30" t="s">
        <v>28</v>
      </c>
      <c r="D16" s="31">
        <v>31752</v>
      </c>
      <c r="E16" s="30">
        <v>2852415</v>
      </c>
      <c r="F16" s="30">
        <f ca="1">YEAR(TODAY())-YEAR(D16)</f>
        <v>40</v>
      </c>
      <c r="G16" s="30" t="s">
        <v>763</v>
      </c>
      <c r="H16" s="30"/>
      <c r="I16" s="29" t="s">
        <v>764</v>
      </c>
      <c r="J16" s="30" t="s">
        <v>765</v>
      </c>
      <c r="K16" s="30"/>
      <c r="L16" s="8" t="s">
        <v>3560</v>
      </c>
      <c r="M16" s="8"/>
      <c r="N16" s="8"/>
      <c r="O16" s="8"/>
      <c r="P16" s="104"/>
      <c r="Q16" s="5"/>
      <c r="R16" s="8"/>
    </row>
    <row r="17" spans="1:70" x14ac:dyDescent="0.3">
      <c r="A17" s="409"/>
      <c r="B17" s="451"/>
      <c r="C17" s="30" t="s">
        <v>27</v>
      </c>
      <c r="D17" s="31">
        <v>30906</v>
      </c>
      <c r="E17" s="30">
        <v>1459910</v>
      </c>
      <c r="F17" s="30">
        <f ca="1">YEAR(TODAY())-YEAR(D17)</f>
        <v>42</v>
      </c>
      <c r="G17" s="30" t="s">
        <v>766</v>
      </c>
      <c r="H17" s="30"/>
      <c r="I17" s="29"/>
      <c r="J17" s="30" t="s">
        <v>767</v>
      </c>
      <c r="K17" s="30"/>
      <c r="L17" s="8"/>
      <c r="M17" s="8"/>
      <c r="N17" s="8"/>
      <c r="O17" s="8"/>
      <c r="P17" s="104"/>
      <c r="Q17" s="5"/>
      <c r="R17" s="8"/>
    </row>
    <row r="18" spans="1:70" x14ac:dyDescent="0.3">
      <c r="A18" s="409"/>
      <c r="B18" s="452"/>
      <c r="C18" s="30" t="s">
        <v>29</v>
      </c>
      <c r="D18" s="31">
        <v>42132</v>
      </c>
      <c r="E18" s="30">
        <v>3412725</v>
      </c>
      <c r="F18" s="30">
        <f ca="1">YEAR(TODAY())-YEAR(D18)</f>
        <v>11</v>
      </c>
      <c r="G18" s="30"/>
      <c r="H18" s="30"/>
      <c r="I18" s="29"/>
      <c r="J18" s="30"/>
      <c r="K18" s="30"/>
      <c r="L18" s="8"/>
      <c r="M18" s="8"/>
      <c r="N18" s="8"/>
      <c r="O18" s="8"/>
      <c r="P18" s="104"/>
      <c r="Q18" s="5"/>
      <c r="R18" s="8"/>
    </row>
    <row r="19" spans="1:70" x14ac:dyDescent="0.3">
      <c r="A19" s="379"/>
      <c r="B19" s="364"/>
      <c r="C19" s="363" t="s">
        <v>3561</v>
      </c>
      <c r="D19" s="31">
        <v>43432</v>
      </c>
      <c r="E19" s="363">
        <v>44122611</v>
      </c>
      <c r="F19" s="363">
        <f ca="1">YEAR(TODAY())-YEAR(D19)</f>
        <v>8</v>
      </c>
      <c r="G19" s="363"/>
      <c r="H19" s="363"/>
      <c r="I19" s="29"/>
      <c r="J19" s="363"/>
      <c r="K19" s="363"/>
      <c r="L19" s="8"/>
      <c r="M19" s="8"/>
      <c r="N19" s="8"/>
      <c r="O19" s="8"/>
      <c r="P19" s="104"/>
      <c r="Q19" s="5"/>
      <c r="R19" s="8"/>
    </row>
    <row r="20" spans="1:70" x14ac:dyDescent="0.3">
      <c r="A20" s="390" t="s">
        <v>768</v>
      </c>
      <c r="B20" s="119">
        <v>44931</v>
      </c>
      <c r="C20" s="36" t="s">
        <v>412</v>
      </c>
      <c r="D20" s="37">
        <v>24638</v>
      </c>
      <c r="E20" s="36">
        <v>1628116</v>
      </c>
      <c r="F20" s="36">
        <f t="shared" ref="F20:F21" ca="1" si="1">YEAR(TODAY())-YEAR(D20)</f>
        <v>59</v>
      </c>
      <c r="G20" s="36" t="s">
        <v>769</v>
      </c>
      <c r="H20" s="36"/>
      <c r="I20" s="35" t="s">
        <v>770</v>
      </c>
      <c r="J20" s="36" t="s">
        <v>771</v>
      </c>
      <c r="K20" s="36"/>
      <c r="L20" s="8" t="s">
        <v>772</v>
      </c>
      <c r="M20" s="8"/>
      <c r="N20" s="8"/>
      <c r="O20" s="8"/>
      <c r="P20" s="104"/>
      <c r="Q20" s="5"/>
      <c r="R20" s="8"/>
    </row>
    <row r="21" spans="1:70" x14ac:dyDescent="0.3">
      <c r="A21" s="458"/>
      <c r="B21" s="120"/>
      <c r="C21" s="36" t="s">
        <v>414</v>
      </c>
      <c r="D21" s="37">
        <v>34851</v>
      </c>
      <c r="E21" s="36">
        <v>1209410</v>
      </c>
      <c r="F21" s="36">
        <f t="shared" ca="1" si="1"/>
        <v>31</v>
      </c>
      <c r="G21" s="36" t="s">
        <v>773</v>
      </c>
      <c r="H21" s="36"/>
      <c r="I21" s="35"/>
      <c r="J21" s="36" t="s">
        <v>432</v>
      </c>
      <c r="K21" s="36" t="s">
        <v>432</v>
      </c>
      <c r="L21" s="8" t="s">
        <v>774</v>
      </c>
      <c r="M21" s="8"/>
      <c r="N21" s="8"/>
      <c r="O21" s="8"/>
      <c r="P21" s="104"/>
      <c r="Q21" s="5"/>
      <c r="R21" s="8"/>
    </row>
    <row r="22" spans="1:70" x14ac:dyDescent="0.3">
      <c r="A22" s="379"/>
      <c r="B22" s="120"/>
      <c r="C22" s="36" t="s">
        <v>775</v>
      </c>
      <c r="D22" s="37">
        <v>24409</v>
      </c>
      <c r="E22" s="36">
        <v>2628211</v>
      </c>
      <c r="F22" s="36"/>
      <c r="G22" s="36" t="s">
        <v>776</v>
      </c>
      <c r="H22" s="36"/>
      <c r="I22" s="35"/>
      <c r="J22" s="36"/>
      <c r="K22" s="36"/>
      <c r="L22" s="8"/>
      <c r="M22" s="8"/>
      <c r="N22" s="8"/>
      <c r="O22" s="8"/>
      <c r="P22" s="104"/>
      <c r="Q22" s="5"/>
      <c r="R22" s="8"/>
    </row>
    <row r="23" spans="1:70" x14ac:dyDescent="0.3">
      <c r="A23" s="181" t="s">
        <v>777</v>
      </c>
      <c r="B23" s="116">
        <v>44201</v>
      </c>
      <c r="C23" s="22" t="s">
        <v>30</v>
      </c>
      <c r="D23" s="25">
        <v>28591</v>
      </c>
      <c r="E23" s="22">
        <v>1804712</v>
      </c>
      <c r="F23" s="22">
        <f ca="1">YEAR(TODAY())-YEAR(D23)</f>
        <v>48</v>
      </c>
      <c r="G23" s="22" t="s">
        <v>778</v>
      </c>
      <c r="H23" s="22"/>
      <c r="I23" s="21" t="s">
        <v>779</v>
      </c>
      <c r="J23" s="22" t="s">
        <v>780</v>
      </c>
      <c r="K23" s="22" t="s">
        <v>781</v>
      </c>
      <c r="L23" s="8"/>
      <c r="M23" s="8"/>
      <c r="N23" s="8"/>
      <c r="O23" s="8"/>
      <c r="P23" s="104"/>
      <c r="Q23" s="5"/>
      <c r="R23" s="8"/>
    </row>
    <row r="24" spans="1:70" x14ac:dyDescent="0.3">
      <c r="A24" s="381" t="s">
        <v>782</v>
      </c>
      <c r="B24" s="115">
        <v>44932</v>
      </c>
      <c r="C24" s="1" t="s">
        <v>783</v>
      </c>
      <c r="D24" s="2">
        <v>27508</v>
      </c>
      <c r="E24" s="1">
        <v>2899516</v>
      </c>
      <c r="F24" s="1">
        <f t="shared" ref="F24:F27" ca="1" si="2">YEAR(TODAY())-YEAR(D24)</f>
        <v>51</v>
      </c>
      <c r="G24" s="1" t="s">
        <v>784</v>
      </c>
      <c r="H24" s="1"/>
      <c r="I24" s="8" t="s">
        <v>785</v>
      </c>
      <c r="J24" s="1" t="s">
        <v>786</v>
      </c>
      <c r="K24" s="1" t="s">
        <v>432</v>
      </c>
      <c r="L24" s="8"/>
      <c r="M24" s="8"/>
      <c r="N24" s="8"/>
      <c r="O24" s="8"/>
      <c r="P24" s="104"/>
      <c r="Q24" s="5"/>
      <c r="R24" s="8"/>
    </row>
    <row r="25" spans="1:70" x14ac:dyDescent="0.3">
      <c r="A25" s="384"/>
      <c r="B25" s="115"/>
      <c r="C25" s="1" t="s">
        <v>787</v>
      </c>
      <c r="D25" s="2">
        <v>17315</v>
      </c>
      <c r="E25" s="1">
        <v>2899612</v>
      </c>
      <c r="F25" s="1"/>
      <c r="G25" s="1" t="s">
        <v>788</v>
      </c>
      <c r="H25" s="1"/>
      <c r="I25" s="8"/>
      <c r="J25" s="1"/>
      <c r="K25" s="1"/>
      <c r="L25" s="8" t="s">
        <v>789</v>
      </c>
      <c r="M25" s="8"/>
      <c r="N25" s="8"/>
      <c r="O25" s="8"/>
      <c r="P25" s="104"/>
      <c r="Q25" s="5"/>
      <c r="R25" s="8"/>
    </row>
    <row r="26" spans="1:70" x14ac:dyDescent="0.3">
      <c r="A26" s="379"/>
      <c r="B26" s="115"/>
      <c r="C26" s="1" t="s">
        <v>790</v>
      </c>
      <c r="D26" s="2">
        <v>17294</v>
      </c>
      <c r="E26" s="1">
        <v>1899617</v>
      </c>
      <c r="F26" s="1"/>
      <c r="G26" s="1" t="s">
        <v>791</v>
      </c>
      <c r="H26" s="1"/>
      <c r="I26" s="8"/>
      <c r="J26" s="1"/>
      <c r="K26" s="1"/>
      <c r="L26" s="8"/>
      <c r="M26" s="8"/>
      <c r="N26" s="8"/>
      <c r="O26" s="8"/>
      <c r="P26" s="104"/>
      <c r="Q26" s="5"/>
      <c r="R26" s="8"/>
    </row>
    <row r="27" spans="1:70" ht="33" x14ac:dyDescent="0.3">
      <c r="A27" s="402" t="s">
        <v>792</v>
      </c>
      <c r="B27" s="118">
        <v>44933</v>
      </c>
      <c r="C27" s="40" t="s">
        <v>793</v>
      </c>
      <c r="D27" s="41">
        <v>30602</v>
      </c>
      <c r="E27" s="40">
        <v>1468439</v>
      </c>
      <c r="F27" s="40">
        <f t="shared" ca="1" si="2"/>
        <v>43</v>
      </c>
      <c r="G27" s="40"/>
      <c r="H27" s="40"/>
      <c r="I27" s="39" t="s">
        <v>794</v>
      </c>
      <c r="J27" s="180" t="s">
        <v>795</v>
      </c>
      <c r="K27" s="40" t="s">
        <v>432</v>
      </c>
      <c r="L27" s="8"/>
      <c r="M27" s="8"/>
      <c r="N27" s="8"/>
      <c r="O27" s="8"/>
      <c r="P27" s="104"/>
      <c r="Q27" s="5"/>
      <c r="R27" s="8"/>
    </row>
    <row r="28" spans="1:70" ht="33" x14ac:dyDescent="0.3">
      <c r="A28" s="403"/>
      <c r="B28" s="124"/>
      <c r="C28" s="40" t="s">
        <v>796</v>
      </c>
      <c r="D28" s="41">
        <v>30690</v>
      </c>
      <c r="E28" s="40">
        <v>2222622</v>
      </c>
      <c r="F28" s="40">
        <f t="shared" ref="F28" ca="1" si="3">YEAR(TODAY())-YEAR(D28)</f>
        <v>42</v>
      </c>
      <c r="G28" s="40" t="s">
        <v>797</v>
      </c>
      <c r="H28" s="40"/>
      <c r="I28" s="39"/>
      <c r="J28" s="180" t="s">
        <v>798</v>
      </c>
      <c r="K28" s="40" t="s">
        <v>432</v>
      </c>
      <c r="L28" s="8"/>
      <c r="M28" s="8"/>
      <c r="N28" s="8"/>
      <c r="O28" s="8"/>
      <c r="P28" s="104"/>
      <c r="Q28" s="5"/>
      <c r="R28" s="8"/>
    </row>
    <row r="29" spans="1:70" x14ac:dyDescent="0.3">
      <c r="A29" s="183" t="s">
        <v>799</v>
      </c>
      <c r="B29" s="112">
        <v>44568</v>
      </c>
      <c r="C29" s="30" t="s">
        <v>34</v>
      </c>
      <c r="D29" s="31">
        <v>20853</v>
      </c>
      <c r="E29" s="30">
        <v>1475917</v>
      </c>
      <c r="F29" s="30">
        <f t="shared" ref="F29:F82" ca="1" si="4">YEAR(TODAY())-YEAR(D29)</f>
        <v>69</v>
      </c>
      <c r="G29" s="30" t="s">
        <v>800</v>
      </c>
      <c r="H29" s="30"/>
      <c r="I29" s="29" t="s">
        <v>801</v>
      </c>
      <c r="J29" s="30" t="s">
        <v>802</v>
      </c>
      <c r="K29" s="30" t="s">
        <v>803</v>
      </c>
      <c r="L29" s="8"/>
      <c r="M29" s="8"/>
      <c r="N29" s="8"/>
      <c r="O29" s="8"/>
      <c r="P29" s="104"/>
      <c r="Q29" s="5"/>
      <c r="R29" s="8"/>
    </row>
    <row r="30" spans="1:70" x14ac:dyDescent="0.3">
      <c r="A30" s="1" t="s">
        <v>804</v>
      </c>
      <c r="B30" s="150" t="s">
        <v>805</v>
      </c>
      <c r="C30" s="1" t="s">
        <v>806</v>
      </c>
      <c r="D30" s="2">
        <v>29078</v>
      </c>
      <c r="E30" s="1">
        <v>1457813</v>
      </c>
      <c r="F30" s="8"/>
      <c r="G30" s="1" t="s">
        <v>807</v>
      </c>
      <c r="H30" s="8"/>
      <c r="I30" s="8" t="s">
        <v>362</v>
      </c>
      <c r="J30" s="1"/>
      <c r="K30" s="1"/>
      <c r="L30" s="8" t="s">
        <v>808</v>
      </c>
      <c r="M30" s="8"/>
      <c r="N30" s="8"/>
      <c r="O30" s="8"/>
      <c r="P30" s="9"/>
      <c r="Q30" s="3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</row>
    <row r="31" spans="1:70" x14ac:dyDescent="0.3">
      <c r="A31" s="184" t="s">
        <v>809</v>
      </c>
      <c r="B31" s="117">
        <v>44935</v>
      </c>
      <c r="C31" s="27" t="s">
        <v>601</v>
      </c>
      <c r="D31" s="28">
        <v>29408</v>
      </c>
      <c r="E31" s="27">
        <v>1120722</v>
      </c>
      <c r="F31" s="27">
        <f t="shared" ca="1" si="4"/>
        <v>46</v>
      </c>
      <c r="G31" s="27" t="s">
        <v>810</v>
      </c>
      <c r="H31" s="27"/>
      <c r="I31" s="26" t="s">
        <v>811</v>
      </c>
      <c r="J31" s="27" t="s">
        <v>432</v>
      </c>
      <c r="K31" s="27" t="s">
        <v>803</v>
      </c>
      <c r="L31" s="8"/>
      <c r="M31" s="8"/>
      <c r="N31" s="8"/>
      <c r="O31" s="8"/>
      <c r="P31" s="104"/>
      <c r="Q31" s="5"/>
      <c r="R31" s="8"/>
    </row>
    <row r="32" spans="1:70" s="185" customFormat="1" x14ac:dyDescent="0.3">
      <c r="A32" s="394" t="s">
        <v>812</v>
      </c>
      <c r="B32" s="119">
        <v>44935</v>
      </c>
      <c r="C32" s="36" t="s">
        <v>631</v>
      </c>
      <c r="D32" s="37">
        <v>28168</v>
      </c>
      <c r="E32" s="36">
        <v>1080517</v>
      </c>
      <c r="F32" s="36">
        <f t="shared" ca="1" si="4"/>
        <v>49</v>
      </c>
      <c r="G32" s="36" t="s">
        <v>813</v>
      </c>
      <c r="H32" s="36"/>
      <c r="I32" s="35" t="s">
        <v>814</v>
      </c>
      <c r="J32" s="36" t="s">
        <v>815</v>
      </c>
      <c r="K32" s="36" t="s">
        <v>432</v>
      </c>
      <c r="L32" s="8"/>
      <c r="M32" s="8"/>
      <c r="N32" s="8"/>
      <c r="O32" s="8"/>
      <c r="P32" s="104"/>
      <c r="Q32" s="5"/>
      <c r="R32" s="8"/>
    </row>
    <row r="33" spans="1:18" s="185" customFormat="1" x14ac:dyDescent="0.3">
      <c r="A33" s="401"/>
      <c r="B33" s="120"/>
      <c r="C33" s="36" t="s">
        <v>632</v>
      </c>
      <c r="D33" s="37">
        <v>29276</v>
      </c>
      <c r="E33" s="36">
        <v>2042925</v>
      </c>
      <c r="F33" s="36">
        <f t="shared" ca="1" si="4"/>
        <v>46</v>
      </c>
      <c r="G33" s="36" t="s">
        <v>816</v>
      </c>
      <c r="H33" s="36"/>
      <c r="I33" s="35"/>
      <c r="J33" s="36" t="s">
        <v>432</v>
      </c>
      <c r="K33" s="36" t="s">
        <v>432</v>
      </c>
      <c r="L33" s="8"/>
      <c r="M33" s="8"/>
      <c r="N33" s="8"/>
      <c r="O33" s="8"/>
      <c r="P33" s="104"/>
      <c r="Q33" s="5"/>
      <c r="R33" s="8"/>
    </row>
    <row r="34" spans="1:18" s="185" customFormat="1" x14ac:dyDescent="0.3">
      <c r="A34" s="401"/>
      <c r="B34" s="120"/>
      <c r="C34" s="36" t="s">
        <v>633</v>
      </c>
      <c r="D34" s="37">
        <v>39730</v>
      </c>
      <c r="E34" s="36">
        <v>3165617</v>
      </c>
      <c r="F34" s="36">
        <f t="shared" ca="1" si="4"/>
        <v>18</v>
      </c>
      <c r="G34" s="36"/>
      <c r="H34" s="36"/>
      <c r="I34" s="35"/>
      <c r="J34" s="36"/>
      <c r="K34" s="36"/>
      <c r="L34" s="8"/>
      <c r="M34" s="8"/>
      <c r="N34" s="8"/>
      <c r="O34" s="8"/>
      <c r="P34" s="104"/>
      <c r="Q34" s="5"/>
      <c r="R34" s="8"/>
    </row>
    <row r="35" spans="1:18" s="185" customFormat="1" x14ac:dyDescent="0.3">
      <c r="A35" s="401"/>
      <c r="B35" s="120"/>
      <c r="C35" s="36" t="s">
        <v>634</v>
      </c>
      <c r="D35" s="37">
        <v>41029</v>
      </c>
      <c r="E35" s="36">
        <v>3412028</v>
      </c>
      <c r="F35" s="36">
        <f t="shared" ca="1" si="4"/>
        <v>14</v>
      </c>
      <c r="G35" s="36"/>
      <c r="H35" s="36"/>
      <c r="I35" s="35"/>
      <c r="J35" s="36"/>
      <c r="K35" s="36"/>
      <c r="L35" s="8"/>
      <c r="M35" s="8"/>
      <c r="N35" s="8"/>
      <c r="O35" s="8"/>
      <c r="P35" s="104"/>
      <c r="Q35" s="5"/>
      <c r="R35" s="8"/>
    </row>
    <row r="36" spans="1:18" x14ac:dyDescent="0.3">
      <c r="A36" s="462" t="s">
        <v>817</v>
      </c>
      <c r="B36" s="150" t="s">
        <v>818</v>
      </c>
      <c r="C36" s="1" t="s">
        <v>819</v>
      </c>
      <c r="D36" s="2">
        <v>23877</v>
      </c>
      <c r="E36" s="1">
        <v>2478319</v>
      </c>
      <c r="F36" s="8"/>
      <c r="G36" s="1" t="s">
        <v>820</v>
      </c>
      <c r="H36" s="8"/>
      <c r="I36" s="8"/>
      <c r="J36" s="1"/>
      <c r="K36" s="1"/>
      <c r="L36" s="8" t="s">
        <v>821</v>
      </c>
      <c r="M36" s="8"/>
      <c r="N36" s="8"/>
      <c r="O36" s="8"/>
    </row>
    <row r="37" spans="1:18" x14ac:dyDescent="0.3">
      <c r="A37" s="464"/>
      <c r="B37" s="150"/>
      <c r="C37" s="1" t="s">
        <v>822</v>
      </c>
      <c r="D37" s="2">
        <v>22438</v>
      </c>
      <c r="E37" s="1">
        <v>1474419</v>
      </c>
      <c r="F37" s="8"/>
      <c r="G37" s="1" t="s">
        <v>823</v>
      </c>
      <c r="H37" s="8"/>
      <c r="I37" s="8"/>
      <c r="J37" s="1"/>
      <c r="K37" s="1"/>
      <c r="L37" s="8"/>
      <c r="M37" s="8"/>
      <c r="N37" s="8"/>
      <c r="O37" s="8"/>
    </row>
    <row r="38" spans="1:18" x14ac:dyDescent="0.3">
      <c r="A38" s="464"/>
      <c r="B38" s="150"/>
      <c r="C38" s="1" t="s">
        <v>824</v>
      </c>
      <c r="D38" s="2">
        <v>34413</v>
      </c>
      <c r="E38" s="1">
        <v>2466319</v>
      </c>
      <c r="F38" s="8"/>
      <c r="G38" s="1" t="s">
        <v>825</v>
      </c>
      <c r="H38" s="8"/>
      <c r="I38" s="8"/>
      <c r="J38" s="1"/>
      <c r="K38" s="1"/>
      <c r="L38" s="8" t="s">
        <v>826</v>
      </c>
      <c r="M38" s="8"/>
      <c r="N38" s="8"/>
      <c r="O38" s="8"/>
    </row>
    <row r="39" spans="1:18" x14ac:dyDescent="0.3">
      <c r="A39" s="465"/>
      <c r="B39" s="150"/>
      <c r="C39" s="1" t="s">
        <v>827</v>
      </c>
      <c r="D39" s="2">
        <v>33816</v>
      </c>
      <c r="E39" s="1">
        <v>1466327</v>
      </c>
      <c r="F39" s="8"/>
      <c r="G39" s="1"/>
      <c r="H39" s="8"/>
      <c r="I39" s="8"/>
      <c r="J39" s="1"/>
      <c r="K39" s="1"/>
      <c r="L39" s="8"/>
      <c r="M39" s="8"/>
      <c r="N39" s="8"/>
      <c r="O39" s="8"/>
    </row>
    <row r="40" spans="1:18" x14ac:dyDescent="0.3">
      <c r="A40" s="408" t="s">
        <v>828</v>
      </c>
      <c r="B40" s="112">
        <v>44937</v>
      </c>
      <c r="C40" s="30" t="s">
        <v>829</v>
      </c>
      <c r="D40" s="31">
        <v>20595</v>
      </c>
      <c r="E40" s="30">
        <v>1535618</v>
      </c>
      <c r="F40" s="30">
        <f t="shared" ca="1" si="4"/>
        <v>70</v>
      </c>
      <c r="G40" s="312" t="s">
        <v>3308</v>
      </c>
      <c r="H40" s="30"/>
      <c r="I40" s="29" t="s">
        <v>830</v>
      </c>
      <c r="J40" s="30" t="s">
        <v>831</v>
      </c>
      <c r="K40" s="30" t="s">
        <v>432</v>
      </c>
      <c r="L40" s="8" t="s">
        <v>3307</v>
      </c>
      <c r="M40" s="8"/>
      <c r="N40" s="8"/>
      <c r="O40" s="8"/>
      <c r="P40" s="104"/>
      <c r="Q40" s="5"/>
      <c r="R40" s="8"/>
    </row>
    <row r="41" spans="1:18" ht="33" x14ac:dyDescent="0.3">
      <c r="A41" s="409"/>
      <c r="B41" s="113"/>
      <c r="C41" s="30" t="s">
        <v>832</v>
      </c>
      <c r="D41" s="31">
        <v>31001</v>
      </c>
      <c r="E41" s="30">
        <v>2523018</v>
      </c>
      <c r="F41" s="30">
        <f t="shared" ca="1" si="4"/>
        <v>42</v>
      </c>
      <c r="G41" s="30" t="s">
        <v>833</v>
      </c>
      <c r="H41" s="30"/>
      <c r="I41" s="29"/>
      <c r="J41" s="186" t="s">
        <v>834</v>
      </c>
      <c r="K41" s="30" t="s">
        <v>835</v>
      </c>
      <c r="L41" s="8"/>
      <c r="M41" s="8"/>
      <c r="N41" s="8"/>
      <c r="O41" s="8"/>
      <c r="P41" s="104"/>
      <c r="Q41" s="5"/>
      <c r="R41" s="8"/>
    </row>
    <row r="42" spans="1:18" x14ac:dyDescent="0.3">
      <c r="A42" s="409"/>
      <c r="B42" s="113"/>
      <c r="C42" s="30" t="s">
        <v>836</v>
      </c>
      <c r="D42" s="31">
        <v>45189</v>
      </c>
      <c r="E42" s="30">
        <v>3676896</v>
      </c>
      <c r="F42" s="30"/>
      <c r="G42" s="30"/>
      <c r="H42" s="30"/>
      <c r="I42" s="29"/>
      <c r="J42" s="186"/>
      <c r="K42" s="30"/>
      <c r="L42" s="8"/>
      <c r="M42" s="8"/>
      <c r="N42" s="8"/>
      <c r="O42" s="8"/>
      <c r="P42" s="104"/>
      <c r="Q42" s="5"/>
      <c r="R42" s="8"/>
    </row>
    <row r="43" spans="1:18" x14ac:dyDescent="0.3">
      <c r="A43" s="409"/>
      <c r="B43" s="113"/>
      <c r="C43" s="30" t="s">
        <v>837</v>
      </c>
      <c r="D43" s="31">
        <v>21114</v>
      </c>
      <c r="E43" s="30">
        <v>2539198</v>
      </c>
      <c r="F43" s="30">
        <f t="shared" ca="1" si="4"/>
        <v>69</v>
      </c>
      <c r="G43" s="312" t="s">
        <v>3306</v>
      </c>
      <c r="H43" s="30"/>
      <c r="I43" s="29"/>
      <c r="J43" s="30" t="s">
        <v>432</v>
      </c>
      <c r="K43" s="30" t="s">
        <v>432</v>
      </c>
      <c r="L43" s="8" t="s">
        <v>3307</v>
      </c>
      <c r="M43" s="8"/>
      <c r="N43" s="8"/>
      <c r="O43" s="8"/>
      <c r="P43" s="104"/>
      <c r="Q43" s="5"/>
      <c r="R43" s="8"/>
    </row>
    <row r="44" spans="1:18" x14ac:dyDescent="0.3">
      <c r="A44" s="18" t="s">
        <v>838</v>
      </c>
      <c r="B44" s="122">
        <v>44938</v>
      </c>
      <c r="C44" s="18" t="s">
        <v>50</v>
      </c>
      <c r="D44" s="19">
        <v>35079</v>
      </c>
      <c r="E44" s="18">
        <v>1411823</v>
      </c>
      <c r="F44" s="18">
        <f t="shared" ca="1" si="4"/>
        <v>30</v>
      </c>
      <c r="G44" s="18" t="s">
        <v>839</v>
      </c>
      <c r="H44" s="18"/>
      <c r="I44" s="17" t="s">
        <v>840</v>
      </c>
      <c r="J44" s="18" t="s">
        <v>432</v>
      </c>
      <c r="K44" s="18" t="s">
        <v>432</v>
      </c>
      <c r="L44" s="8"/>
      <c r="M44" s="8"/>
      <c r="N44" s="8"/>
      <c r="O44" s="8"/>
      <c r="P44" s="104"/>
      <c r="Q44" s="5"/>
      <c r="R44" s="8"/>
    </row>
    <row r="45" spans="1:18" x14ac:dyDescent="0.3">
      <c r="A45" s="182" t="s">
        <v>841</v>
      </c>
      <c r="B45" s="115">
        <v>44938</v>
      </c>
      <c r="C45" s="1" t="s">
        <v>842</v>
      </c>
      <c r="D45" s="2">
        <v>32716</v>
      </c>
      <c r="E45" s="1">
        <v>1629725</v>
      </c>
      <c r="F45" s="1">
        <f t="shared" ca="1" si="4"/>
        <v>37</v>
      </c>
      <c r="G45" s="1"/>
      <c r="H45" s="1"/>
      <c r="I45" s="8" t="s">
        <v>843</v>
      </c>
      <c r="J45" s="1" t="s">
        <v>432</v>
      </c>
      <c r="K45" s="1" t="s">
        <v>432</v>
      </c>
      <c r="L45" s="8"/>
      <c r="M45" s="8"/>
      <c r="N45" s="8"/>
      <c r="O45" s="8"/>
      <c r="P45" s="104"/>
      <c r="Q45" s="5"/>
      <c r="R45" s="8"/>
    </row>
    <row r="46" spans="1:18" x14ac:dyDescent="0.3">
      <c r="A46" s="184" t="s">
        <v>844</v>
      </c>
      <c r="B46" s="117">
        <v>44938</v>
      </c>
      <c r="C46" s="27" t="s">
        <v>845</v>
      </c>
      <c r="D46" s="28">
        <v>26037</v>
      </c>
      <c r="E46" s="27">
        <v>2470610</v>
      </c>
      <c r="F46" s="27">
        <f t="shared" ca="1" si="4"/>
        <v>55</v>
      </c>
      <c r="G46" s="27" t="s">
        <v>846</v>
      </c>
      <c r="H46" s="27"/>
      <c r="I46" s="26" t="s">
        <v>847</v>
      </c>
      <c r="J46" s="27" t="s">
        <v>432</v>
      </c>
      <c r="K46" s="27" t="s">
        <v>432</v>
      </c>
      <c r="L46" s="8"/>
      <c r="M46" s="8"/>
      <c r="N46" s="8"/>
      <c r="O46" s="8"/>
      <c r="P46" s="104"/>
      <c r="Q46" s="5"/>
      <c r="R46" s="8"/>
    </row>
    <row r="47" spans="1:18" x14ac:dyDescent="0.3">
      <c r="A47" s="187" t="s">
        <v>848</v>
      </c>
      <c r="B47" s="118">
        <v>44574</v>
      </c>
      <c r="C47" s="40" t="s">
        <v>36</v>
      </c>
      <c r="D47" s="41">
        <v>20117</v>
      </c>
      <c r="E47" s="40">
        <v>1167625</v>
      </c>
      <c r="F47" s="40">
        <f t="shared" ca="1" si="4"/>
        <v>71</v>
      </c>
      <c r="G47" s="40" t="s">
        <v>849</v>
      </c>
      <c r="H47" s="40"/>
      <c r="I47" s="39" t="s">
        <v>850</v>
      </c>
      <c r="J47" s="40" t="s">
        <v>851</v>
      </c>
      <c r="K47" s="40" t="s">
        <v>432</v>
      </c>
      <c r="L47" s="8"/>
      <c r="M47" s="8"/>
      <c r="N47" s="8"/>
      <c r="O47" s="8"/>
      <c r="P47" s="104"/>
      <c r="Q47" s="5"/>
      <c r="R47" s="8"/>
    </row>
    <row r="48" spans="1:18" x14ac:dyDescent="0.3">
      <c r="A48" s="380" t="s">
        <v>852</v>
      </c>
      <c r="B48" s="115">
        <v>44939</v>
      </c>
      <c r="C48" s="1" t="s">
        <v>568</v>
      </c>
      <c r="D48" s="2">
        <v>30072</v>
      </c>
      <c r="E48" s="1">
        <v>1348037</v>
      </c>
      <c r="F48" s="1">
        <f t="shared" ref="F48" ca="1" si="5">YEAR(TODAY())-YEAR(D48)</f>
        <v>44</v>
      </c>
      <c r="G48" s="1"/>
      <c r="H48" s="1"/>
      <c r="I48" s="8" t="s">
        <v>853</v>
      </c>
      <c r="J48" s="1" t="s">
        <v>432</v>
      </c>
      <c r="K48" s="1" t="s">
        <v>432</v>
      </c>
      <c r="L48" s="8"/>
      <c r="M48" s="8"/>
      <c r="N48" s="8"/>
      <c r="O48" s="8"/>
      <c r="P48" s="104"/>
      <c r="Q48" s="5"/>
      <c r="R48" s="8"/>
    </row>
    <row r="49" spans="1:18" x14ac:dyDescent="0.3">
      <c r="A49" s="466"/>
      <c r="B49" s="109"/>
      <c r="C49" s="1" t="s">
        <v>567</v>
      </c>
      <c r="D49" s="2">
        <v>31977</v>
      </c>
      <c r="E49" s="1">
        <v>2226519</v>
      </c>
      <c r="F49" s="1">
        <f t="shared" ca="1" si="4"/>
        <v>39</v>
      </c>
      <c r="G49" s="1" t="s">
        <v>854</v>
      </c>
      <c r="H49" s="1"/>
      <c r="I49" s="8"/>
      <c r="J49" s="1" t="s">
        <v>432</v>
      </c>
      <c r="K49" s="1" t="s">
        <v>432</v>
      </c>
      <c r="L49" s="8"/>
      <c r="M49" s="8"/>
      <c r="N49" s="8"/>
      <c r="O49" s="8"/>
      <c r="P49" s="104"/>
      <c r="Q49" s="5"/>
      <c r="R49" s="8"/>
    </row>
    <row r="50" spans="1:18" x14ac:dyDescent="0.3">
      <c r="A50" s="467"/>
      <c r="B50" s="109"/>
      <c r="C50" s="1" t="s">
        <v>569</v>
      </c>
      <c r="D50" s="2">
        <v>42466</v>
      </c>
      <c r="E50" s="1">
        <v>4476011</v>
      </c>
      <c r="F50" s="1">
        <f t="shared" ca="1" si="4"/>
        <v>10</v>
      </c>
      <c r="G50" s="1"/>
      <c r="H50" s="1"/>
      <c r="I50" s="8"/>
      <c r="J50" s="1"/>
      <c r="K50" s="1"/>
      <c r="L50" s="8"/>
      <c r="M50" s="8"/>
      <c r="N50" s="8"/>
      <c r="O50" s="8"/>
      <c r="P50" s="104"/>
      <c r="Q50" s="5"/>
      <c r="R50" s="8"/>
    </row>
    <row r="51" spans="1:18" s="189" customFormat="1" ht="33" x14ac:dyDescent="0.3">
      <c r="A51" s="183" t="s">
        <v>848</v>
      </c>
      <c r="B51" s="112">
        <v>44939</v>
      </c>
      <c r="C51" s="30" t="s">
        <v>69</v>
      </c>
      <c r="D51" s="31">
        <v>23049</v>
      </c>
      <c r="E51" s="30">
        <v>2478417</v>
      </c>
      <c r="F51" s="30">
        <f t="shared" ca="1" si="4"/>
        <v>63</v>
      </c>
      <c r="G51" s="30" t="s">
        <v>855</v>
      </c>
      <c r="H51" s="30"/>
      <c r="I51" s="188" t="s">
        <v>856</v>
      </c>
      <c r="J51" s="186" t="s">
        <v>857</v>
      </c>
      <c r="K51" s="186" t="s">
        <v>432</v>
      </c>
      <c r="L51" s="8"/>
      <c r="M51" s="8"/>
      <c r="N51" s="8"/>
      <c r="O51" s="8"/>
      <c r="P51" s="104"/>
      <c r="Q51" s="5"/>
      <c r="R51" s="8"/>
    </row>
    <row r="52" spans="1:18" ht="33" x14ac:dyDescent="0.3">
      <c r="A52" s="190" t="s">
        <v>858</v>
      </c>
      <c r="B52" s="110">
        <v>44940</v>
      </c>
      <c r="C52" s="33" t="s">
        <v>859</v>
      </c>
      <c r="D52" s="34">
        <v>22248</v>
      </c>
      <c r="E52" s="33">
        <v>2535213</v>
      </c>
      <c r="F52" s="33">
        <f t="shared" ca="1" si="4"/>
        <v>66</v>
      </c>
      <c r="G52" s="33"/>
      <c r="H52" s="33"/>
      <c r="I52" s="32" t="s">
        <v>860</v>
      </c>
      <c r="J52" s="191" t="s">
        <v>861</v>
      </c>
      <c r="K52" s="33" t="s">
        <v>862</v>
      </c>
      <c r="L52" s="8"/>
      <c r="M52" s="8"/>
      <c r="N52" s="8"/>
      <c r="O52" s="8"/>
      <c r="P52" s="104"/>
      <c r="Q52" s="5"/>
      <c r="R52" s="8"/>
    </row>
    <row r="53" spans="1:18" ht="33" x14ac:dyDescent="0.3">
      <c r="A53" s="183" t="s">
        <v>863</v>
      </c>
      <c r="B53" s="112">
        <v>44943</v>
      </c>
      <c r="C53" s="30" t="s">
        <v>712</v>
      </c>
      <c r="D53" s="31">
        <v>29115</v>
      </c>
      <c r="E53" s="30">
        <v>2144210</v>
      </c>
      <c r="F53" s="30">
        <f t="shared" ca="1" si="4"/>
        <v>47</v>
      </c>
      <c r="G53" s="30" t="s">
        <v>864</v>
      </c>
      <c r="H53" s="30"/>
      <c r="I53" s="29" t="s">
        <v>865</v>
      </c>
      <c r="J53" s="186" t="s">
        <v>866</v>
      </c>
      <c r="K53" s="30" t="s">
        <v>432</v>
      </c>
      <c r="L53" s="8"/>
      <c r="M53" s="8"/>
      <c r="N53" s="8"/>
      <c r="O53" s="8"/>
      <c r="P53" s="104"/>
      <c r="Q53" s="5"/>
      <c r="R53" s="8"/>
    </row>
    <row r="54" spans="1:18" x14ac:dyDescent="0.3">
      <c r="A54" s="390" t="s">
        <v>867</v>
      </c>
      <c r="B54" s="119">
        <v>44215</v>
      </c>
      <c r="C54" s="36" t="s">
        <v>39</v>
      </c>
      <c r="D54" s="37">
        <v>31471</v>
      </c>
      <c r="E54" s="36">
        <v>2542817</v>
      </c>
      <c r="F54" s="36">
        <f t="shared" ca="1" si="4"/>
        <v>40</v>
      </c>
      <c r="G54" s="36" t="s">
        <v>868</v>
      </c>
      <c r="H54" s="36"/>
      <c r="I54" s="35" t="s">
        <v>869</v>
      </c>
      <c r="J54" s="36" t="s">
        <v>870</v>
      </c>
      <c r="K54" s="36" t="s">
        <v>432</v>
      </c>
      <c r="L54" s="8" t="s">
        <v>3452</v>
      </c>
      <c r="M54" s="8"/>
      <c r="N54" s="8"/>
      <c r="O54" s="8"/>
      <c r="P54" s="104"/>
      <c r="Q54" s="5"/>
      <c r="R54" s="8"/>
    </row>
    <row r="55" spans="1:18" x14ac:dyDescent="0.3">
      <c r="A55" s="412"/>
      <c r="B55" s="120"/>
      <c r="C55" s="36" t="s">
        <v>41</v>
      </c>
      <c r="D55" s="37">
        <v>29807</v>
      </c>
      <c r="E55" s="36">
        <v>1459812</v>
      </c>
      <c r="F55" s="36">
        <f t="shared" ca="1" si="4"/>
        <v>45</v>
      </c>
      <c r="G55" s="36" t="s">
        <v>871</v>
      </c>
      <c r="H55" s="36"/>
      <c r="I55" s="35"/>
      <c r="J55" s="36" t="s">
        <v>872</v>
      </c>
      <c r="K55" s="36" t="s">
        <v>432</v>
      </c>
      <c r="L55" s="8"/>
      <c r="M55" s="8"/>
      <c r="N55" s="8"/>
      <c r="O55" s="8"/>
      <c r="P55" s="104"/>
      <c r="Q55" s="5"/>
      <c r="R55" s="8"/>
    </row>
    <row r="56" spans="1:18" x14ac:dyDescent="0.3">
      <c r="A56" s="412"/>
      <c r="B56" s="120"/>
      <c r="C56" s="36" t="s">
        <v>873</v>
      </c>
      <c r="D56" s="37">
        <v>41934</v>
      </c>
      <c r="E56" s="36">
        <v>4174517</v>
      </c>
      <c r="F56" s="36">
        <f t="shared" ca="1" si="4"/>
        <v>12</v>
      </c>
      <c r="G56" s="36"/>
      <c r="H56" s="36"/>
      <c r="I56" s="35"/>
      <c r="J56" s="36"/>
      <c r="K56" s="36"/>
      <c r="L56" s="8"/>
      <c r="M56" s="8"/>
      <c r="N56" s="8"/>
      <c r="O56" s="8"/>
      <c r="P56" s="104"/>
      <c r="Q56" s="5"/>
      <c r="R56" s="8"/>
    </row>
    <row r="57" spans="1:18" x14ac:dyDescent="0.3">
      <c r="A57" s="412"/>
      <c r="B57" s="120"/>
      <c r="C57" s="36" t="s">
        <v>874</v>
      </c>
      <c r="D57" s="37">
        <v>42501</v>
      </c>
      <c r="E57" s="36">
        <v>4174514</v>
      </c>
      <c r="F57" s="36">
        <f t="shared" ca="1" si="4"/>
        <v>10</v>
      </c>
      <c r="G57" s="36"/>
      <c r="H57" s="36"/>
      <c r="I57" s="35"/>
      <c r="J57" s="36"/>
      <c r="K57" s="36"/>
      <c r="L57" s="8"/>
      <c r="M57" s="8"/>
      <c r="N57" s="8"/>
      <c r="O57" s="8"/>
      <c r="P57" s="104"/>
      <c r="Q57" s="5"/>
      <c r="R57" s="8"/>
    </row>
    <row r="58" spans="1:18" x14ac:dyDescent="0.3">
      <c r="A58" s="412"/>
      <c r="B58" s="120"/>
      <c r="C58" s="36" t="s">
        <v>875</v>
      </c>
      <c r="D58" s="37">
        <v>44319</v>
      </c>
      <c r="E58" s="36">
        <v>3251343</v>
      </c>
      <c r="F58" s="36">
        <f t="shared" ca="1" si="4"/>
        <v>5</v>
      </c>
      <c r="G58" s="36"/>
      <c r="H58" s="36"/>
      <c r="I58" s="35"/>
      <c r="J58" s="36"/>
      <c r="K58" s="36"/>
      <c r="L58" s="8"/>
      <c r="M58" s="8"/>
      <c r="N58" s="8"/>
      <c r="O58" s="8"/>
      <c r="P58" s="104"/>
      <c r="Q58" s="5"/>
      <c r="R58" s="8"/>
    </row>
    <row r="59" spans="1:18" x14ac:dyDescent="0.3">
      <c r="A59" s="384"/>
      <c r="B59" s="120"/>
      <c r="C59" s="340" t="s">
        <v>3443</v>
      </c>
      <c r="D59" s="37">
        <v>22119</v>
      </c>
      <c r="E59" s="340">
        <v>2451117</v>
      </c>
      <c r="F59" s="340">
        <f t="shared" ca="1" si="4"/>
        <v>66</v>
      </c>
      <c r="G59" s="340" t="s">
        <v>3444</v>
      </c>
      <c r="H59" s="340"/>
      <c r="I59" s="35"/>
      <c r="J59" s="340"/>
      <c r="K59" s="340"/>
      <c r="L59" s="8" t="s">
        <v>3445</v>
      </c>
      <c r="M59" s="8"/>
      <c r="N59" s="8"/>
      <c r="O59" s="8"/>
      <c r="P59" s="104"/>
      <c r="Q59" s="5"/>
      <c r="R59" s="8"/>
    </row>
    <row r="60" spans="1:18" x14ac:dyDescent="0.3">
      <c r="A60" s="379"/>
      <c r="B60" s="120"/>
      <c r="C60" s="342" t="s">
        <v>3449</v>
      </c>
      <c r="D60" s="37">
        <v>18994</v>
      </c>
      <c r="E60" s="342">
        <v>1459818</v>
      </c>
      <c r="F60" s="342">
        <f t="shared" ca="1" si="4"/>
        <v>74</v>
      </c>
      <c r="G60" s="342" t="s">
        <v>3450</v>
      </c>
      <c r="H60" s="342"/>
      <c r="I60" s="35"/>
      <c r="J60" s="342"/>
      <c r="K60" s="342"/>
      <c r="L60" s="8" t="s">
        <v>3445</v>
      </c>
      <c r="M60" s="8"/>
      <c r="N60" s="8"/>
      <c r="O60" s="8"/>
      <c r="P60" s="104"/>
      <c r="Q60" s="5"/>
      <c r="R60" s="8"/>
    </row>
    <row r="61" spans="1:18" x14ac:dyDescent="0.3">
      <c r="A61" s="192" t="s">
        <v>876</v>
      </c>
      <c r="B61" s="115">
        <v>44945</v>
      </c>
      <c r="C61" s="1" t="s">
        <v>168</v>
      </c>
      <c r="D61" s="2">
        <v>29699</v>
      </c>
      <c r="E61" s="1">
        <v>1790212</v>
      </c>
      <c r="F61" s="1">
        <f ca="1">YEAR(TODAY())-YEAR(D61)</f>
        <v>45</v>
      </c>
      <c r="G61" s="1" t="s">
        <v>877</v>
      </c>
      <c r="H61" s="1"/>
      <c r="I61" s="8" t="s">
        <v>878</v>
      </c>
      <c r="J61" s="1" t="s">
        <v>879</v>
      </c>
      <c r="K61" s="1" t="s">
        <v>432</v>
      </c>
      <c r="L61" s="8"/>
      <c r="M61" s="8"/>
      <c r="N61" s="8"/>
      <c r="O61" s="8"/>
      <c r="P61" s="104"/>
      <c r="Q61" s="5"/>
      <c r="R61" s="8"/>
    </row>
    <row r="62" spans="1:18" s="189" customFormat="1" x14ac:dyDescent="0.3">
      <c r="A62" s="414" t="s">
        <v>880</v>
      </c>
      <c r="B62" s="112">
        <v>44946</v>
      </c>
      <c r="C62" s="30" t="s">
        <v>531</v>
      </c>
      <c r="D62" s="31">
        <v>28824</v>
      </c>
      <c r="E62" s="30">
        <v>1064819</v>
      </c>
      <c r="F62" s="30">
        <f t="shared" ca="1" si="4"/>
        <v>48</v>
      </c>
      <c r="G62" s="30"/>
      <c r="H62" s="30"/>
      <c r="I62" s="29" t="s">
        <v>881</v>
      </c>
      <c r="J62" s="30" t="s">
        <v>882</v>
      </c>
      <c r="K62" s="30" t="s">
        <v>432</v>
      </c>
      <c r="L62" s="8"/>
      <c r="M62" s="8"/>
      <c r="N62" s="8"/>
      <c r="O62" s="8"/>
      <c r="P62" s="104"/>
      <c r="Q62" s="5"/>
      <c r="R62" s="8"/>
    </row>
    <row r="63" spans="1:18" s="189" customFormat="1" x14ac:dyDescent="0.3">
      <c r="A63" s="415"/>
      <c r="B63" s="113"/>
      <c r="C63" s="30" t="s">
        <v>532</v>
      </c>
      <c r="D63" s="31">
        <v>30272</v>
      </c>
      <c r="E63" s="30">
        <v>2123029</v>
      </c>
      <c r="F63" s="30">
        <f t="shared" ca="1" si="4"/>
        <v>44</v>
      </c>
      <c r="G63" s="30" t="s">
        <v>883</v>
      </c>
      <c r="H63" s="30"/>
      <c r="I63" s="29"/>
      <c r="J63" s="30" t="s">
        <v>432</v>
      </c>
      <c r="K63" s="30" t="s">
        <v>432</v>
      </c>
      <c r="L63" s="8"/>
      <c r="M63" s="8"/>
      <c r="N63" s="8"/>
      <c r="O63" s="8"/>
      <c r="P63" s="104"/>
      <c r="Q63" s="5"/>
      <c r="R63" s="8"/>
    </row>
    <row r="64" spans="1:18" s="189" customFormat="1" x14ac:dyDescent="0.3">
      <c r="A64" s="415"/>
      <c r="B64" s="113"/>
      <c r="C64" s="30" t="s">
        <v>533</v>
      </c>
      <c r="D64" s="31">
        <v>41666</v>
      </c>
      <c r="E64" s="30">
        <v>3475931</v>
      </c>
      <c r="F64" s="30">
        <f t="shared" ca="1" si="4"/>
        <v>12</v>
      </c>
      <c r="G64" s="30"/>
      <c r="H64" s="30"/>
      <c r="I64" s="29"/>
      <c r="J64" s="30"/>
      <c r="K64" s="30"/>
      <c r="L64" s="8"/>
      <c r="M64" s="8"/>
      <c r="N64" s="8"/>
      <c r="O64" s="8"/>
      <c r="P64" s="104"/>
      <c r="Q64" s="5"/>
      <c r="R64" s="8"/>
    </row>
    <row r="65" spans="1:70" s="189" customFormat="1" x14ac:dyDescent="0.3">
      <c r="A65" s="415"/>
      <c r="B65" s="113"/>
      <c r="C65" s="30" t="s">
        <v>534</v>
      </c>
      <c r="D65" s="31">
        <v>42066</v>
      </c>
      <c r="E65" s="30">
        <v>4020411</v>
      </c>
      <c r="F65" s="30">
        <f t="shared" ca="1" si="4"/>
        <v>11</v>
      </c>
      <c r="G65" s="30"/>
      <c r="H65" s="30"/>
      <c r="I65" s="29"/>
      <c r="J65" s="30"/>
      <c r="K65" s="30"/>
      <c r="L65" s="8"/>
      <c r="M65" s="8"/>
      <c r="N65" s="8"/>
      <c r="O65" s="8"/>
      <c r="P65" s="104"/>
      <c r="Q65" s="5"/>
      <c r="R65" s="8"/>
    </row>
    <row r="66" spans="1:70" s="193" customFormat="1" x14ac:dyDescent="0.3">
      <c r="A66" s="388" t="s">
        <v>884</v>
      </c>
      <c r="B66" s="110">
        <v>44947</v>
      </c>
      <c r="C66" s="33" t="s">
        <v>623</v>
      </c>
      <c r="D66" s="34">
        <v>21205</v>
      </c>
      <c r="E66" s="33">
        <v>2684213</v>
      </c>
      <c r="F66" s="33">
        <f ca="1">YEAR(TODAY())-YEAR(D66)</f>
        <v>68</v>
      </c>
      <c r="G66" s="33" t="s">
        <v>885</v>
      </c>
      <c r="H66" s="33"/>
      <c r="I66" s="32" t="s">
        <v>886</v>
      </c>
      <c r="J66" s="33" t="s">
        <v>432</v>
      </c>
      <c r="K66" s="33" t="s">
        <v>432</v>
      </c>
      <c r="L66" s="8"/>
      <c r="M66" s="8"/>
      <c r="N66" s="8"/>
      <c r="O66" s="8"/>
      <c r="P66" s="104"/>
      <c r="Q66" s="5"/>
      <c r="R66" s="8"/>
    </row>
    <row r="67" spans="1:70" s="193" customFormat="1" x14ac:dyDescent="0.3">
      <c r="A67" s="388"/>
      <c r="B67" s="111"/>
      <c r="C67" s="33" t="s">
        <v>622</v>
      </c>
      <c r="D67" s="34">
        <v>29992</v>
      </c>
      <c r="E67" s="33">
        <v>2797911</v>
      </c>
      <c r="F67" s="33">
        <f ca="1">YEAR(TODAY())-YEAR(D67)</f>
        <v>44</v>
      </c>
      <c r="G67" s="33" t="s">
        <v>887</v>
      </c>
      <c r="H67" s="33"/>
      <c r="I67" s="32"/>
      <c r="J67" s="33" t="s">
        <v>432</v>
      </c>
      <c r="K67" s="33" t="s">
        <v>432</v>
      </c>
      <c r="L67" s="8"/>
      <c r="M67" s="8"/>
      <c r="N67" s="8"/>
      <c r="O67" s="8"/>
      <c r="P67" s="104"/>
      <c r="Q67" s="5"/>
      <c r="R67" s="8"/>
    </row>
    <row r="68" spans="1:70" x14ac:dyDescent="0.3">
      <c r="A68" s="463" t="s">
        <v>888</v>
      </c>
      <c r="B68" s="158"/>
      <c r="C68" s="27" t="s">
        <v>889</v>
      </c>
      <c r="D68" s="159">
        <v>29117</v>
      </c>
      <c r="E68" s="160">
        <v>1667511</v>
      </c>
      <c r="F68" s="160">
        <f t="shared" ref="F68:F76" ca="1" si="6">YEAR(TODAY())-YEAR(D68)</f>
        <v>47</v>
      </c>
      <c r="G68" s="160" t="s">
        <v>890</v>
      </c>
      <c r="H68" s="160"/>
      <c r="I68" s="161"/>
      <c r="J68" s="27"/>
      <c r="K68" s="27"/>
      <c r="L68" s="26"/>
      <c r="M68" s="8"/>
      <c r="N68" s="8"/>
      <c r="O68" s="8"/>
    </row>
    <row r="69" spans="1:70" x14ac:dyDescent="0.3">
      <c r="A69" s="433"/>
      <c r="B69" s="162"/>
      <c r="C69" s="27" t="s">
        <v>891</v>
      </c>
      <c r="D69" s="28">
        <v>30614</v>
      </c>
      <c r="E69" s="27">
        <v>2341921</v>
      </c>
      <c r="F69" s="26"/>
      <c r="G69" s="26" t="s">
        <v>892</v>
      </c>
      <c r="H69" s="26"/>
      <c r="I69" s="26"/>
      <c r="J69" s="27"/>
      <c r="K69" s="27"/>
      <c r="L69" s="26" t="s">
        <v>893</v>
      </c>
      <c r="M69" s="8"/>
      <c r="N69" s="8"/>
      <c r="O69" s="8"/>
    </row>
    <row r="70" spans="1:70" x14ac:dyDescent="0.3">
      <c r="A70" s="433"/>
      <c r="B70" s="158"/>
      <c r="C70" s="27" t="s">
        <v>894</v>
      </c>
      <c r="D70" s="28">
        <v>31111</v>
      </c>
      <c r="E70" s="27">
        <v>1222010</v>
      </c>
      <c r="F70" s="26"/>
      <c r="G70" s="26" t="s">
        <v>895</v>
      </c>
      <c r="H70" s="26"/>
      <c r="I70" s="26"/>
      <c r="J70" s="27"/>
      <c r="K70" s="27"/>
      <c r="L70" s="26"/>
    </row>
    <row r="71" spans="1:70" x14ac:dyDescent="0.3">
      <c r="A71" s="419"/>
      <c r="B71" s="162">
        <v>44948</v>
      </c>
      <c r="C71" s="27" t="s">
        <v>896</v>
      </c>
      <c r="D71" s="28">
        <v>20796</v>
      </c>
      <c r="E71" s="27">
        <v>1341919</v>
      </c>
      <c r="F71" s="26"/>
      <c r="G71" s="26" t="s">
        <v>897</v>
      </c>
      <c r="H71" s="26" t="s">
        <v>891</v>
      </c>
      <c r="I71" s="26" t="s">
        <v>898</v>
      </c>
      <c r="J71" s="27"/>
      <c r="K71" s="27"/>
      <c r="L71" s="26" t="s">
        <v>899</v>
      </c>
    </row>
    <row r="72" spans="1:70" x14ac:dyDescent="0.3">
      <c r="A72" s="390" t="s">
        <v>900</v>
      </c>
      <c r="B72" s="119">
        <v>44948</v>
      </c>
      <c r="C72" s="36" t="s">
        <v>706</v>
      </c>
      <c r="D72" s="37">
        <v>30081</v>
      </c>
      <c r="E72" s="36">
        <v>1009112</v>
      </c>
      <c r="F72" s="36">
        <f t="shared" ca="1" si="6"/>
        <v>44</v>
      </c>
      <c r="G72" s="36" t="s">
        <v>901</v>
      </c>
      <c r="H72" s="36"/>
      <c r="I72" s="35" t="s">
        <v>902</v>
      </c>
      <c r="J72" s="36"/>
      <c r="K72" s="36"/>
      <c r="L72" s="8"/>
      <c r="M72" s="8"/>
      <c r="N72" s="8"/>
      <c r="O72" s="8"/>
      <c r="P72" s="104"/>
      <c r="Q72" s="5"/>
      <c r="R72" s="8"/>
    </row>
    <row r="73" spans="1:70" x14ac:dyDescent="0.3">
      <c r="A73" s="412"/>
      <c r="B73" s="120"/>
      <c r="C73" s="36" t="s">
        <v>703</v>
      </c>
      <c r="D73" s="37">
        <v>29065</v>
      </c>
      <c r="E73" s="36">
        <v>1009113</v>
      </c>
      <c r="F73" s="36">
        <f t="shared" ca="1" si="6"/>
        <v>47</v>
      </c>
      <c r="G73" s="36" t="s">
        <v>903</v>
      </c>
      <c r="H73" s="36"/>
      <c r="I73" s="35"/>
      <c r="J73" s="36"/>
      <c r="K73" s="36"/>
      <c r="L73" s="8"/>
      <c r="M73" s="8"/>
      <c r="N73" s="8"/>
      <c r="O73" s="8"/>
      <c r="P73" s="9"/>
      <c r="Q73" s="3"/>
      <c r="R73" s="8"/>
    </row>
    <row r="74" spans="1:70" x14ac:dyDescent="0.3">
      <c r="A74" s="412"/>
      <c r="B74" s="120"/>
      <c r="C74" s="36" t="s">
        <v>704</v>
      </c>
      <c r="D74" s="37">
        <v>41850</v>
      </c>
      <c r="E74" s="36">
        <v>3476011</v>
      </c>
      <c r="F74" s="36">
        <f t="shared" ca="1" si="6"/>
        <v>12</v>
      </c>
      <c r="G74" s="36"/>
      <c r="H74" s="36"/>
      <c r="I74" s="35"/>
      <c r="J74" s="36"/>
      <c r="K74" s="36"/>
      <c r="L74" s="8"/>
      <c r="M74" s="8"/>
      <c r="N74" s="8"/>
      <c r="O74" s="8"/>
      <c r="P74" s="9"/>
      <c r="Q74" s="3"/>
      <c r="R74" s="8"/>
    </row>
    <row r="75" spans="1:70" x14ac:dyDescent="0.3">
      <c r="A75" s="412"/>
      <c r="B75" s="120"/>
      <c r="C75" s="36" t="s">
        <v>705</v>
      </c>
      <c r="D75" s="37">
        <v>29650</v>
      </c>
      <c r="E75" s="36">
        <v>2768232</v>
      </c>
      <c r="F75" s="36">
        <f t="shared" ca="1" si="6"/>
        <v>45</v>
      </c>
      <c r="G75" s="36" t="s">
        <v>904</v>
      </c>
      <c r="H75" s="36"/>
      <c r="I75" s="35"/>
      <c r="J75" s="36"/>
      <c r="K75" s="36"/>
      <c r="L75" s="8"/>
      <c r="M75" s="8"/>
      <c r="N75" s="8"/>
      <c r="O75" s="8"/>
      <c r="P75" s="9"/>
      <c r="Q75" s="3"/>
      <c r="R75" s="8"/>
    </row>
    <row r="76" spans="1:70" x14ac:dyDescent="0.3">
      <c r="A76" s="413"/>
      <c r="B76" s="120"/>
      <c r="C76" s="36" t="s">
        <v>707</v>
      </c>
      <c r="D76" s="37">
        <v>40816</v>
      </c>
      <c r="E76" s="36">
        <v>3475952</v>
      </c>
      <c r="F76" s="36">
        <f t="shared" ca="1" si="6"/>
        <v>15</v>
      </c>
      <c r="G76" s="36"/>
      <c r="H76" s="36"/>
      <c r="I76" s="35"/>
      <c r="J76" s="36"/>
      <c r="K76" s="36"/>
      <c r="L76" s="8"/>
      <c r="M76" s="8"/>
      <c r="N76" s="8"/>
      <c r="O76" s="8"/>
      <c r="P76" s="9"/>
      <c r="Q76" s="3"/>
      <c r="R76" s="8"/>
    </row>
    <row r="77" spans="1:70" x14ac:dyDescent="0.3">
      <c r="A77" s="1" t="s">
        <v>905</v>
      </c>
      <c r="B77" s="150" t="s">
        <v>906</v>
      </c>
      <c r="C77" s="1" t="s">
        <v>907</v>
      </c>
      <c r="D77" s="2">
        <v>26426</v>
      </c>
      <c r="E77" s="1">
        <v>2807625</v>
      </c>
      <c r="F77" s="8"/>
      <c r="G77" s="1" t="s">
        <v>908</v>
      </c>
      <c r="H77" s="8"/>
      <c r="I77" s="8" t="s">
        <v>909</v>
      </c>
      <c r="J77" s="1"/>
      <c r="K77" s="1"/>
      <c r="L77" s="8"/>
      <c r="M77" s="8"/>
      <c r="N77" s="8"/>
      <c r="O77" s="8"/>
      <c r="P77" s="9"/>
      <c r="Q77" s="3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</row>
    <row r="78" spans="1:70" x14ac:dyDescent="0.3">
      <c r="A78" s="422" t="s">
        <v>910</v>
      </c>
      <c r="B78" s="115">
        <v>44584</v>
      </c>
      <c r="C78" s="1" t="s">
        <v>43</v>
      </c>
      <c r="D78" s="2">
        <v>27402</v>
      </c>
      <c r="E78" s="1">
        <v>1119910</v>
      </c>
      <c r="F78" s="1">
        <f t="shared" ca="1" si="4"/>
        <v>51</v>
      </c>
      <c r="G78" s="1" t="s">
        <v>911</v>
      </c>
      <c r="H78" s="1"/>
      <c r="I78" s="8" t="s">
        <v>912</v>
      </c>
      <c r="J78" s="1"/>
      <c r="K78" s="1"/>
      <c r="L78" s="8"/>
      <c r="M78" s="8"/>
      <c r="N78" s="8"/>
      <c r="O78" s="8"/>
      <c r="P78" s="9"/>
      <c r="Q78" s="3"/>
      <c r="R78" s="8"/>
    </row>
    <row r="79" spans="1:70" x14ac:dyDescent="0.3">
      <c r="A79" s="422"/>
      <c r="B79" s="109"/>
      <c r="C79" s="1" t="s">
        <v>45</v>
      </c>
      <c r="D79" s="2">
        <v>29627</v>
      </c>
      <c r="E79" s="1">
        <v>2471529</v>
      </c>
      <c r="F79" s="1">
        <f t="shared" ca="1" si="4"/>
        <v>45</v>
      </c>
      <c r="G79" s="1"/>
      <c r="H79" s="1"/>
      <c r="I79" s="8"/>
      <c r="J79" s="1"/>
      <c r="K79" s="1"/>
      <c r="L79" s="8"/>
      <c r="M79" s="8"/>
      <c r="N79" s="8"/>
      <c r="O79" s="8"/>
      <c r="P79" s="9"/>
      <c r="Q79" s="3"/>
      <c r="R79" s="8"/>
    </row>
    <row r="80" spans="1:70" x14ac:dyDescent="0.3">
      <c r="A80" s="422"/>
      <c r="B80" s="109"/>
      <c r="C80" s="1" t="s">
        <v>46</v>
      </c>
      <c r="D80" s="2">
        <v>40001</v>
      </c>
      <c r="E80" s="1">
        <v>3419238</v>
      </c>
      <c r="F80" s="1">
        <f t="shared" ca="1" si="4"/>
        <v>17</v>
      </c>
      <c r="G80" s="1"/>
      <c r="H80" s="1"/>
      <c r="I80" s="8"/>
      <c r="J80" s="1"/>
      <c r="K80" s="1"/>
      <c r="L80" s="8"/>
      <c r="M80" s="8"/>
      <c r="N80" s="8"/>
      <c r="O80" s="8"/>
      <c r="P80" s="9"/>
      <c r="Q80" s="3"/>
      <c r="R80" s="8"/>
    </row>
    <row r="81" spans="1:18" x14ac:dyDescent="0.3">
      <c r="A81" s="404" t="s">
        <v>913</v>
      </c>
      <c r="B81" s="110">
        <v>44949</v>
      </c>
      <c r="C81" s="33" t="s">
        <v>914</v>
      </c>
      <c r="D81" s="34">
        <v>31472</v>
      </c>
      <c r="E81" s="33">
        <v>1464611</v>
      </c>
      <c r="F81" s="33">
        <f t="shared" ca="1" si="4"/>
        <v>40</v>
      </c>
      <c r="G81" s="33" t="s">
        <v>915</v>
      </c>
      <c r="H81" s="33"/>
      <c r="I81" s="32" t="s">
        <v>916</v>
      </c>
      <c r="J81" s="33"/>
      <c r="K81" s="33"/>
      <c r="L81" s="8"/>
      <c r="M81" s="8"/>
      <c r="N81" s="8"/>
      <c r="O81" s="8"/>
      <c r="P81" s="9"/>
      <c r="Q81" s="3"/>
      <c r="R81" s="8"/>
    </row>
    <row r="82" spans="1:18" x14ac:dyDescent="0.3">
      <c r="A82" s="453"/>
      <c r="B82" s="111"/>
      <c r="C82" s="33" t="s">
        <v>917</v>
      </c>
      <c r="D82" s="34">
        <v>32891</v>
      </c>
      <c r="E82" s="33">
        <v>2328111</v>
      </c>
      <c r="F82" s="33">
        <f t="shared" ca="1" si="4"/>
        <v>36</v>
      </c>
      <c r="G82" s="33" t="s">
        <v>918</v>
      </c>
      <c r="H82" s="33"/>
      <c r="I82" s="32"/>
      <c r="J82" s="33"/>
      <c r="K82" s="33"/>
      <c r="L82" s="8"/>
      <c r="M82" s="8"/>
      <c r="N82" s="8"/>
      <c r="O82" s="8"/>
      <c r="P82" s="9"/>
      <c r="Q82" s="3"/>
      <c r="R82" s="8"/>
    </row>
    <row r="83" spans="1:18" x14ac:dyDescent="0.3">
      <c r="A83" s="182" t="s">
        <v>910</v>
      </c>
      <c r="B83" s="115">
        <v>44951</v>
      </c>
      <c r="C83" s="1" t="s">
        <v>43</v>
      </c>
      <c r="D83" s="2">
        <v>27402</v>
      </c>
      <c r="E83" s="1">
        <v>1119910</v>
      </c>
      <c r="F83" s="1">
        <f t="shared" ref="F83" ca="1" si="7">YEAR(TODAY())-YEAR(D83)</f>
        <v>51</v>
      </c>
      <c r="G83" s="1" t="s">
        <v>911</v>
      </c>
      <c r="H83" s="1"/>
      <c r="I83" s="8" t="s">
        <v>919</v>
      </c>
      <c r="J83" s="1"/>
      <c r="K83" s="1"/>
      <c r="L83" s="8"/>
      <c r="M83" s="8"/>
      <c r="N83" s="8"/>
      <c r="O83" s="8"/>
      <c r="P83" s="9"/>
      <c r="Q83" s="3"/>
      <c r="R83" s="8"/>
    </row>
    <row r="84" spans="1:18" x14ac:dyDescent="0.3">
      <c r="A84" s="36" t="s">
        <v>920</v>
      </c>
      <c r="B84" s="120" t="s">
        <v>921</v>
      </c>
      <c r="C84" s="36" t="s">
        <v>922</v>
      </c>
      <c r="D84" s="37">
        <v>22608</v>
      </c>
      <c r="E84" s="36">
        <v>2167716</v>
      </c>
      <c r="F84" s="36">
        <f t="shared" ref="F84" ca="1" si="8">YEAR(TODAY())-YEAR(D84)</f>
        <v>65</v>
      </c>
      <c r="G84" s="36" t="s">
        <v>923</v>
      </c>
      <c r="H84" s="36"/>
      <c r="I84" s="35" t="s">
        <v>924</v>
      </c>
      <c r="J84" s="36"/>
      <c r="K84" s="36"/>
      <c r="L84" s="194" t="s">
        <v>925</v>
      </c>
      <c r="M84" s="8"/>
      <c r="N84" s="8"/>
      <c r="O84" s="8"/>
      <c r="P84" s="9"/>
      <c r="Q84" s="3"/>
      <c r="R84" s="8"/>
    </row>
    <row r="85" spans="1:18" x14ac:dyDescent="0.3">
      <c r="A85" s="400" t="s">
        <v>838</v>
      </c>
      <c r="B85" s="122">
        <v>44222</v>
      </c>
      <c r="C85" s="18" t="s">
        <v>47</v>
      </c>
      <c r="D85" s="19">
        <v>25200</v>
      </c>
      <c r="E85" s="18">
        <v>1221248</v>
      </c>
      <c r="F85" s="18">
        <f t="shared" ref="F85:F98" ca="1" si="9">YEAR(TODAY())-YEAR(D85)</f>
        <v>58</v>
      </c>
      <c r="G85" s="18" t="s">
        <v>926</v>
      </c>
      <c r="H85" s="18"/>
      <c r="I85" s="17" t="s">
        <v>927</v>
      </c>
      <c r="J85" s="18" t="s">
        <v>928</v>
      </c>
      <c r="K85" s="18" t="s">
        <v>929</v>
      </c>
      <c r="L85" s="8"/>
      <c r="M85" s="8"/>
      <c r="N85" s="8"/>
      <c r="O85" s="8"/>
      <c r="P85" s="9"/>
      <c r="Q85" s="3"/>
      <c r="R85" s="8"/>
    </row>
    <row r="86" spans="1:18" x14ac:dyDescent="0.3">
      <c r="A86" s="400"/>
      <c r="B86" s="122"/>
      <c r="C86" s="18" t="s">
        <v>48</v>
      </c>
      <c r="D86" s="19">
        <v>24667</v>
      </c>
      <c r="E86" s="18">
        <v>2157012</v>
      </c>
      <c r="F86" s="18">
        <f t="shared" ca="1" si="9"/>
        <v>59</v>
      </c>
      <c r="G86" s="18" t="s">
        <v>930</v>
      </c>
      <c r="H86" s="18"/>
      <c r="I86" s="17"/>
      <c r="J86" s="18"/>
      <c r="K86" s="18"/>
      <c r="L86" s="8"/>
      <c r="M86" s="8"/>
      <c r="N86" s="8"/>
      <c r="O86" s="8"/>
      <c r="P86" s="9"/>
      <c r="Q86" s="3"/>
      <c r="R86" s="8"/>
    </row>
    <row r="87" spans="1:18" x14ac:dyDescent="0.3">
      <c r="A87" s="400"/>
      <c r="B87" s="123"/>
      <c r="C87" s="18" t="s">
        <v>49</v>
      </c>
      <c r="D87" s="19">
        <v>34507</v>
      </c>
      <c r="E87" s="18">
        <v>2157012</v>
      </c>
      <c r="F87" s="18">
        <f t="shared" ca="1" si="9"/>
        <v>32</v>
      </c>
      <c r="G87" s="18" t="s">
        <v>931</v>
      </c>
      <c r="H87" s="18"/>
      <c r="I87" s="17"/>
      <c r="J87" s="18"/>
      <c r="K87" s="18"/>
      <c r="L87" s="8"/>
      <c r="M87" s="8"/>
      <c r="N87" s="8"/>
      <c r="O87" s="8"/>
      <c r="P87" s="9"/>
      <c r="Q87" s="3"/>
      <c r="R87" s="8"/>
    </row>
    <row r="88" spans="1:18" x14ac:dyDescent="0.3">
      <c r="A88" s="400"/>
      <c r="B88" s="122"/>
      <c r="C88" s="18" t="s">
        <v>50</v>
      </c>
      <c r="D88" s="19">
        <v>35079</v>
      </c>
      <c r="E88" s="18">
        <v>1411823</v>
      </c>
      <c r="F88" s="18">
        <f t="shared" ca="1" si="9"/>
        <v>30</v>
      </c>
      <c r="G88" s="18" t="s">
        <v>839</v>
      </c>
      <c r="H88" s="18"/>
      <c r="I88" s="17"/>
      <c r="J88" s="18"/>
      <c r="K88" s="18"/>
      <c r="L88" s="8"/>
      <c r="M88" s="8"/>
      <c r="N88" s="8"/>
      <c r="O88" s="8"/>
      <c r="P88" s="9"/>
      <c r="Q88" s="3"/>
      <c r="R88" s="8"/>
    </row>
    <row r="89" spans="1:18" x14ac:dyDescent="0.3">
      <c r="A89" s="400"/>
      <c r="B89" s="123"/>
      <c r="C89" s="18" t="s">
        <v>51</v>
      </c>
      <c r="D89" s="19">
        <v>36182</v>
      </c>
      <c r="E89" s="18">
        <v>2412423</v>
      </c>
      <c r="F89" s="18">
        <f t="shared" ca="1" si="9"/>
        <v>27</v>
      </c>
      <c r="G89" s="18" t="s">
        <v>932</v>
      </c>
      <c r="H89" s="18"/>
      <c r="I89" s="17"/>
      <c r="J89" s="18"/>
      <c r="K89" s="18"/>
      <c r="L89" s="8"/>
      <c r="M89" s="8"/>
      <c r="N89" s="8"/>
      <c r="O89" s="8"/>
      <c r="P89" s="9"/>
      <c r="Q89" s="3"/>
      <c r="R89" s="8"/>
    </row>
    <row r="90" spans="1:18" x14ac:dyDescent="0.3">
      <c r="A90" s="398" t="s">
        <v>933</v>
      </c>
      <c r="B90" s="117">
        <v>44222</v>
      </c>
      <c r="C90" s="27" t="s">
        <v>53</v>
      </c>
      <c r="D90" s="28">
        <v>29675</v>
      </c>
      <c r="E90" s="27">
        <v>1475910</v>
      </c>
      <c r="F90" s="27">
        <f t="shared" ref="F90" ca="1" si="10">YEAR(TODAY())-YEAR(D90)</f>
        <v>45</v>
      </c>
      <c r="G90" s="27" t="s">
        <v>934</v>
      </c>
      <c r="H90" s="27"/>
      <c r="I90" s="26" t="s">
        <v>935</v>
      </c>
      <c r="J90" s="27"/>
      <c r="K90" s="27"/>
      <c r="L90" s="8"/>
      <c r="M90" s="8"/>
      <c r="N90" s="8"/>
      <c r="O90" s="8"/>
      <c r="P90" s="9"/>
      <c r="Q90" s="3"/>
      <c r="R90" s="8"/>
    </row>
    <row r="91" spans="1:18" x14ac:dyDescent="0.3">
      <c r="A91" s="399"/>
      <c r="B91" s="117"/>
      <c r="C91" s="27" t="s">
        <v>52</v>
      </c>
      <c r="D91" s="28">
        <v>32175</v>
      </c>
      <c r="E91" s="27">
        <v>2070213</v>
      </c>
      <c r="F91" s="27">
        <f t="shared" ca="1" si="9"/>
        <v>38</v>
      </c>
      <c r="G91" s="27" t="s">
        <v>936</v>
      </c>
      <c r="H91" s="27"/>
      <c r="I91" s="26"/>
      <c r="J91" s="27"/>
      <c r="K91" s="27"/>
      <c r="L91" s="8"/>
      <c r="M91" s="8"/>
      <c r="N91" s="8"/>
      <c r="O91" s="8"/>
      <c r="P91" s="9"/>
      <c r="Q91" s="3"/>
      <c r="R91" s="8"/>
    </row>
    <row r="92" spans="1:18" x14ac:dyDescent="0.3">
      <c r="A92" s="438"/>
      <c r="B92" s="121"/>
      <c r="C92" s="27" t="s">
        <v>54</v>
      </c>
      <c r="D92" s="28">
        <v>43984</v>
      </c>
      <c r="E92" s="27">
        <v>3412827</v>
      </c>
      <c r="F92" s="27">
        <f t="shared" ca="1" si="9"/>
        <v>6</v>
      </c>
      <c r="G92" s="27"/>
      <c r="H92" s="27"/>
      <c r="I92" s="26"/>
      <c r="J92" s="27"/>
      <c r="K92" s="27"/>
      <c r="L92" s="8"/>
      <c r="M92" s="8"/>
      <c r="N92" s="8"/>
      <c r="O92" s="8"/>
      <c r="P92" s="9"/>
      <c r="Q92" s="3"/>
      <c r="R92" s="8"/>
    </row>
    <row r="93" spans="1:18" x14ac:dyDescent="0.3">
      <c r="A93" s="183" t="s">
        <v>937</v>
      </c>
      <c r="B93" s="112">
        <v>44953</v>
      </c>
      <c r="C93" s="30" t="s">
        <v>938</v>
      </c>
      <c r="D93" s="31">
        <v>32560</v>
      </c>
      <c r="E93" s="30">
        <v>2380711</v>
      </c>
      <c r="F93" s="30">
        <f t="shared" ca="1" si="9"/>
        <v>37</v>
      </c>
      <c r="G93" s="30" t="s">
        <v>939</v>
      </c>
      <c r="H93" s="30"/>
      <c r="I93" s="29" t="s">
        <v>940</v>
      </c>
      <c r="J93" s="30"/>
      <c r="K93" s="30"/>
      <c r="L93" s="8"/>
      <c r="M93" s="8"/>
      <c r="N93" s="8"/>
      <c r="O93" s="8"/>
      <c r="P93" s="104"/>
      <c r="Q93" s="5"/>
      <c r="R93" s="8"/>
    </row>
    <row r="94" spans="1:18" x14ac:dyDescent="0.3">
      <c r="A94" s="402" t="s">
        <v>941</v>
      </c>
      <c r="B94" s="118">
        <v>44224</v>
      </c>
      <c r="C94" s="40" t="s">
        <v>57</v>
      </c>
      <c r="D94" s="41">
        <v>30734</v>
      </c>
      <c r="E94" s="40">
        <v>1467317</v>
      </c>
      <c r="F94" s="40">
        <f t="shared" ref="F94" ca="1" si="11">YEAR(TODAY())-YEAR(D94)</f>
        <v>42</v>
      </c>
      <c r="G94" s="40" t="s">
        <v>942</v>
      </c>
      <c r="H94" s="40"/>
      <c r="I94" s="39" t="s">
        <v>943</v>
      </c>
      <c r="J94" s="40"/>
      <c r="K94" s="40"/>
      <c r="L94" s="8"/>
      <c r="M94" s="8"/>
      <c r="N94" s="8"/>
      <c r="O94" s="8"/>
      <c r="P94" s="9"/>
      <c r="Q94" s="3"/>
      <c r="R94" s="8"/>
    </row>
    <row r="95" spans="1:18" x14ac:dyDescent="0.3">
      <c r="A95" s="437"/>
      <c r="B95" s="118"/>
      <c r="C95" s="40" t="s">
        <v>55</v>
      </c>
      <c r="D95" s="41">
        <v>31940</v>
      </c>
      <c r="E95" s="40">
        <v>2169318</v>
      </c>
      <c r="F95" s="40">
        <f t="shared" ca="1" si="9"/>
        <v>39</v>
      </c>
      <c r="G95" s="40" t="s">
        <v>944</v>
      </c>
      <c r="H95" s="40"/>
      <c r="I95" s="39"/>
      <c r="J95" s="40"/>
      <c r="K95" s="40"/>
      <c r="L95" s="8"/>
      <c r="M95" s="8"/>
      <c r="N95" s="8"/>
      <c r="O95" s="8"/>
      <c r="P95" s="9"/>
      <c r="Q95" s="3"/>
      <c r="R95" s="8"/>
    </row>
    <row r="96" spans="1:18" x14ac:dyDescent="0.3">
      <c r="A96" s="437"/>
      <c r="B96" s="124"/>
      <c r="C96" s="40" t="s">
        <v>58</v>
      </c>
      <c r="D96" s="41">
        <v>42471</v>
      </c>
      <c r="E96" s="40">
        <v>3423311</v>
      </c>
      <c r="F96" s="40">
        <f t="shared" ca="1" si="9"/>
        <v>10</v>
      </c>
      <c r="G96" s="40"/>
      <c r="H96" s="40"/>
      <c r="I96" s="39"/>
      <c r="J96" s="40"/>
      <c r="K96" s="40"/>
      <c r="L96" s="8"/>
      <c r="M96" s="8"/>
      <c r="N96" s="8"/>
      <c r="O96" s="8"/>
      <c r="P96" s="9"/>
      <c r="Q96" s="3"/>
      <c r="R96" s="8"/>
    </row>
    <row r="97" spans="1:18" x14ac:dyDescent="0.3">
      <c r="A97" s="403"/>
      <c r="B97" s="124"/>
      <c r="C97" s="40" t="s">
        <v>59</v>
      </c>
      <c r="D97" s="41">
        <v>20734</v>
      </c>
      <c r="E97" s="40">
        <v>1466323</v>
      </c>
      <c r="F97" s="40">
        <f t="shared" ca="1" si="9"/>
        <v>70</v>
      </c>
      <c r="G97" s="40" t="s">
        <v>945</v>
      </c>
      <c r="H97" s="40"/>
      <c r="I97" s="39"/>
      <c r="J97" s="40"/>
      <c r="K97" s="40"/>
      <c r="L97" s="8"/>
      <c r="M97" s="8"/>
      <c r="N97" s="8"/>
      <c r="O97" s="8"/>
      <c r="P97" s="104"/>
      <c r="Q97" s="5"/>
      <c r="R97" s="8"/>
    </row>
    <row r="98" spans="1:18" x14ac:dyDescent="0.3">
      <c r="A98" s="195" t="s">
        <v>946</v>
      </c>
      <c r="B98" s="134">
        <v>44955</v>
      </c>
      <c r="C98" s="1" t="s">
        <v>649</v>
      </c>
      <c r="D98" s="2">
        <v>20361</v>
      </c>
      <c r="E98" s="1">
        <v>1656925</v>
      </c>
      <c r="F98" s="1">
        <f t="shared" ca="1" si="9"/>
        <v>71</v>
      </c>
      <c r="G98" s="1" t="s">
        <v>947</v>
      </c>
      <c r="H98" s="1"/>
      <c r="I98" s="8" t="s">
        <v>948</v>
      </c>
      <c r="J98" s="1"/>
      <c r="K98" s="1"/>
      <c r="L98" s="8"/>
      <c r="M98" s="8"/>
      <c r="N98" s="8"/>
      <c r="O98" s="8"/>
      <c r="P98" s="104"/>
      <c r="Q98" s="5"/>
      <c r="R98" s="8"/>
    </row>
    <row r="99" spans="1:18" x14ac:dyDescent="0.3">
      <c r="A99" s="420" t="s">
        <v>949</v>
      </c>
      <c r="B99" s="117">
        <v>44955</v>
      </c>
      <c r="C99" s="27" t="s">
        <v>588</v>
      </c>
      <c r="D99" s="28">
        <v>23977</v>
      </c>
      <c r="E99" s="27">
        <v>2380214</v>
      </c>
      <c r="F99" s="27">
        <f ca="1">YEAR(TODAY())-YEAR(D99)</f>
        <v>61</v>
      </c>
      <c r="G99" s="27" t="s">
        <v>950</v>
      </c>
      <c r="H99" s="27"/>
      <c r="I99" s="26" t="s">
        <v>951</v>
      </c>
      <c r="J99" s="27"/>
      <c r="K99" s="27"/>
      <c r="L99" s="8"/>
      <c r="M99" s="8"/>
      <c r="N99" s="8"/>
      <c r="O99" s="8"/>
      <c r="P99" s="104"/>
      <c r="Q99" s="5"/>
      <c r="R99" s="8"/>
    </row>
    <row r="100" spans="1:18" x14ac:dyDescent="0.3">
      <c r="A100" s="420"/>
      <c r="B100" s="121"/>
      <c r="C100" s="27" t="s">
        <v>587</v>
      </c>
      <c r="D100" s="28">
        <v>23257</v>
      </c>
      <c r="E100" s="27">
        <v>1056612</v>
      </c>
      <c r="F100" s="27">
        <f ca="1">YEAR(TODAY())-YEAR(D100)</f>
        <v>63</v>
      </c>
      <c r="G100" s="27" t="s">
        <v>952</v>
      </c>
      <c r="H100" s="27"/>
      <c r="I100" s="26"/>
      <c r="J100" s="27"/>
      <c r="K100" s="27"/>
      <c r="L100" s="8"/>
      <c r="M100" s="8"/>
      <c r="N100" s="8"/>
      <c r="O100" s="8"/>
      <c r="P100" s="104"/>
      <c r="Q100" s="5"/>
      <c r="R100" s="8"/>
    </row>
    <row r="101" spans="1:18" x14ac:dyDescent="0.3">
      <c r="A101" s="421"/>
      <c r="B101" s="121"/>
      <c r="C101" s="27" t="s">
        <v>589</v>
      </c>
      <c r="D101" s="28">
        <v>38112</v>
      </c>
      <c r="E101" s="27">
        <v>3419511</v>
      </c>
      <c r="F101" s="27">
        <f t="shared" ref="F101:F106" ca="1" si="12">YEAR(TODAY())-YEAR(D101)</f>
        <v>22</v>
      </c>
      <c r="G101" s="27"/>
      <c r="H101" s="27"/>
      <c r="I101" s="26"/>
      <c r="J101" s="27"/>
      <c r="K101" s="27"/>
      <c r="L101" s="8"/>
      <c r="M101" s="8"/>
      <c r="N101" s="8"/>
      <c r="O101" s="8"/>
      <c r="P101" s="104"/>
      <c r="Q101" s="5"/>
      <c r="R101" s="8"/>
    </row>
    <row r="102" spans="1:18" x14ac:dyDescent="0.3">
      <c r="A102" s="196" t="s">
        <v>953</v>
      </c>
      <c r="B102" s="112">
        <v>44956</v>
      </c>
      <c r="C102" s="30" t="s">
        <v>954</v>
      </c>
      <c r="D102" s="31">
        <v>31782</v>
      </c>
      <c r="E102" s="30">
        <v>1002328</v>
      </c>
      <c r="F102" s="30">
        <f t="shared" ca="1" si="12"/>
        <v>39</v>
      </c>
      <c r="G102" s="30" t="s">
        <v>955</v>
      </c>
      <c r="H102" s="30"/>
      <c r="I102" s="197" t="s">
        <v>956</v>
      </c>
      <c r="J102" s="30"/>
      <c r="K102" s="30"/>
      <c r="L102" s="8"/>
      <c r="M102" s="8"/>
      <c r="N102" s="8"/>
      <c r="O102" s="8"/>
      <c r="P102" s="104"/>
      <c r="Q102" s="5"/>
      <c r="R102" s="8"/>
    </row>
    <row r="103" spans="1:18" s="193" customFormat="1" x14ac:dyDescent="0.3">
      <c r="A103" s="190" t="s">
        <v>957</v>
      </c>
      <c r="B103" s="110">
        <v>44958</v>
      </c>
      <c r="C103" s="33" t="s">
        <v>656</v>
      </c>
      <c r="D103" s="34">
        <v>31151</v>
      </c>
      <c r="E103" s="33">
        <v>1102018</v>
      </c>
      <c r="F103" s="33">
        <f t="shared" ca="1" si="12"/>
        <v>41</v>
      </c>
      <c r="G103" s="33" t="s">
        <v>958</v>
      </c>
      <c r="H103" s="33"/>
      <c r="I103" s="32" t="s">
        <v>959</v>
      </c>
      <c r="J103" s="33"/>
      <c r="K103" s="33"/>
      <c r="L103" s="8"/>
      <c r="M103" s="8"/>
      <c r="N103" s="8"/>
      <c r="O103" s="8"/>
      <c r="P103" s="104"/>
      <c r="Q103" s="5"/>
      <c r="R103" s="8"/>
    </row>
    <row r="104" spans="1:18" x14ac:dyDescent="0.3">
      <c r="A104" s="196" t="s">
        <v>960</v>
      </c>
      <c r="B104" s="113" t="s">
        <v>961</v>
      </c>
      <c r="C104" s="30" t="s">
        <v>962</v>
      </c>
      <c r="D104" s="31">
        <v>25295</v>
      </c>
      <c r="E104" s="30">
        <v>1810111</v>
      </c>
      <c r="F104" s="30">
        <f ca="1">YEAR(TODAY())-YEAR(D104)</f>
        <v>57</v>
      </c>
      <c r="G104" s="30" t="s">
        <v>963</v>
      </c>
      <c r="H104" s="30"/>
      <c r="I104" s="30" t="s">
        <v>964</v>
      </c>
      <c r="J104" s="30" t="s">
        <v>965</v>
      </c>
      <c r="K104" s="30" t="s">
        <v>966</v>
      </c>
      <c r="L104" s="8"/>
      <c r="M104" s="8"/>
      <c r="N104" s="8"/>
      <c r="O104" s="8"/>
      <c r="P104" s="9"/>
      <c r="Q104" s="3"/>
      <c r="R104" s="8"/>
    </row>
    <row r="105" spans="1:18" s="189" customFormat="1" x14ac:dyDescent="0.3">
      <c r="A105" s="183" t="s">
        <v>880</v>
      </c>
      <c r="B105" s="112">
        <v>44959</v>
      </c>
      <c r="C105" s="30" t="s">
        <v>532</v>
      </c>
      <c r="D105" s="31">
        <v>30272</v>
      </c>
      <c r="E105" s="30">
        <v>2123029</v>
      </c>
      <c r="F105" s="30">
        <f t="shared" ca="1" si="12"/>
        <v>44</v>
      </c>
      <c r="G105" s="30" t="s">
        <v>883</v>
      </c>
      <c r="H105" s="30"/>
      <c r="I105" s="29" t="s">
        <v>967</v>
      </c>
      <c r="J105" s="30"/>
      <c r="K105" s="30"/>
      <c r="L105" s="8"/>
      <c r="M105" s="8"/>
      <c r="N105" s="8"/>
      <c r="O105" s="8"/>
      <c r="P105" s="104"/>
      <c r="Q105" s="5"/>
      <c r="R105" s="8"/>
    </row>
    <row r="106" spans="1:18" s="185" customFormat="1" x14ac:dyDescent="0.3">
      <c r="A106" s="198" t="s">
        <v>968</v>
      </c>
      <c r="B106" s="119">
        <v>44960</v>
      </c>
      <c r="C106" s="36" t="s">
        <v>969</v>
      </c>
      <c r="D106" s="37">
        <v>21616</v>
      </c>
      <c r="E106" s="36">
        <v>1140610</v>
      </c>
      <c r="F106" s="36">
        <f t="shared" ca="1" si="12"/>
        <v>67</v>
      </c>
      <c r="G106" s="36" t="s">
        <v>970</v>
      </c>
      <c r="H106" s="36"/>
      <c r="I106" s="35" t="s">
        <v>971</v>
      </c>
      <c r="J106" s="36"/>
      <c r="K106" s="36"/>
      <c r="L106" s="8"/>
      <c r="M106" s="8"/>
      <c r="N106" s="8"/>
      <c r="O106" s="8"/>
      <c r="P106" s="104"/>
      <c r="Q106" s="5"/>
      <c r="R106" s="8"/>
    </row>
    <row r="107" spans="1:18" x14ac:dyDescent="0.3">
      <c r="A107" s="420" t="s">
        <v>972</v>
      </c>
      <c r="B107" s="117">
        <v>44596</v>
      </c>
      <c r="C107" s="27" t="s">
        <v>60</v>
      </c>
      <c r="D107" s="28">
        <v>26198</v>
      </c>
      <c r="E107" s="27">
        <v>1903914</v>
      </c>
      <c r="F107" s="27">
        <f t="shared" ref="F107:F163" ca="1" si="13">YEAR(TODAY())-YEAR(D107)</f>
        <v>55</v>
      </c>
      <c r="G107" s="27" t="s">
        <v>973</v>
      </c>
      <c r="H107" s="27"/>
      <c r="I107" s="26" t="s">
        <v>974</v>
      </c>
      <c r="J107" s="27"/>
      <c r="K107" s="27"/>
      <c r="L107" s="8"/>
      <c r="M107" s="8"/>
      <c r="N107" s="8"/>
      <c r="O107" s="8"/>
      <c r="P107" s="104"/>
      <c r="Q107" s="5"/>
      <c r="R107" s="8"/>
    </row>
    <row r="108" spans="1:18" x14ac:dyDescent="0.3">
      <c r="A108" s="420"/>
      <c r="B108" s="121"/>
      <c r="C108" s="27" t="s">
        <v>62</v>
      </c>
      <c r="D108" s="28">
        <v>26707</v>
      </c>
      <c r="E108" s="27">
        <v>2903812</v>
      </c>
      <c r="F108" s="27">
        <f t="shared" ca="1" si="13"/>
        <v>53</v>
      </c>
      <c r="G108" s="27" t="s">
        <v>975</v>
      </c>
      <c r="H108" s="27"/>
      <c r="I108" s="26"/>
      <c r="J108" s="27"/>
      <c r="K108" s="27"/>
      <c r="L108" s="8"/>
      <c r="M108" s="8"/>
      <c r="N108" s="8"/>
      <c r="O108" s="8"/>
      <c r="P108" s="104"/>
      <c r="Q108" s="5"/>
      <c r="R108" s="8"/>
    </row>
    <row r="109" spans="1:18" x14ac:dyDescent="0.3">
      <c r="A109" s="420"/>
      <c r="B109" s="121"/>
      <c r="C109" s="27" t="s">
        <v>63</v>
      </c>
      <c r="D109" s="28">
        <v>36824</v>
      </c>
      <c r="E109" s="27">
        <v>3850911</v>
      </c>
      <c r="F109" s="27">
        <f t="shared" ref="F109" ca="1" si="14">YEAR(TODAY())-YEAR(D109)</f>
        <v>26</v>
      </c>
      <c r="G109" s="27" t="s">
        <v>976</v>
      </c>
      <c r="H109" s="27"/>
      <c r="I109" s="26"/>
      <c r="J109" s="27"/>
      <c r="K109" s="27"/>
      <c r="L109" s="8"/>
      <c r="M109" s="8"/>
      <c r="N109" s="8"/>
      <c r="O109" s="8"/>
      <c r="P109" s="104"/>
      <c r="Q109" s="5"/>
      <c r="R109" s="8"/>
    </row>
    <row r="110" spans="1:18" x14ac:dyDescent="0.3">
      <c r="A110" s="420"/>
      <c r="B110" s="121"/>
      <c r="C110" s="27" t="s">
        <v>977</v>
      </c>
      <c r="D110" s="28">
        <v>17510</v>
      </c>
      <c r="E110" s="27">
        <v>2903814</v>
      </c>
      <c r="F110" s="27">
        <f t="shared" ca="1" si="13"/>
        <v>79</v>
      </c>
      <c r="G110" s="27" t="s">
        <v>973</v>
      </c>
      <c r="H110" s="27"/>
      <c r="I110" s="26"/>
      <c r="J110" s="27"/>
      <c r="K110" s="27"/>
      <c r="L110" s="8"/>
      <c r="M110" s="8"/>
      <c r="N110" s="8"/>
      <c r="O110" s="8"/>
      <c r="P110" s="104"/>
      <c r="Q110" s="5"/>
      <c r="R110" s="8"/>
    </row>
    <row r="111" spans="1:18" x14ac:dyDescent="0.3">
      <c r="A111" s="199" t="s">
        <v>978</v>
      </c>
      <c r="B111" s="119">
        <v>44961</v>
      </c>
      <c r="C111" s="36" t="s">
        <v>979</v>
      </c>
      <c r="D111" s="37">
        <v>27122</v>
      </c>
      <c r="E111" s="36">
        <v>2468517</v>
      </c>
      <c r="F111" s="36">
        <f t="shared" ca="1" si="13"/>
        <v>52</v>
      </c>
      <c r="G111" s="36" t="s">
        <v>980</v>
      </c>
      <c r="H111" s="36"/>
      <c r="I111" s="35" t="s">
        <v>981</v>
      </c>
      <c r="J111" s="36"/>
      <c r="K111" s="36"/>
      <c r="L111" s="8"/>
      <c r="M111" s="8"/>
      <c r="N111" s="8"/>
      <c r="O111" s="8"/>
      <c r="P111" s="104"/>
      <c r="Q111" s="5"/>
      <c r="R111" s="8"/>
    </row>
    <row r="112" spans="1:18" x14ac:dyDescent="0.3">
      <c r="A112" s="381" t="s">
        <v>982</v>
      </c>
      <c r="B112" s="109"/>
      <c r="C112" s="1" t="s">
        <v>983</v>
      </c>
      <c r="D112" s="2">
        <v>32805</v>
      </c>
      <c r="E112" s="1">
        <v>2351112</v>
      </c>
      <c r="F112" s="1">
        <f t="shared" ca="1" si="13"/>
        <v>37</v>
      </c>
      <c r="G112" s="1" t="s">
        <v>984</v>
      </c>
      <c r="H112" s="1"/>
      <c r="I112" s="8"/>
      <c r="J112" s="1"/>
      <c r="K112" s="1"/>
      <c r="L112" s="8"/>
      <c r="M112" s="8"/>
      <c r="N112" s="8"/>
      <c r="O112" s="8"/>
      <c r="P112" s="104"/>
      <c r="Q112" s="5"/>
      <c r="R112" s="8"/>
    </row>
    <row r="113" spans="1:18" x14ac:dyDescent="0.3">
      <c r="A113" s="387"/>
      <c r="B113" s="115">
        <v>44961</v>
      </c>
      <c r="C113" s="1" t="s">
        <v>985</v>
      </c>
      <c r="D113" s="2">
        <v>32547</v>
      </c>
      <c r="E113" s="1">
        <v>1726910</v>
      </c>
      <c r="F113" s="1">
        <f t="shared" ca="1" si="13"/>
        <v>37</v>
      </c>
      <c r="G113" s="1" t="s">
        <v>984</v>
      </c>
      <c r="H113" s="1"/>
      <c r="I113" s="8" t="s">
        <v>986</v>
      </c>
      <c r="J113" s="1"/>
      <c r="K113" s="1"/>
      <c r="L113" s="8"/>
      <c r="M113" s="8"/>
      <c r="N113" s="8"/>
      <c r="O113" s="8"/>
      <c r="P113" s="104"/>
      <c r="Q113" s="5"/>
      <c r="R113" s="8"/>
    </row>
    <row r="114" spans="1:18" x14ac:dyDescent="0.3">
      <c r="A114" s="434"/>
      <c r="B114" s="109"/>
      <c r="C114" s="1" t="s">
        <v>987</v>
      </c>
      <c r="D114" s="2">
        <v>42794</v>
      </c>
      <c r="E114" s="1">
        <v>4352315</v>
      </c>
      <c r="F114" s="1">
        <f t="shared" ca="1" si="13"/>
        <v>9</v>
      </c>
      <c r="G114" s="1"/>
      <c r="H114" s="1"/>
      <c r="I114" s="8"/>
      <c r="J114" s="1"/>
      <c r="K114" s="1"/>
      <c r="L114" s="8"/>
      <c r="M114" s="8"/>
      <c r="N114" s="8"/>
      <c r="O114" s="8"/>
      <c r="P114" s="104"/>
      <c r="Q114" s="5"/>
      <c r="R114" s="8"/>
    </row>
    <row r="115" spans="1:18" s="189" customFormat="1" x14ac:dyDescent="0.3">
      <c r="A115" s="183" t="s">
        <v>988</v>
      </c>
      <c r="B115" s="112">
        <v>44961</v>
      </c>
      <c r="C115" s="30" t="s">
        <v>630</v>
      </c>
      <c r="D115" s="31">
        <v>28535</v>
      </c>
      <c r="E115" s="30">
        <v>2411720</v>
      </c>
      <c r="F115" s="30">
        <f t="shared" ca="1" si="13"/>
        <v>48</v>
      </c>
      <c r="G115" s="30" t="s">
        <v>989</v>
      </c>
      <c r="H115" s="30"/>
      <c r="I115" s="29" t="s">
        <v>990</v>
      </c>
      <c r="J115" s="30"/>
      <c r="K115" s="30"/>
      <c r="L115" s="8"/>
      <c r="M115" s="8"/>
      <c r="N115" s="8"/>
      <c r="O115" s="8"/>
      <c r="P115" s="104"/>
      <c r="Q115" s="5"/>
      <c r="R115" s="8"/>
    </row>
    <row r="116" spans="1:18" s="193" customFormat="1" x14ac:dyDescent="0.3">
      <c r="A116" s="404" t="s">
        <v>991</v>
      </c>
      <c r="B116" s="110">
        <v>44962</v>
      </c>
      <c r="C116" s="33" t="s">
        <v>992</v>
      </c>
      <c r="D116" s="34">
        <v>29936</v>
      </c>
      <c r="E116" s="33">
        <v>1260830</v>
      </c>
      <c r="F116" s="33">
        <f t="shared" ca="1" si="13"/>
        <v>45</v>
      </c>
      <c r="G116" s="33" t="s">
        <v>993</v>
      </c>
      <c r="H116" s="33"/>
      <c r="I116" s="32" t="s">
        <v>994</v>
      </c>
      <c r="J116" s="33"/>
      <c r="K116" s="33"/>
      <c r="L116" s="8"/>
      <c r="M116" s="8"/>
      <c r="N116" s="8"/>
      <c r="O116" s="8"/>
      <c r="P116" s="104"/>
      <c r="Q116" s="5"/>
      <c r="R116" s="8"/>
    </row>
    <row r="117" spans="1:18" s="193" customFormat="1" x14ac:dyDescent="0.3">
      <c r="A117" s="405"/>
      <c r="B117" s="111"/>
      <c r="C117" s="33" t="s">
        <v>995</v>
      </c>
      <c r="D117" s="34">
        <v>31080</v>
      </c>
      <c r="E117" s="33">
        <v>2042019</v>
      </c>
      <c r="F117" s="33">
        <f t="shared" ca="1" si="13"/>
        <v>41</v>
      </c>
      <c r="G117" s="33" t="s">
        <v>996</v>
      </c>
      <c r="H117" s="33"/>
      <c r="I117" s="32"/>
      <c r="J117" s="33"/>
      <c r="K117" s="33"/>
      <c r="L117" s="8"/>
      <c r="M117" s="8"/>
      <c r="N117" s="8"/>
      <c r="O117" s="8"/>
      <c r="P117" s="104"/>
      <c r="Q117" s="5"/>
      <c r="R117" s="8"/>
    </row>
    <row r="118" spans="1:18" s="193" customFormat="1" x14ac:dyDescent="0.3">
      <c r="A118" s="405"/>
      <c r="B118" s="111"/>
      <c r="C118" s="33" t="s">
        <v>997</v>
      </c>
      <c r="D118" s="34">
        <v>40695</v>
      </c>
      <c r="E118" s="33">
        <v>3412711</v>
      </c>
      <c r="F118" s="33">
        <f t="shared" ca="1" si="13"/>
        <v>15</v>
      </c>
      <c r="G118" s="33"/>
      <c r="H118" s="33"/>
      <c r="I118" s="32"/>
      <c r="J118" s="33"/>
      <c r="K118" s="33"/>
      <c r="L118" s="8"/>
      <c r="M118" s="8"/>
      <c r="N118" s="8"/>
      <c r="O118" s="8"/>
      <c r="P118" s="104"/>
      <c r="Q118" s="5"/>
      <c r="R118" s="8"/>
    </row>
    <row r="119" spans="1:18" s="193" customFormat="1" x14ac:dyDescent="0.3">
      <c r="A119" s="406"/>
      <c r="B119" s="111"/>
      <c r="C119" s="33" t="s">
        <v>998</v>
      </c>
      <c r="D119" s="34">
        <v>41528</v>
      </c>
      <c r="E119" s="33">
        <v>3476010</v>
      </c>
      <c r="F119" s="33">
        <f t="shared" ca="1" si="13"/>
        <v>13</v>
      </c>
      <c r="G119" s="33"/>
      <c r="H119" s="33"/>
      <c r="I119" s="32"/>
      <c r="J119" s="33"/>
      <c r="K119" s="33"/>
      <c r="L119" s="8"/>
      <c r="M119" s="8"/>
      <c r="N119" s="8"/>
      <c r="O119" s="8"/>
      <c r="P119" s="104"/>
      <c r="Q119" s="5"/>
      <c r="R119" s="8"/>
    </row>
    <row r="120" spans="1:18" x14ac:dyDescent="0.3">
      <c r="A120" s="200" t="s">
        <v>999</v>
      </c>
      <c r="B120" s="112">
        <v>44963</v>
      </c>
      <c r="C120" s="30" t="s">
        <v>1000</v>
      </c>
      <c r="D120" s="31">
        <v>27269</v>
      </c>
      <c r="E120" s="30">
        <v>1528011</v>
      </c>
      <c r="F120" s="30">
        <f t="shared" ca="1" si="13"/>
        <v>52</v>
      </c>
      <c r="G120" s="30" t="s">
        <v>1001</v>
      </c>
      <c r="H120" s="30"/>
      <c r="I120" s="29" t="s">
        <v>1002</v>
      </c>
      <c r="J120" s="30"/>
      <c r="K120" s="30"/>
      <c r="L120" s="8"/>
      <c r="M120" s="8"/>
      <c r="N120" s="8"/>
      <c r="O120" s="8"/>
      <c r="P120" s="104"/>
      <c r="Q120" s="5"/>
      <c r="R120" s="8"/>
    </row>
    <row r="121" spans="1:18" x14ac:dyDescent="0.3">
      <c r="A121" s="27"/>
      <c r="B121" s="117">
        <v>44963</v>
      </c>
      <c r="C121" s="27" t="s">
        <v>32</v>
      </c>
      <c r="D121" s="28"/>
      <c r="E121" s="27" t="s">
        <v>1003</v>
      </c>
      <c r="F121" s="27"/>
      <c r="G121" s="27"/>
      <c r="H121" s="27"/>
      <c r="I121" s="26" t="s">
        <v>1004</v>
      </c>
      <c r="J121" s="27"/>
      <c r="K121" s="27"/>
      <c r="L121" s="8"/>
      <c r="M121" s="8"/>
      <c r="N121" s="8"/>
      <c r="O121" s="8"/>
      <c r="P121" s="104"/>
      <c r="Q121" s="5"/>
      <c r="R121" s="8"/>
    </row>
    <row r="122" spans="1:18" x14ac:dyDescent="0.3">
      <c r="A122" s="182" t="s">
        <v>910</v>
      </c>
      <c r="B122" s="115">
        <v>44964</v>
      </c>
      <c r="C122" s="1" t="s">
        <v>43</v>
      </c>
      <c r="D122" s="2">
        <v>27402</v>
      </c>
      <c r="E122" s="1">
        <v>1119910</v>
      </c>
      <c r="F122" s="1">
        <f t="shared" ca="1" si="13"/>
        <v>51</v>
      </c>
      <c r="G122" s="1" t="s">
        <v>911</v>
      </c>
      <c r="H122" s="1"/>
      <c r="I122" s="8" t="s">
        <v>1005</v>
      </c>
      <c r="J122" s="1"/>
      <c r="K122" s="1"/>
      <c r="L122" s="8"/>
      <c r="M122" s="8"/>
      <c r="N122" s="8"/>
      <c r="O122" s="8"/>
      <c r="P122" s="104"/>
      <c r="Q122" s="5"/>
      <c r="R122" s="8"/>
    </row>
    <row r="123" spans="1:18" x14ac:dyDescent="0.3">
      <c r="A123" s="201" t="s">
        <v>739</v>
      </c>
      <c r="B123" s="114">
        <v>44965</v>
      </c>
      <c r="C123" s="57" t="s">
        <v>26</v>
      </c>
      <c r="D123" s="58">
        <v>29900</v>
      </c>
      <c r="E123" s="57">
        <v>1918416</v>
      </c>
      <c r="F123" s="57">
        <f t="shared" ca="1" si="13"/>
        <v>45</v>
      </c>
      <c r="G123" s="57" t="s">
        <v>740</v>
      </c>
      <c r="H123" s="57"/>
      <c r="I123" s="179" t="s">
        <v>1006</v>
      </c>
      <c r="J123" s="57"/>
      <c r="K123" s="57"/>
      <c r="L123" s="8"/>
      <c r="M123" s="8"/>
      <c r="N123" s="8"/>
      <c r="O123" s="8"/>
      <c r="P123" s="104"/>
      <c r="Q123" s="5"/>
      <c r="R123" s="8"/>
    </row>
    <row r="124" spans="1:18" x14ac:dyDescent="0.3">
      <c r="A124" s="202" t="s">
        <v>1007</v>
      </c>
      <c r="B124" s="117">
        <v>44966</v>
      </c>
      <c r="C124" s="27" t="s">
        <v>1008</v>
      </c>
      <c r="D124" s="28">
        <v>28262</v>
      </c>
      <c r="E124" s="27">
        <v>2478811</v>
      </c>
      <c r="F124" s="27">
        <f t="shared" ca="1" si="13"/>
        <v>49</v>
      </c>
      <c r="G124" s="27" t="s">
        <v>1009</v>
      </c>
      <c r="H124" s="27"/>
      <c r="I124" s="26" t="s">
        <v>1010</v>
      </c>
      <c r="J124" s="27"/>
      <c r="K124" s="27"/>
      <c r="L124" s="8"/>
      <c r="M124" s="8"/>
      <c r="N124" s="8"/>
      <c r="O124" s="8"/>
      <c r="P124" s="104"/>
      <c r="Q124" s="5"/>
      <c r="R124" s="8"/>
    </row>
    <row r="125" spans="1:18" s="185" customFormat="1" x14ac:dyDescent="0.3">
      <c r="A125" s="198" t="s">
        <v>1011</v>
      </c>
      <c r="B125" s="119">
        <v>44967</v>
      </c>
      <c r="C125" s="36" t="s">
        <v>486</v>
      </c>
      <c r="D125" s="37">
        <v>28459</v>
      </c>
      <c r="E125" s="36">
        <v>1120310</v>
      </c>
      <c r="F125" s="36">
        <f t="shared" ca="1" si="13"/>
        <v>49</v>
      </c>
      <c r="G125" s="36" t="s">
        <v>1012</v>
      </c>
      <c r="H125" s="36"/>
      <c r="I125" s="35" t="s">
        <v>1013</v>
      </c>
      <c r="J125" s="36"/>
      <c r="K125" s="36"/>
      <c r="L125" s="8"/>
      <c r="M125" s="8"/>
      <c r="N125" s="8"/>
      <c r="O125" s="8"/>
      <c r="P125" s="104"/>
      <c r="Q125" s="5"/>
      <c r="R125" s="8"/>
    </row>
    <row r="126" spans="1:18" x14ac:dyDescent="0.3">
      <c r="A126" s="203" t="s">
        <v>1014</v>
      </c>
      <c r="B126" s="110">
        <v>44967</v>
      </c>
      <c r="C126" s="33" t="s">
        <v>1015</v>
      </c>
      <c r="D126" s="34">
        <v>18733</v>
      </c>
      <c r="E126" s="33">
        <v>2478818</v>
      </c>
      <c r="F126" s="33">
        <f t="shared" ca="1" si="13"/>
        <v>75</v>
      </c>
      <c r="G126" s="33" t="s">
        <v>1016</v>
      </c>
      <c r="H126" s="33"/>
      <c r="I126" s="32" t="s">
        <v>1017</v>
      </c>
      <c r="J126" s="33"/>
      <c r="K126" s="33"/>
      <c r="L126" s="8"/>
      <c r="M126" s="8"/>
      <c r="N126" s="8"/>
      <c r="O126" s="8"/>
      <c r="P126" s="9"/>
      <c r="Q126" s="3"/>
      <c r="R126" s="8"/>
    </row>
    <row r="127" spans="1:18" s="204" customFormat="1" x14ac:dyDescent="0.3">
      <c r="A127" s="420" t="s">
        <v>1018</v>
      </c>
      <c r="B127" s="117">
        <v>44969</v>
      </c>
      <c r="C127" s="27" t="s">
        <v>539</v>
      </c>
      <c r="D127" s="28">
        <v>29242</v>
      </c>
      <c r="E127" s="27">
        <v>1722116</v>
      </c>
      <c r="F127" s="27">
        <f t="shared" ca="1" si="13"/>
        <v>46</v>
      </c>
      <c r="G127" s="27" t="s">
        <v>1019</v>
      </c>
      <c r="H127" s="27"/>
      <c r="I127" s="26" t="s">
        <v>1020</v>
      </c>
      <c r="J127" s="27"/>
      <c r="K127" s="27"/>
      <c r="L127" s="8"/>
      <c r="M127" s="8"/>
      <c r="N127" s="8"/>
      <c r="O127" s="8"/>
      <c r="P127" s="104"/>
      <c r="Q127" s="5"/>
      <c r="R127" s="8"/>
    </row>
    <row r="128" spans="1:18" s="204" customFormat="1" x14ac:dyDescent="0.3">
      <c r="A128" s="421"/>
      <c r="B128" s="121"/>
      <c r="C128" s="27" t="s">
        <v>540</v>
      </c>
      <c r="D128" s="28">
        <v>31212</v>
      </c>
      <c r="E128" s="27">
        <v>2731010</v>
      </c>
      <c r="F128" s="27">
        <f t="shared" ca="1" si="13"/>
        <v>41</v>
      </c>
      <c r="G128" s="27" t="s">
        <v>1021</v>
      </c>
      <c r="H128" s="27"/>
      <c r="I128" s="26"/>
      <c r="J128" s="27"/>
      <c r="K128" s="27"/>
      <c r="L128" s="8"/>
      <c r="M128" s="8"/>
      <c r="N128" s="8"/>
      <c r="O128" s="8"/>
      <c r="P128" s="104"/>
      <c r="Q128" s="5"/>
      <c r="R128" s="8"/>
    </row>
    <row r="129" spans="1:18" s="204" customFormat="1" x14ac:dyDescent="0.3">
      <c r="A129" s="421"/>
      <c r="B129" s="121"/>
      <c r="C129" s="27" t="s">
        <v>541</v>
      </c>
      <c r="D129" s="28">
        <v>40739</v>
      </c>
      <c r="E129" s="27">
        <v>4412718</v>
      </c>
      <c r="F129" s="27">
        <f t="shared" ca="1" si="13"/>
        <v>15</v>
      </c>
      <c r="G129" s="27"/>
      <c r="H129" s="27"/>
      <c r="I129" s="26"/>
      <c r="J129" s="27"/>
      <c r="K129" s="27"/>
      <c r="L129" s="8"/>
      <c r="M129" s="8"/>
      <c r="N129" s="8"/>
      <c r="O129" s="8"/>
      <c r="P129" s="104"/>
      <c r="Q129" s="5"/>
      <c r="R129" s="8"/>
    </row>
    <row r="130" spans="1:18" s="204" customFormat="1" x14ac:dyDescent="0.3">
      <c r="A130" s="421"/>
      <c r="B130" s="121"/>
      <c r="C130" s="27" t="s">
        <v>542</v>
      </c>
      <c r="D130" s="28">
        <v>41310</v>
      </c>
      <c r="E130" s="27">
        <v>4476014</v>
      </c>
      <c r="F130" s="27">
        <f t="shared" ca="1" si="13"/>
        <v>13</v>
      </c>
      <c r="G130" s="27"/>
      <c r="H130" s="27"/>
      <c r="I130" s="26"/>
      <c r="J130" s="27"/>
      <c r="K130" s="27"/>
      <c r="L130" s="8"/>
      <c r="M130" s="8"/>
      <c r="N130" s="8"/>
      <c r="O130" s="8"/>
      <c r="P130" s="104"/>
      <c r="Q130" s="5"/>
      <c r="R130" s="8"/>
    </row>
    <row r="131" spans="1:18" x14ac:dyDescent="0.3">
      <c r="A131" s="408" t="s">
        <v>1022</v>
      </c>
      <c r="B131" s="112">
        <v>44971</v>
      </c>
      <c r="C131" s="30" t="s">
        <v>1023</v>
      </c>
      <c r="D131" s="31">
        <v>32072</v>
      </c>
      <c r="E131" s="30">
        <v>2450713</v>
      </c>
      <c r="F131" s="30">
        <f t="shared" ca="1" si="13"/>
        <v>39</v>
      </c>
      <c r="G131" s="30" t="s">
        <v>1024</v>
      </c>
      <c r="H131" s="30"/>
      <c r="I131" s="29" t="s">
        <v>1025</v>
      </c>
      <c r="J131" s="30"/>
      <c r="K131" s="30"/>
      <c r="L131" s="8"/>
      <c r="M131" s="8"/>
      <c r="N131" s="8"/>
      <c r="O131" s="8"/>
      <c r="P131" s="104"/>
      <c r="Q131" s="5"/>
      <c r="R131" s="8"/>
    </row>
    <row r="132" spans="1:18" x14ac:dyDescent="0.3">
      <c r="A132" s="427"/>
      <c r="B132" s="113"/>
      <c r="C132" s="30" t="s">
        <v>1026</v>
      </c>
      <c r="D132" s="31">
        <v>32201</v>
      </c>
      <c r="E132" s="30"/>
      <c r="F132" s="30">
        <f t="shared" ca="1" si="13"/>
        <v>38</v>
      </c>
      <c r="G132" s="30" t="s">
        <v>1027</v>
      </c>
      <c r="H132" s="30"/>
      <c r="I132" s="29"/>
      <c r="J132" s="30"/>
      <c r="K132" s="30"/>
      <c r="L132" s="8"/>
      <c r="M132" s="8"/>
      <c r="N132" s="8"/>
      <c r="O132" s="8"/>
      <c r="P132" s="104"/>
      <c r="Q132" s="5"/>
      <c r="R132" s="8"/>
    </row>
    <row r="133" spans="1:18" s="185" customFormat="1" x14ac:dyDescent="0.3">
      <c r="A133" s="205" t="s">
        <v>1028</v>
      </c>
      <c r="B133" s="119">
        <v>44971</v>
      </c>
      <c r="C133" s="36" t="s">
        <v>461</v>
      </c>
      <c r="D133" s="37">
        <v>28620</v>
      </c>
      <c r="E133" s="36">
        <v>2466414</v>
      </c>
      <c r="F133" s="36">
        <f t="shared" ca="1" si="13"/>
        <v>48</v>
      </c>
      <c r="G133" s="36" t="s">
        <v>1029</v>
      </c>
      <c r="H133" s="36"/>
      <c r="I133" s="35" t="s">
        <v>1030</v>
      </c>
      <c r="J133" s="36"/>
      <c r="K133" s="36"/>
      <c r="L133" s="8"/>
      <c r="M133" s="8"/>
      <c r="N133" s="8"/>
      <c r="O133" s="8"/>
      <c r="P133" s="104"/>
      <c r="Q133" s="5"/>
      <c r="R133" s="8"/>
    </row>
    <row r="134" spans="1:18" x14ac:dyDescent="0.3">
      <c r="A134" s="402" t="s">
        <v>1031</v>
      </c>
      <c r="B134" s="118"/>
      <c r="C134" s="40" t="s">
        <v>1032</v>
      </c>
      <c r="D134" s="41">
        <v>28079</v>
      </c>
      <c r="E134" s="40">
        <v>1475912</v>
      </c>
      <c r="F134" s="40">
        <f t="shared" ca="1" si="13"/>
        <v>50</v>
      </c>
      <c r="G134" s="40"/>
      <c r="H134" s="40"/>
      <c r="I134" s="39"/>
      <c r="J134" s="40"/>
      <c r="K134" s="40"/>
      <c r="L134" s="8"/>
      <c r="M134" s="8"/>
      <c r="N134" s="8"/>
      <c r="O134" s="8"/>
      <c r="P134" s="104"/>
      <c r="Q134" s="5"/>
      <c r="R134" s="8"/>
    </row>
    <row r="135" spans="1:18" x14ac:dyDescent="0.3">
      <c r="A135" s="424"/>
      <c r="B135" s="124"/>
      <c r="C135" s="40" t="s">
        <v>1033</v>
      </c>
      <c r="D135" s="41">
        <v>28663</v>
      </c>
      <c r="E135" s="40">
        <v>2090415</v>
      </c>
      <c r="F135" s="40">
        <f t="shared" ca="1" si="13"/>
        <v>48</v>
      </c>
      <c r="G135" s="40"/>
      <c r="H135" s="40"/>
      <c r="I135" s="39"/>
      <c r="J135" s="40"/>
      <c r="K135" s="40"/>
      <c r="L135" s="8"/>
      <c r="M135" s="8"/>
      <c r="N135" s="8"/>
      <c r="O135" s="8"/>
      <c r="P135" s="104"/>
      <c r="Q135" s="5"/>
      <c r="R135" s="8"/>
    </row>
    <row r="136" spans="1:18" x14ac:dyDescent="0.3">
      <c r="A136" s="424"/>
      <c r="B136" s="124"/>
      <c r="C136" s="40" t="s">
        <v>1034</v>
      </c>
      <c r="D136" s="41">
        <v>38891</v>
      </c>
      <c r="E136" s="40">
        <v>3475919</v>
      </c>
      <c r="F136" s="40">
        <f t="shared" ca="1" si="13"/>
        <v>20</v>
      </c>
      <c r="G136" s="40"/>
      <c r="H136" s="40"/>
      <c r="I136" s="39"/>
      <c r="J136" s="40"/>
      <c r="K136" s="40"/>
      <c r="L136" s="8"/>
      <c r="M136" s="8"/>
      <c r="N136" s="8"/>
      <c r="O136" s="8"/>
      <c r="P136" s="104"/>
      <c r="Q136" s="5"/>
      <c r="R136" s="8"/>
    </row>
    <row r="137" spans="1:18" x14ac:dyDescent="0.3">
      <c r="A137" s="424"/>
      <c r="B137" s="124"/>
      <c r="C137" s="40" t="s">
        <v>1035</v>
      </c>
      <c r="D137" s="41">
        <v>40168</v>
      </c>
      <c r="E137" s="40">
        <v>3475918</v>
      </c>
      <c r="F137" s="40">
        <f t="shared" ca="1" si="13"/>
        <v>17</v>
      </c>
      <c r="G137" s="40"/>
      <c r="H137" s="40"/>
      <c r="I137" s="39"/>
      <c r="J137" s="40"/>
      <c r="K137" s="40"/>
      <c r="L137" s="8"/>
      <c r="M137" s="8"/>
      <c r="N137" s="8"/>
      <c r="O137" s="8"/>
      <c r="P137" s="104"/>
      <c r="Q137" s="5"/>
      <c r="R137" s="8"/>
    </row>
    <row r="138" spans="1:18" x14ac:dyDescent="0.3">
      <c r="A138" s="425"/>
      <c r="B138" s="124"/>
      <c r="C138" s="40" t="s">
        <v>1036</v>
      </c>
      <c r="D138" s="41">
        <v>41855</v>
      </c>
      <c r="E138" s="40">
        <v>3475918</v>
      </c>
      <c r="F138" s="40">
        <f t="shared" ca="1" si="13"/>
        <v>12</v>
      </c>
      <c r="G138" s="40"/>
      <c r="H138" s="40"/>
      <c r="I138" s="39"/>
      <c r="J138" s="40"/>
      <c r="K138" s="40"/>
      <c r="L138" s="8"/>
      <c r="M138" s="8"/>
      <c r="N138" s="8"/>
      <c r="O138" s="8"/>
      <c r="P138" s="104"/>
      <c r="Q138" s="5"/>
      <c r="R138" s="8"/>
    </row>
    <row r="139" spans="1:18" x14ac:dyDescent="0.3">
      <c r="A139" s="420" t="s">
        <v>1037</v>
      </c>
      <c r="B139" s="117"/>
      <c r="C139" s="27" t="s">
        <v>388</v>
      </c>
      <c r="D139" s="28">
        <v>28599</v>
      </c>
      <c r="E139" s="27">
        <v>2823617</v>
      </c>
      <c r="F139" s="27">
        <f t="shared" ca="1" si="13"/>
        <v>48</v>
      </c>
      <c r="G139" s="27" t="s">
        <v>1038</v>
      </c>
      <c r="H139" s="27"/>
      <c r="I139" s="26"/>
      <c r="J139" s="27"/>
      <c r="K139" s="27"/>
      <c r="L139" s="8"/>
      <c r="M139" s="8"/>
      <c r="N139" s="8"/>
      <c r="O139" s="8"/>
      <c r="P139" s="104"/>
      <c r="Q139" s="5"/>
      <c r="R139" s="8"/>
    </row>
    <row r="140" spans="1:18" x14ac:dyDescent="0.3">
      <c r="A140" s="420"/>
      <c r="B140" s="117">
        <v>44972</v>
      </c>
      <c r="C140" s="27" t="s">
        <v>389</v>
      </c>
      <c r="D140" s="28">
        <v>28394</v>
      </c>
      <c r="E140" s="27">
        <v>1804310</v>
      </c>
      <c r="F140" s="27">
        <f t="shared" ca="1" si="13"/>
        <v>49</v>
      </c>
      <c r="G140" s="27" t="s">
        <v>1039</v>
      </c>
      <c r="H140" s="27"/>
      <c r="I140" s="26" t="s">
        <v>1040</v>
      </c>
      <c r="J140" s="27"/>
      <c r="K140" s="27"/>
      <c r="L140" s="8"/>
      <c r="M140" s="8"/>
      <c r="N140" s="8"/>
      <c r="O140" s="8"/>
      <c r="P140" s="104"/>
      <c r="Q140" s="5"/>
      <c r="R140" s="8"/>
    </row>
    <row r="141" spans="1:18" x14ac:dyDescent="0.3">
      <c r="A141" s="420"/>
      <c r="B141" s="121"/>
      <c r="C141" s="27" t="s">
        <v>391</v>
      </c>
      <c r="D141" s="28">
        <v>40015</v>
      </c>
      <c r="E141" s="27">
        <v>3411611</v>
      </c>
      <c r="F141" s="27">
        <f t="shared" ca="1" si="13"/>
        <v>17</v>
      </c>
      <c r="G141" s="27"/>
      <c r="H141" s="27"/>
      <c r="I141" s="26"/>
      <c r="J141" s="27"/>
      <c r="K141" s="27"/>
      <c r="L141" s="8"/>
      <c r="M141" s="8"/>
      <c r="N141" s="8"/>
      <c r="O141" s="8"/>
      <c r="P141" s="104"/>
      <c r="Q141" s="5"/>
      <c r="R141" s="8"/>
    </row>
    <row r="142" spans="1:18" x14ac:dyDescent="0.3">
      <c r="A142" s="420"/>
      <c r="B142" s="121"/>
      <c r="C142" s="27" t="s">
        <v>392</v>
      </c>
      <c r="D142" s="28">
        <v>40960</v>
      </c>
      <c r="E142" s="27">
        <v>3412512</v>
      </c>
      <c r="F142" s="27">
        <f t="shared" ca="1" si="13"/>
        <v>14</v>
      </c>
      <c r="G142" s="27"/>
      <c r="H142" s="27"/>
      <c r="I142" s="26"/>
      <c r="J142" s="27"/>
      <c r="K142" s="27"/>
      <c r="L142" s="8"/>
      <c r="M142" s="8"/>
      <c r="N142" s="8"/>
      <c r="O142" s="8"/>
      <c r="P142" s="104"/>
      <c r="Q142" s="5"/>
      <c r="R142" s="8"/>
    </row>
    <row r="143" spans="1:18" x14ac:dyDescent="0.3">
      <c r="A143" s="182" t="s">
        <v>1041</v>
      </c>
      <c r="B143" s="115">
        <v>44608</v>
      </c>
      <c r="C143" s="1" t="s">
        <v>64</v>
      </c>
      <c r="D143" s="2">
        <v>19324</v>
      </c>
      <c r="E143" s="1">
        <v>1656910</v>
      </c>
      <c r="F143" s="1">
        <f t="shared" ca="1" si="13"/>
        <v>74</v>
      </c>
      <c r="G143" s="1" t="s">
        <v>1042</v>
      </c>
      <c r="H143" s="1"/>
      <c r="I143" s="8" t="s">
        <v>1043</v>
      </c>
      <c r="J143" s="1"/>
      <c r="K143" s="1"/>
      <c r="L143" s="8"/>
      <c r="M143" s="8"/>
      <c r="N143" s="8"/>
      <c r="O143" s="8"/>
      <c r="P143" s="9"/>
      <c r="Q143" s="3"/>
      <c r="R143" s="8"/>
    </row>
    <row r="144" spans="1:18" x14ac:dyDescent="0.3">
      <c r="A144" s="398" t="s">
        <v>1044</v>
      </c>
      <c r="B144" s="117">
        <v>44973</v>
      </c>
      <c r="C144" s="27" t="s">
        <v>1045</v>
      </c>
      <c r="D144" s="28">
        <v>31497</v>
      </c>
      <c r="E144" s="27">
        <v>2482613</v>
      </c>
      <c r="F144" s="27">
        <f t="shared" ca="1" si="13"/>
        <v>40</v>
      </c>
      <c r="G144" s="27" t="s">
        <v>1046</v>
      </c>
      <c r="H144" s="27"/>
      <c r="I144" s="26" t="s">
        <v>1047</v>
      </c>
      <c r="J144" s="27"/>
      <c r="K144" s="27"/>
      <c r="L144" s="8"/>
      <c r="M144" s="8"/>
      <c r="N144" s="8"/>
      <c r="O144" s="8"/>
      <c r="P144" s="9"/>
      <c r="Q144" s="3"/>
      <c r="R144" s="8"/>
    </row>
    <row r="145" spans="1:18" x14ac:dyDescent="0.3">
      <c r="A145" s="399"/>
      <c r="B145" s="121"/>
      <c r="C145" s="27" t="s">
        <v>1048</v>
      </c>
      <c r="D145" s="28">
        <v>29489</v>
      </c>
      <c r="E145" s="27">
        <v>2482310</v>
      </c>
      <c r="F145" s="27">
        <f t="shared" ca="1" si="13"/>
        <v>46</v>
      </c>
      <c r="G145" s="27" t="s">
        <v>1049</v>
      </c>
      <c r="H145" s="27"/>
      <c r="I145" s="26"/>
      <c r="J145" s="27"/>
      <c r="K145" s="27"/>
      <c r="L145" s="8"/>
      <c r="M145" s="8"/>
      <c r="N145" s="8"/>
      <c r="O145" s="8"/>
      <c r="P145" s="9"/>
      <c r="Q145" s="3"/>
      <c r="R145" s="8"/>
    </row>
    <row r="146" spans="1:18" x14ac:dyDescent="0.3">
      <c r="A146" s="399"/>
      <c r="B146" s="121"/>
      <c r="C146" s="27" t="s">
        <v>1050</v>
      </c>
      <c r="D146" s="28">
        <v>40052</v>
      </c>
      <c r="E146" s="27">
        <v>4478814</v>
      </c>
      <c r="F146" s="27">
        <f t="shared" ca="1" si="13"/>
        <v>17</v>
      </c>
      <c r="G146" s="27"/>
      <c r="H146" s="27"/>
      <c r="I146" s="26"/>
      <c r="J146" s="27"/>
      <c r="K146" s="27"/>
      <c r="L146" s="8"/>
      <c r="M146" s="8"/>
      <c r="N146" s="8"/>
      <c r="O146" s="8"/>
      <c r="P146" s="9"/>
      <c r="Q146" s="3"/>
      <c r="R146" s="8"/>
    </row>
    <row r="147" spans="1:18" x14ac:dyDescent="0.3">
      <c r="A147" s="399"/>
      <c r="B147" s="121"/>
      <c r="C147" s="27" t="s">
        <v>1051</v>
      </c>
      <c r="D147" s="28">
        <v>18812</v>
      </c>
      <c r="E147" s="27">
        <v>2411924</v>
      </c>
      <c r="F147" s="27">
        <f t="shared" ca="1" si="13"/>
        <v>75</v>
      </c>
      <c r="G147" s="27" t="s">
        <v>1052</v>
      </c>
      <c r="H147" s="27"/>
      <c r="I147" s="26"/>
      <c r="J147" s="27"/>
      <c r="K147" s="27"/>
      <c r="L147" s="8"/>
      <c r="M147" s="8"/>
      <c r="N147" s="8"/>
      <c r="O147" s="8"/>
      <c r="P147" s="9"/>
      <c r="Q147" s="3"/>
      <c r="R147" s="8"/>
    </row>
    <row r="148" spans="1:18" x14ac:dyDescent="0.3">
      <c r="A148" s="399"/>
      <c r="B148" s="121"/>
      <c r="C148" s="27" t="s">
        <v>1053</v>
      </c>
      <c r="D148" s="28">
        <v>28522</v>
      </c>
      <c r="E148" s="27">
        <v>1411214</v>
      </c>
      <c r="F148" s="27">
        <f t="shared" ca="1" si="13"/>
        <v>48</v>
      </c>
      <c r="G148" s="27" t="s">
        <v>1054</v>
      </c>
      <c r="H148" s="27"/>
      <c r="I148" s="26" t="s">
        <v>1055</v>
      </c>
      <c r="J148" s="27"/>
      <c r="K148" s="27"/>
      <c r="L148" s="8"/>
      <c r="M148" s="8"/>
      <c r="N148" s="8"/>
      <c r="O148" s="8"/>
      <c r="P148" s="9"/>
      <c r="Q148" s="3"/>
      <c r="R148" s="8"/>
    </row>
    <row r="149" spans="1:18" x14ac:dyDescent="0.3">
      <c r="A149" s="438"/>
      <c r="B149" s="121"/>
      <c r="C149" s="27" t="s">
        <v>1056</v>
      </c>
      <c r="D149" s="28">
        <v>21008</v>
      </c>
      <c r="E149" s="27">
        <v>1403013</v>
      </c>
      <c r="F149" s="27">
        <f t="shared" ca="1" si="13"/>
        <v>69</v>
      </c>
      <c r="G149" s="27" t="s">
        <v>1057</v>
      </c>
      <c r="H149" s="27"/>
      <c r="I149" s="26"/>
      <c r="J149" s="27"/>
      <c r="K149" s="27"/>
      <c r="L149" s="8"/>
      <c r="M149" s="8"/>
      <c r="N149" s="8"/>
      <c r="O149" s="8"/>
      <c r="P149" s="9"/>
      <c r="Q149" s="3"/>
      <c r="R149" s="8"/>
    </row>
    <row r="150" spans="1:18" x14ac:dyDescent="0.3">
      <c r="A150" s="390" t="s">
        <v>1058</v>
      </c>
      <c r="B150" s="119">
        <v>44975</v>
      </c>
      <c r="C150" s="36" t="s">
        <v>1059</v>
      </c>
      <c r="D150" s="37">
        <v>29081</v>
      </c>
      <c r="E150" s="36">
        <v>1085230</v>
      </c>
      <c r="F150" s="36">
        <f t="shared" ca="1" si="13"/>
        <v>47</v>
      </c>
      <c r="G150" s="36"/>
      <c r="H150" s="36"/>
      <c r="I150" s="35" t="s">
        <v>1060</v>
      </c>
      <c r="J150" s="36"/>
      <c r="K150" s="36"/>
      <c r="L150" s="8"/>
      <c r="M150" s="8"/>
      <c r="N150" s="8"/>
      <c r="O150" s="8"/>
      <c r="P150" s="9"/>
      <c r="Q150" s="3"/>
      <c r="R150" s="8"/>
    </row>
    <row r="151" spans="1:18" x14ac:dyDescent="0.3">
      <c r="A151" s="412"/>
      <c r="B151" s="120"/>
      <c r="C151" s="36" t="s">
        <v>1061</v>
      </c>
      <c r="D151" s="37">
        <v>29014</v>
      </c>
      <c r="E151" s="36">
        <v>2806612</v>
      </c>
      <c r="F151" s="36">
        <f t="shared" ca="1" si="13"/>
        <v>47</v>
      </c>
      <c r="G151" s="36" t="s">
        <v>1062</v>
      </c>
      <c r="H151" s="36"/>
      <c r="I151" s="35"/>
      <c r="J151" s="36"/>
      <c r="K151" s="36"/>
      <c r="L151" s="8" t="s">
        <v>1063</v>
      </c>
      <c r="M151" s="8"/>
      <c r="N151" s="8"/>
      <c r="O151" s="8"/>
      <c r="P151" s="9"/>
      <c r="Q151" s="3"/>
      <c r="R151" s="8"/>
    </row>
    <row r="152" spans="1:18" x14ac:dyDescent="0.3">
      <c r="A152" s="412"/>
      <c r="B152" s="120"/>
      <c r="C152" s="36" t="s">
        <v>1064</v>
      </c>
      <c r="D152" s="37">
        <v>39424</v>
      </c>
      <c r="E152" s="36">
        <v>4412014</v>
      </c>
      <c r="F152" s="36">
        <f t="shared" ca="1" si="13"/>
        <v>19</v>
      </c>
      <c r="G152" s="36"/>
      <c r="H152" s="36"/>
      <c r="I152" s="35"/>
      <c r="J152" s="36"/>
      <c r="K152" s="36"/>
      <c r="L152" s="8"/>
      <c r="M152" s="8"/>
      <c r="N152" s="8"/>
      <c r="O152" s="8"/>
      <c r="P152" s="9"/>
      <c r="Q152" s="3"/>
      <c r="R152" s="8"/>
    </row>
    <row r="153" spans="1:18" x14ac:dyDescent="0.3">
      <c r="A153" s="412"/>
      <c r="B153" s="120"/>
      <c r="C153" s="36" t="s">
        <v>1065</v>
      </c>
      <c r="D153" s="37">
        <v>40178</v>
      </c>
      <c r="E153" s="36">
        <v>4412017</v>
      </c>
      <c r="F153" s="36">
        <f t="shared" ca="1" si="13"/>
        <v>17</v>
      </c>
      <c r="G153" s="36"/>
      <c r="H153" s="36"/>
      <c r="I153" s="35"/>
      <c r="J153" s="36"/>
      <c r="K153" s="36"/>
      <c r="L153" s="8"/>
      <c r="M153" s="8"/>
      <c r="N153" s="8"/>
      <c r="O153" s="8"/>
      <c r="P153" s="9"/>
      <c r="Q153" s="3"/>
      <c r="R153" s="8"/>
    </row>
    <row r="154" spans="1:18" x14ac:dyDescent="0.3">
      <c r="A154" s="413"/>
      <c r="B154" s="120"/>
      <c r="C154" s="36" t="s">
        <v>1066</v>
      </c>
      <c r="D154" s="37">
        <v>40830</v>
      </c>
      <c r="E154" s="36">
        <v>4412018</v>
      </c>
      <c r="F154" s="36">
        <f t="shared" ca="1" si="13"/>
        <v>15</v>
      </c>
      <c r="G154" s="36"/>
      <c r="H154" s="36"/>
      <c r="I154" s="35"/>
      <c r="J154" s="36"/>
      <c r="K154" s="36"/>
      <c r="L154" s="8"/>
      <c r="M154" s="8"/>
      <c r="N154" s="8"/>
      <c r="O154" s="8"/>
      <c r="P154" s="9"/>
      <c r="Q154" s="3"/>
      <c r="R154" s="8"/>
    </row>
    <row r="155" spans="1:18" x14ac:dyDescent="0.3">
      <c r="A155" s="200" t="s">
        <v>828</v>
      </c>
      <c r="B155" s="112">
        <v>44975</v>
      </c>
      <c r="C155" s="30" t="s">
        <v>829</v>
      </c>
      <c r="D155" s="31">
        <v>20595</v>
      </c>
      <c r="E155" s="30">
        <v>1535618</v>
      </c>
      <c r="F155" s="30">
        <f t="shared" ca="1" si="13"/>
        <v>70</v>
      </c>
      <c r="G155" s="30"/>
      <c r="H155" s="30"/>
      <c r="I155" s="29" t="s">
        <v>1067</v>
      </c>
      <c r="J155" s="30"/>
      <c r="K155" s="30"/>
      <c r="L155" s="8"/>
      <c r="M155" s="8"/>
      <c r="N155" s="8"/>
      <c r="O155" s="8"/>
      <c r="P155" s="9"/>
      <c r="Q155" s="3"/>
      <c r="R155" s="8"/>
    </row>
    <row r="156" spans="1:18" x14ac:dyDescent="0.3">
      <c r="A156" s="182" t="s">
        <v>1068</v>
      </c>
      <c r="B156" s="115">
        <v>44976</v>
      </c>
      <c r="C156" s="1" t="s">
        <v>1069</v>
      </c>
      <c r="D156" s="2">
        <v>23884</v>
      </c>
      <c r="E156" s="1">
        <v>1683016</v>
      </c>
      <c r="F156" s="1">
        <f t="shared" ca="1" si="13"/>
        <v>61</v>
      </c>
      <c r="G156" s="1" t="s">
        <v>1070</v>
      </c>
      <c r="H156" s="1"/>
      <c r="I156" s="8" t="s">
        <v>1071</v>
      </c>
      <c r="J156" s="1"/>
      <c r="K156" s="1"/>
      <c r="L156" s="8"/>
      <c r="M156" s="8"/>
      <c r="N156" s="8"/>
      <c r="O156" s="8"/>
      <c r="P156" s="9"/>
      <c r="Q156" s="3"/>
      <c r="R156" s="8"/>
    </row>
    <row r="157" spans="1:18" x14ac:dyDescent="0.3">
      <c r="A157" s="463" t="s">
        <v>1072</v>
      </c>
      <c r="B157" s="158"/>
      <c r="C157" s="27" t="s">
        <v>1073</v>
      </c>
      <c r="D157" s="28">
        <v>18774</v>
      </c>
      <c r="E157" s="27">
        <v>2466712</v>
      </c>
      <c r="F157" s="26"/>
      <c r="G157" s="27" t="s">
        <v>1074</v>
      </c>
      <c r="H157" s="26"/>
      <c r="I157" s="26"/>
      <c r="J157" s="27"/>
      <c r="K157" s="27"/>
      <c r="L157" s="8" t="s">
        <v>1075</v>
      </c>
      <c r="M157" s="8"/>
      <c r="N157" s="8"/>
      <c r="O157" s="8"/>
    </row>
    <row r="158" spans="1:18" x14ac:dyDescent="0.3">
      <c r="A158" s="433"/>
      <c r="B158" s="162">
        <v>45343</v>
      </c>
      <c r="C158" s="27" t="s">
        <v>1076</v>
      </c>
      <c r="D158" s="28">
        <v>26932</v>
      </c>
      <c r="E158" s="27">
        <v>2635115</v>
      </c>
      <c r="F158" s="26"/>
      <c r="G158" s="27" t="s">
        <v>1077</v>
      </c>
      <c r="H158" s="26"/>
      <c r="I158" s="165" t="s">
        <v>1078</v>
      </c>
      <c r="J158" s="27"/>
      <c r="K158" s="27"/>
      <c r="L158" s="8" t="s">
        <v>1079</v>
      </c>
      <c r="M158" s="8"/>
      <c r="N158" s="8"/>
      <c r="O158" s="8"/>
    </row>
    <row r="159" spans="1:18" x14ac:dyDescent="0.3">
      <c r="A159" s="419"/>
      <c r="B159" s="158"/>
      <c r="C159" s="27" t="s">
        <v>1080</v>
      </c>
      <c r="D159" s="28">
        <v>18320</v>
      </c>
      <c r="E159" s="27">
        <v>1469312</v>
      </c>
      <c r="F159" s="26"/>
      <c r="G159" s="27" t="s">
        <v>1081</v>
      </c>
      <c r="H159" s="26"/>
      <c r="I159" s="26"/>
      <c r="J159" s="27"/>
      <c r="K159" s="27"/>
      <c r="L159" s="8" t="s">
        <v>1075</v>
      </c>
      <c r="M159" s="8"/>
      <c r="N159" s="8"/>
      <c r="O159" s="8"/>
    </row>
    <row r="160" spans="1:18" x14ac:dyDescent="0.3">
      <c r="A160" s="394" t="s">
        <v>1082</v>
      </c>
      <c r="B160" s="119">
        <v>44614</v>
      </c>
      <c r="C160" s="36" t="s">
        <v>65</v>
      </c>
      <c r="D160" s="37">
        <v>28008</v>
      </c>
      <c r="E160" s="36">
        <v>1119813</v>
      </c>
      <c r="F160" s="36">
        <f t="shared" ca="1" si="13"/>
        <v>50</v>
      </c>
      <c r="G160" s="36" t="s">
        <v>1083</v>
      </c>
      <c r="H160" s="36"/>
      <c r="I160" s="35" t="s">
        <v>1084</v>
      </c>
      <c r="J160" s="36"/>
      <c r="K160" s="36"/>
      <c r="L160" s="8"/>
      <c r="M160" s="8"/>
      <c r="N160" s="8"/>
      <c r="O160" s="8"/>
      <c r="P160" s="9"/>
      <c r="Q160" s="3"/>
      <c r="R160" s="8"/>
    </row>
    <row r="161" spans="1:22" x14ac:dyDescent="0.3">
      <c r="A161" s="394"/>
      <c r="B161" s="120"/>
      <c r="C161" s="36" t="s">
        <v>66</v>
      </c>
      <c r="D161" s="37">
        <v>30375</v>
      </c>
      <c r="E161" s="36">
        <v>2223527</v>
      </c>
      <c r="F161" s="36">
        <f t="shared" ca="1" si="13"/>
        <v>43</v>
      </c>
      <c r="G161" s="36" t="s">
        <v>1085</v>
      </c>
      <c r="H161" s="36"/>
      <c r="I161" s="35"/>
      <c r="J161" s="36"/>
      <c r="K161" s="36"/>
      <c r="L161" s="8"/>
      <c r="M161" s="8"/>
      <c r="N161" s="8"/>
      <c r="O161" s="8"/>
      <c r="P161" s="9"/>
      <c r="Q161" s="3"/>
      <c r="R161" s="8"/>
    </row>
    <row r="162" spans="1:22" x14ac:dyDescent="0.3">
      <c r="A162" s="394"/>
      <c r="B162" s="120"/>
      <c r="C162" s="36" t="s">
        <v>67</v>
      </c>
      <c r="D162" s="37">
        <v>41333</v>
      </c>
      <c r="E162" s="36">
        <v>3475911</v>
      </c>
      <c r="F162" s="36">
        <f t="shared" ca="1" si="13"/>
        <v>13</v>
      </c>
      <c r="G162" s="36"/>
      <c r="H162" s="36"/>
      <c r="I162" s="35"/>
      <c r="J162" s="36"/>
      <c r="K162" s="36"/>
      <c r="L162" s="8"/>
      <c r="M162" s="8"/>
      <c r="N162" s="8"/>
      <c r="O162" s="8"/>
      <c r="P162" s="9"/>
      <c r="Q162" s="3"/>
      <c r="R162" s="8"/>
    </row>
    <row r="163" spans="1:22" x14ac:dyDescent="0.3">
      <c r="A163" s="182" t="s">
        <v>1086</v>
      </c>
      <c r="B163" s="115">
        <v>44979</v>
      </c>
      <c r="C163" s="1" t="s">
        <v>481</v>
      </c>
      <c r="D163" s="2">
        <v>18905</v>
      </c>
      <c r="E163" s="1">
        <v>1148416</v>
      </c>
      <c r="F163" s="1">
        <f t="shared" ca="1" si="13"/>
        <v>75</v>
      </c>
      <c r="G163" s="1" t="s">
        <v>1087</v>
      </c>
      <c r="H163" s="1"/>
      <c r="I163" s="8" t="s">
        <v>1088</v>
      </c>
      <c r="J163" s="1"/>
      <c r="K163" s="1"/>
      <c r="L163" s="8"/>
      <c r="M163" s="8"/>
      <c r="N163" s="8"/>
      <c r="O163" s="8"/>
      <c r="P163" s="9"/>
      <c r="Q163" s="3"/>
      <c r="R163" s="8"/>
    </row>
    <row r="164" spans="1:22" x14ac:dyDescent="0.3">
      <c r="A164" s="30"/>
      <c r="B164" s="112">
        <v>44616</v>
      </c>
      <c r="C164" s="30" t="s">
        <v>68</v>
      </c>
      <c r="D164" s="31">
        <v>31609</v>
      </c>
      <c r="E164" s="30">
        <v>1009226</v>
      </c>
      <c r="F164" s="30">
        <f t="shared" ref="F164:F208" ca="1" si="15">YEAR(TODAY())-YEAR(D164)</f>
        <v>40</v>
      </c>
      <c r="G164" s="30"/>
      <c r="H164" s="30"/>
      <c r="I164" s="29" t="s">
        <v>1089</v>
      </c>
      <c r="J164" s="30"/>
      <c r="K164" s="30"/>
      <c r="L164" s="8"/>
      <c r="M164" s="8"/>
      <c r="N164" s="8"/>
      <c r="O164" s="8"/>
      <c r="P164" s="9"/>
      <c r="Q164" s="3"/>
      <c r="R164" s="8"/>
    </row>
    <row r="165" spans="1:22" ht="49.5" x14ac:dyDescent="0.3">
      <c r="A165" s="187" t="s">
        <v>848</v>
      </c>
      <c r="B165" s="118">
        <v>44617</v>
      </c>
      <c r="C165" s="40" t="s">
        <v>69</v>
      </c>
      <c r="D165" s="41">
        <v>23049</v>
      </c>
      <c r="E165" s="40">
        <v>2478417</v>
      </c>
      <c r="F165" s="40">
        <f t="shared" ca="1" si="15"/>
        <v>63</v>
      </c>
      <c r="G165" s="40" t="s">
        <v>855</v>
      </c>
      <c r="H165" s="40"/>
      <c r="I165" s="206" t="s">
        <v>1090</v>
      </c>
      <c r="J165" s="180" t="s">
        <v>857</v>
      </c>
      <c r="K165" s="180"/>
      <c r="L165" s="8"/>
      <c r="M165" s="8"/>
      <c r="N165" s="8"/>
      <c r="O165" s="8"/>
      <c r="P165" s="104"/>
      <c r="Q165" s="5"/>
      <c r="R165" s="8"/>
    </row>
    <row r="166" spans="1:22" s="189" customFormat="1" x14ac:dyDescent="0.3">
      <c r="A166" s="398" t="s">
        <v>880</v>
      </c>
      <c r="B166" s="117">
        <v>44982</v>
      </c>
      <c r="C166" s="27" t="s">
        <v>513</v>
      </c>
      <c r="D166" s="28">
        <v>27525</v>
      </c>
      <c r="E166" s="27">
        <v>2802415</v>
      </c>
      <c r="F166" s="27">
        <f t="shared" ca="1" si="15"/>
        <v>51</v>
      </c>
      <c r="G166" s="27" t="s">
        <v>1091</v>
      </c>
      <c r="H166" s="27" t="s">
        <v>1092</v>
      </c>
      <c r="I166" s="26" t="s">
        <v>1093</v>
      </c>
      <c r="J166" s="27"/>
      <c r="K166" s="27"/>
      <c r="L166" s="1"/>
      <c r="M166" s="1"/>
      <c r="N166" s="1"/>
      <c r="O166" s="1"/>
      <c r="P166" s="1"/>
      <c r="Q166" s="1"/>
      <c r="R166" s="1"/>
      <c r="S166" s="27"/>
      <c r="T166" s="27"/>
      <c r="U166" s="27"/>
      <c r="V166" s="27"/>
    </row>
    <row r="167" spans="1:22" x14ac:dyDescent="0.3">
      <c r="A167" s="399"/>
      <c r="B167" s="121"/>
      <c r="C167" s="27" t="s">
        <v>512</v>
      </c>
      <c r="D167" s="28">
        <v>26686</v>
      </c>
      <c r="E167" s="27">
        <v>1235020</v>
      </c>
      <c r="F167" s="27">
        <f t="shared" ca="1" si="15"/>
        <v>53</v>
      </c>
      <c r="G167" s="27" t="s">
        <v>1094</v>
      </c>
      <c r="H167" s="27"/>
      <c r="I167" s="26"/>
      <c r="J167" s="27"/>
      <c r="K167" s="27"/>
      <c r="L167" s="8"/>
      <c r="M167" s="8"/>
      <c r="N167" s="8"/>
      <c r="O167" s="8"/>
      <c r="P167" s="104"/>
      <c r="Q167" s="5"/>
      <c r="R167" s="8"/>
    </row>
    <row r="168" spans="1:22" x14ac:dyDescent="0.3">
      <c r="A168" s="438"/>
      <c r="B168" s="121"/>
      <c r="C168" s="27" t="s">
        <v>514</v>
      </c>
      <c r="D168" s="28">
        <v>39450</v>
      </c>
      <c r="E168" s="27">
        <v>4475910</v>
      </c>
      <c r="F168" s="27">
        <f t="shared" ca="1" si="15"/>
        <v>18</v>
      </c>
      <c r="G168" s="27"/>
      <c r="H168" s="27"/>
      <c r="I168" s="26"/>
      <c r="J168" s="27"/>
      <c r="K168" s="27"/>
      <c r="L168" s="8"/>
      <c r="M168" s="8"/>
      <c r="N168" s="8"/>
      <c r="O168" s="8"/>
      <c r="P168" s="104"/>
      <c r="Q168" s="5"/>
      <c r="R168" s="8"/>
    </row>
    <row r="169" spans="1:22" x14ac:dyDescent="0.3">
      <c r="A169" s="187" t="s">
        <v>1095</v>
      </c>
      <c r="B169" s="118">
        <v>44982</v>
      </c>
      <c r="C169" s="207" t="s">
        <v>651</v>
      </c>
      <c r="D169" s="208">
        <v>21561</v>
      </c>
      <c r="E169" s="207">
        <v>1380618</v>
      </c>
      <c r="F169" s="207">
        <f t="shared" ca="1" si="15"/>
        <v>67</v>
      </c>
      <c r="G169" s="207" t="s">
        <v>1096</v>
      </c>
      <c r="H169" s="207"/>
      <c r="I169" s="209" t="s">
        <v>1097</v>
      </c>
      <c r="J169" s="207"/>
      <c r="K169" s="207"/>
      <c r="L169" s="8"/>
      <c r="M169" s="8"/>
      <c r="N169" s="8"/>
      <c r="O169" s="8"/>
      <c r="P169" s="104"/>
      <c r="Q169" s="5"/>
      <c r="R169" s="8"/>
    </row>
    <row r="170" spans="1:22" x14ac:dyDescent="0.3">
      <c r="A170" s="390" t="s">
        <v>1098</v>
      </c>
      <c r="B170" s="119">
        <v>44984</v>
      </c>
      <c r="C170" s="36" t="s">
        <v>1099</v>
      </c>
      <c r="D170" s="37">
        <v>26337</v>
      </c>
      <c r="E170" s="36">
        <v>1384117</v>
      </c>
      <c r="F170" s="36">
        <f t="shared" ref="F170" ca="1" si="16">YEAR(TODAY())-YEAR(D170)</f>
        <v>54</v>
      </c>
      <c r="G170" s="36" t="s">
        <v>1100</v>
      </c>
      <c r="H170" s="36"/>
      <c r="I170" s="35" t="s">
        <v>1101</v>
      </c>
      <c r="J170" s="36"/>
      <c r="K170" s="36"/>
      <c r="L170" s="8"/>
      <c r="M170" s="8"/>
      <c r="N170" s="8"/>
      <c r="O170" s="8"/>
      <c r="P170" s="104"/>
      <c r="Q170" s="5"/>
      <c r="R170" s="8"/>
    </row>
    <row r="171" spans="1:22" x14ac:dyDescent="0.3">
      <c r="A171" s="413"/>
      <c r="B171" s="120"/>
      <c r="C171" s="36" t="s">
        <v>1102</v>
      </c>
      <c r="D171" s="37">
        <v>27754</v>
      </c>
      <c r="E171" s="36">
        <v>2231734</v>
      </c>
      <c r="F171" s="36">
        <f t="shared" ca="1" si="15"/>
        <v>51</v>
      </c>
      <c r="G171" s="36" t="s">
        <v>1103</v>
      </c>
      <c r="H171" s="36"/>
      <c r="I171" s="35"/>
      <c r="J171" s="36"/>
      <c r="K171" s="36"/>
      <c r="L171" s="8"/>
      <c r="M171" s="8"/>
      <c r="N171" s="8"/>
      <c r="O171" s="8"/>
      <c r="P171" s="104"/>
      <c r="Q171" s="5"/>
      <c r="R171" s="8"/>
    </row>
    <row r="172" spans="1:22" x14ac:dyDescent="0.3">
      <c r="A172" s="414" t="s">
        <v>1104</v>
      </c>
      <c r="B172" s="112">
        <v>44984</v>
      </c>
      <c r="C172" s="30" t="s">
        <v>1105</v>
      </c>
      <c r="D172" s="31">
        <v>32593</v>
      </c>
      <c r="E172" s="30">
        <v>2168713</v>
      </c>
      <c r="F172" s="30">
        <f t="shared" ca="1" si="15"/>
        <v>37</v>
      </c>
      <c r="G172" s="30" t="s">
        <v>1106</v>
      </c>
      <c r="H172" s="30"/>
      <c r="I172" s="29" t="s">
        <v>1107</v>
      </c>
      <c r="J172" s="30"/>
      <c r="K172" s="30"/>
      <c r="L172" s="8"/>
      <c r="M172" s="8"/>
      <c r="N172" s="8"/>
      <c r="O172" s="8"/>
      <c r="P172" s="104"/>
      <c r="Q172" s="5"/>
      <c r="R172" s="8"/>
    </row>
    <row r="173" spans="1:22" x14ac:dyDescent="0.3">
      <c r="A173" s="415"/>
      <c r="B173" s="113"/>
      <c r="C173" s="30" t="s">
        <v>110</v>
      </c>
      <c r="D173" s="31">
        <v>32781</v>
      </c>
      <c r="E173" s="30"/>
      <c r="F173" s="30">
        <f t="shared" ca="1" si="15"/>
        <v>37</v>
      </c>
      <c r="G173" s="30"/>
      <c r="H173" s="30"/>
      <c r="I173" s="29"/>
      <c r="J173" s="30"/>
      <c r="K173" s="30"/>
      <c r="L173" s="8"/>
      <c r="M173" s="8"/>
      <c r="N173" s="8"/>
      <c r="O173" s="8"/>
      <c r="P173" s="104"/>
      <c r="Q173" s="5"/>
      <c r="R173" s="8"/>
    </row>
    <row r="174" spans="1:22" s="185" customFormat="1" x14ac:dyDescent="0.3">
      <c r="A174" s="210" t="s">
        <v>880</v>
      </c>
      <c r="B174" s="119" t="s">
        <v>1108</v>
      </c>
      <c r="C174" s="36" t="s">
        <v>517</v>
      </c>
      <c r="D174" s="37">
        <v>30015</v>
      </c>
      <c r="E174" s="36">
        <v>1449617</v>
      </c>
      <c r="F174" s="36">
        <f t="shared" ca="1" si="15"/>
        <v>44</v>
      </c>
      <c r="G174" s="36" t="s">
        <v>1109</v>
      </c>
      <c r="H174" s="36"/>
      <c r="I174" s="35" t="s">
        <v>1110</v>
      </c>
      <c r="J174" s="36"/>
      <c r="K174" s="36"/>
      <c r="L174" s="8"/>
      <c r="M174" s="8"/>
      <c r="N174" s="8"/>
      <c r="O174" s="8"/>
      <c r="P174" s="104"/>
      <c r="Q174" s="5"/>
      <c r="R174" s="8"/>
    </row>
    <row r="175" spans="1:22" s="193" customFormat="1" x14ac:dyDescent="0.3">
      <c r="A175" s="388" t="s">
        <v>1111</v>
      </c>
      <c r="B175" s="133" t="s">
        <v>1108</v>
      </c>
      <c r="C175" s="33" t="s">
        <v>627</v>
      </c>
      <c r="D175" s="34">
        <v>25262</v>
      </c>
      <c r="E175" s="33">
        <v>2475726</v>
      </c>
      <c r="F175" s="33">
        <f ca="1">YEAR(TODAY())-YEAR(D175)</f>
        <v>57</v>
      </c>
      <c r="G175" s="33" t="s">
        <v>1112</v>
      </c>
      <c r="H175" s="33"/>
      <c r="I175" s="32" t="s">
        <v>1113</v>
      </c>
      <c r="J175" s="33"/>
      <c r="K175" s="33"/>
      <c r="L175" s="8"/>
      <c r="M175" s="8"/>
      <c r="N175" s="8"/>
      <c r="O175" s="8"/>
      <c r="P175" s="104"/>
      <c r="Q175" s="5"/>
      <c r="R175" s="8"/>
    </row>
    <row r="176" spans="1:22" s="193" customFormat="1" x14ac:dyDescent="0.3">
      <c r="A176" s="388"/>
      <c r="B176" s="111"/>
      <c r="C176" s="33" t="s">
        <v>626</v>
      </c>
      <c r="D176" s="34">
        <v>15970</v>
      </c>
      <c r="E176" s="33">
        <v>2475713</v>
      </c>
      <c r="F176" s="33">
        <f ca="1">YEAR(TODAY())-YEAR(D176)</f>
        <v>83</v>
      </c>
      <c r="G176" s="33" t="s">
        <v>1114</v>
      </c>
      <c r="H176" s="33"/>
      <c r="I176" s="32"/>
      <c r="J176" s="33"/>
      <c r="K176" s="33"/>
      <c r="L176" s="8"/>
      <c r="M176" s="8"/>
      <c r="N176" s="8"/>
      <c r="O176" s="8"/>
      <c r="P176" s="104"/>
      <c r="Q176" s="5"/>
      <c r="R176" s="8"/>
    </row>
    <row r="177" spans="1:18" s="189" customFormat="1" x14ac:dyDescent="0.3">
      <c r="A177" s="414" t="s">
        <v>1115</v>
      </c>
      <c r="B177" s="112">
        <v>44986</v>
      </c>
      <c r="C177" s="30" t="s">
        <v>561</v>
      </c>
      <c r="D177" s="31">
        <v>26681</v>
      </c>
      <c r="E177" s="30">
        <v>1932232</v>
      </c>
      <c r="F177" s="30">
        <f t="shared" ca="1" si="15"/>
        <v>53</v>
      </c>
      <c r="G177" s="30" t="s">
        <v>1116</v>
      </c>
      <c r="H177" s="30"/>
      <c r="I177" s="29" t="s">
        <v>1117</v>
      </c>
      <c r="J177" s="30"/>
      <c r="K177" s="30"/>
      <c r="L177" s="8"/>
      <c r="M177" s="8"/>
      <c r="N177" s="8"/>
      <c r="O177" s="8"/>
      <c r="P177" s="104"/>
      <c r="Q177" s="5"/>
      <c r="R177" s="8"/>
    </row>
    <row r="178" spans="1:18" s="189" customFormat="1" x14ac:dyDescent="0.3">
      <c r="A178" s="415"/>
      <c r="B178" s="113"/>
      <c r="C178" s="30" t="s">
        <v>562</v>
      </c>
      <c r="D178" s="31">
        <v>26935</v>
      </c>
      <c r="E178" s="30">
        <v>2850521</v>
      </c>
      <c r="F178" s="30">
        <f t="shared" ca="1" si="15"/>
        <v>53</v>
      </c>
      <c r="G178" s="30" t="s">
        <v>1118</v>
      </c>
      <c r="H178" s="30"/>
      <c r="I178" s="29"/>
      <c r="J178" s="30"/>
      <c r="K178" s="30"/>
      <c r="L178" s="8"/>
      <c r="M178" s="8"/>
      <c r="N178" s="8"/>
      <c r="O178" s="8"/>
      <c r="P178" s="104"/>
      <c r="Q178" s="5"/>
      <c r="R178" s="8"/>
    </row>
    <row r="179" spans="1:18" s="189" customFormat="1" x14ac:dyDescent="0.3">
      <c r="A179" s="415"/>
      <c r="B179" s="113"/>
      <c r="C179" s="30" t="s">
        <v>459</v>
      </c>
      <c r="D179" s="31">
        <v>38798</v>
      </c>
      <c r="E179" s="30">
        <v>4476011</v>
      </c>
      <c r="F179" s="30">
        <f t="shared" ca="1" si="15"/>
        <v>20</v>
      </c>
      <c r="G179" s="30"/>
      <c r="H179" s="30"/>
      <c r="I179" s="29"/>
      <c r="J179" s="30"/>
      <c r="K179" s="30"/>
      <c r="L179" s="8"/>
      <c r="M179" s="8"/>
      <c r="N179" s="8"/>
      <c r="O179" s="8"/>
      <c r="P179" s="104"/>
      <c r="Q179" s="5"/>
      <c r="R179" s="8"/>
    </row>
    <row r="180" spans="1:18" x14ac:dyDescent="0.3">
      <c r="A180" s="187" t="s">
        <v>1119</v>
      </c>
      <c r="B180" s="118">
        <v>44622</v>
      </c>
      <c r="C180" s="40" t="s">
        <v>71</v>
      </c>
      <c r="D180" s="41">
        <v>30371</v>
      </c>
      <c r="E180" s="40">
        <v>1534110</v>
      </c>
      <c r="F180" s="40">
        <f t="shared" ca="1" si="15"/>
        <v>43</v>
      </c>
      <c r="G180" s="40" t="s">
        <v>1120</v>
      </c>
      <c r="H180" s="40"/>
      <c r="I180" s="39" t="s">
        <v>1121</v>
      </c>
      <c r="J180" s="40"/>
      <c r="K180" s="40"/>
      <c r="L180" s="8"/>
      <c r="M180" s="8"/>
      <c r="N180" s="8"/>
      <c r="O180" s="8"/>
      <c r="P180" s="104"/>
      <c r="Q180" s="5"/>
      <c r="R180" s="8"/>
    </row>
    <row r="181" spans="1:18" x14ac:dyDescent="0.3">
      <c r="A181" s="198" t="s">
        <v>1122</v>
      </c>
      <c r="B181" s="119">
        <v>44987</v>
      </c>
      <c r="C181" s="36" t="s">
        <v>1123</v>
      </c>
      <c r="D181" s="37">
        <v>31105</v>
      </c>
      <c r="E181" s="36">
        <v>2475735</v>
      </c>
      <c r="F181" s="36">
        <f t="shared" ca="1" si="15"/>
        <v>41</v>
      </c>
      <c r="G181" s="36" t="s">
        <v>1124</v>
      </c>
      <c r="H181" s="36"/>
      <c r="I181" s="35" t="s">
        <v>1125</v>
      </c>
      <c r="J181" s="36"/>
      <c r="K181" s="36"/>
      <c r="L181" s="8"/>
      <c r="M181" s="8"/>
      <c r="N181" s="8"/>
      <c r="O181" s="8"/>
      <c r="P181" s="104"/>
      <c r="Q181" s="5"/>
      <c r="R181" s="8"/>
    </row>
    <row r="182" spans="1:18" s="204" customFormat="1" x14ac:dyDescent="0.3">
      <c r="A182" s="398" t="s">
        <v>1126</v>
      </c>
      <c r="B182" s="117">
        <v>44987</v>
      </c>
      <c r="C182" s="27" t="s">
        <v>1127</v>
      </c>
      <c r="D182" s="28">
        <v>29793</v>
      </c>
      <c r="E182" s="27">
        <v>1411419</v>
      </c>
      <c r="F182" s="27">
        <f t="shared" ca="1" si="15"/>
        <v>45</v>
      </c>
      <c r="G182" s="27" t="s">
        <v>1128</v>
      </c>
      <c r="H182" s="27"/>
      <c r="I182" s="26" t="s">
        <v>1129</v>
      </c>
      <c r="J182" s="27"/>
      <c r="K182" s="27"/>
      <c r="L182" s="8"/>
      <c r="M182" s="8"/>
      <c r="N182" s="8"/>
      <c r="O182" s="8"/>
      <c r="P182" s="104"/>
      <c r="Q182" s="5"/>
      <c r="R182" s="8"/>
    </row>
    <row r="183" spans="1:18" s="204" customFormat="1" x14ac:dyDescent="0.3">
      <c r="A183" s="433"/>
      <c r="B183" s="121"/>
      <c r="C183" s="27" t="s">
        <v>1130</v>
      </c>
      <c r="D183" s="28">
        <v>30858</v>
      </c>
      <c r="E183" s="27">
        <v>2</v>
      </c>
      <c r="F183" s="27">
        <f t="shared" ca="1" si="15"/>
        <v>42</v>
      </c>
      <c r="G183" s="27"/>
      <c r="H183" s="27"/>
      <c r="I183" s="26"/>
      <c r="J183" s="27"/>
      <c r="K183" s="27"/>
      <c r="L183" s="8"/>
      <c r="M183" s="8"/>
      <c r="N183" s="8"/>
      <c r="O183" s="8"/>
      <c r="P183" s="104"/>
      <c r="Q183" s="5"/>
      <c r="R183" s="8"/>
    </row>
    <row r="184" spans="1:18" s="204" customFormat="1" x14ac:dyDescent="0.3">
      <c r="A184" s="433"/>
      <c r="B184" s="121"/>
      <c r="C184" s="27" t="s">
        <v>1131</v>
      </c>
      <c r="D184" s="28">
        <v>42517</v>
      </c>
      <c r="E184" s="27">
        <v>4</v>
      </c>
      <c r="F184" s="27">
        <f t="shared" ca="1" si="15"/>
        <v>10</v>
      </c>
      <c r="G184" s="27"/>
      <c r="H184" s="27"/>
      <c r="I184" s="26"/>
      <c r="J184" s="27"/>
      <c r="K184" s="27"/>
      <c r="L184" s="8"/>
      <c r="M184" s="8"/>
      <c r="N184" s="8"/>
      <c r="O184" s="8"/>
      <c r="P184" s="104"/>
      <c r="Q184" s="5"/>
      <c r="R184" s="8"/>
    </row>
    <row r="185" spans="1:18" s="204" customFormat="1" x14ac:dyDescent="0.3">
      <c r="A185" s="419"/>
      <c r="B185" s="121"/>
      <c r="C185" s="27" t="s">
        <v>1132</v>
      </c>
      <c r="D185" s="28">
        <v>43561</v>
      </c>
      <c r="E185" s="27">
        <v>3</v>
      </c>
      <c r="F185" s="27">
        <f t="shared" ca="1" si="15"/>
        <v>7</v>
      </c>
      <c r="G185" s="27"/>
      <c r="H185" s="27"/>
      <c r="I185" s="26"/>
      <c r="J185" s="27"/>
      <c r="K185" s="27"/>
      <c r="L185" s="8"/>
      <c r="M185" s="8"/>
      <c r="N185" s="8"/>
      <c r="O185" s="8"/>
      <c r="P185" s="104"/>
      <c r="Q185" s="5"/>
      <c r="R185" s="8"/>
    </row>
    <row r="186" spans="1:18" x14ac:dyDescent="0.3">
      <c r="A186" s="190" t="s">
        <v>1133</v>
      </c>
      <c r="B186" s="110">
        <v>44258</v>
      </c>
      <c r="C186" s="33" t="s">
        <v>72</v>
      </c>
      <c r="D186" s="34">
        <v>28275</v>
      </c>
      <c r="E186" s="33">
        <v>1476315</v>
      </c>
      <c r="F186" s="33">
        <f t="shared" ca="1" si="15"/>
        <v>49</v>
      </c>
      <c r="G186" s="33" t="s">
        <v>75</v>
      </c>
      <c r="H186" s="33"/>
      <c r="I186" s="32" t="s">
        <v>1134</v>
      </c>
      <c r="J186" s="33"/>
      <c r="K186" s="33"/>
      <c r="L186" s="8" t="s">
        <v>74</v>
      </c>
      <c r="M186" s="8"/>
      <c r="N186" s="8"/>
      <c r="O186" s="8"/>
      <c r="P186" s="9"/>
      <c r="Q186" s="3"/>
      <c r="R186" s="8" t="s">
        <v>75</v>
      </c>
    </row>
    <row r="187" spans="1:18" x14ac:dyDescent="0.3">
      <c r="A187" s="414" t="s">
        <v>1135</v>
      </c>
      <c r="B187" s="112">
        <v>44623</v>
      </c>
      <c r="C187" s="30" t="s">
        <v>76</v>
      </c>
      <c r="D187" s="31">
        <v>32575</v>
      </c>
      <c r="E187" s="30">
        <v>1419315</v>
      </c>
      <c r="F187" s="30">
        <f t="shared" ca="1" si="15"/>
        <v>37</v>
      </c>
      <c r="G187" s="30" t="s">
        <v>1136</v>
      </c>
      <c r="H187" s="30"/>
      <c r="I187" s="29" t="s">
        <v>1137</v>
      </c>
      <c r="J187" s="30"/>
      <c r="K187" s="30"/>
      <c r="L187" s="8" t="s">
        <v>1138</v>
      </c>
      <c r="M187" s="8"/>
      <c r="N187" s="8"/>
      <c r="O187" s="8"/>
      <c r="P187" s="9"/>
      <c r="Q187" s="3"/>
      <c r="R187" s="8"/>
    </row>
    <row r="188" spans="1:18" x14ac:dyDescent="0.3">
      <c r="A188" s="415"/>
      <c r="B188" s="112"/>
      <c r="C188" s="30" t="s">
        <v>78</v>
      </c>
      <c r="D188" s="31">
        <v>32044</v>
      </c>
      <c r="E188" s="30">
        <v>2677228</v>
      </c>
      <c r="F188" s="30">
        <f t="shared" ca="1" si="15"/>
        <v>39</v>
      </c>
      <c r="G188" s="30" t="s">
        <v>1139</v>
      </c>
      <c r="H188" s="30"/>
      <c r="I188" s="29"/>
      <c r="J188" s="30"/>
      <c r="K188" s="30"/>
      <c r="L188" s="8" t="s">
        <v>1140</v>
      </c>
      <c r="M188" s="8"/>
      <c r="N188" s="8"/>
      <c r="O188" s="8"/>
      <c r="P188" s="9"/>
      <c r="Q188" s="3"/>
      <c r="R188" s="8"/>
    </row>
    <row r="189" spans="1:18" x14ac:dyDescent="0.3">
      <c r="A189" s="182" t="s">
        <v>1141</v>
      </c>
      <c r="B189" s="115">
        <v>44989</v>
      </c>
      <c r="C189" s="1" t="s">
        <v>1142</v>
      </c>
      <c r="D189" s="2">
        <v>18237</v>
      </c>
      <c r="E189" s="1">
        <v>1411517</v>
      </c>
      <c r="F189" s="1">
        <f t="shared" ca="1" si="15"/>
        <v>77</v>
      </c>
      <c r="G189" s="1" t="s">
        <v>1143</v>
      </c>
      <c r="H189" s="1"/>
      <c r="I189" s="8" t="s">
        <v>1144</v>
      </c>
      <c r="J189" s="1"/>
      <c r="K189" s="1"/>
      <c r="L189" s="8"/>
      <c r="M189" s="8"/>
      <c r="N189" s="8"/>
      <c r="O189" s="8"/>
      <c r="P189" s="104"/>
      <c r="Q189" s="5"/>
      <c r="R189" s="8"/>
    </row>
    <row r="190" spans="1:18" s="193" customFormat="1" x14ac:dyDescent="0.3">
      <c r="A190" s="190" t="s">
        <v>1145</v>
      </c>
      <c r="B190" s="110">
        <v>44989</v>
      </c>
      <c r="C190" s="33" t="s">
        <v>625</v>
      </c>
      <c r="D190" s="34">
        <v>30215</v>
      </c>
      <c r="E190" s="33">
        <v>2118311</v>
      </c>
      <c r="F190" s="33">
        <f t="shared" ca="1" si="15"/>
        <v>44</v>
      </c>
      <c r="G190" s="33" t="s">
        <v>1146</v>
      </c>
      <c r="H190" s="33"/>
      <c r="I190" s="32" t="s">
        <v>1147</v>
      </c>
      <c r="J190" s="33"/>
      <c r="K190" s="33"/>
      <c r="L190" s="8"/>
      <c r="M190" s="8"/>
      <c r="N190" s="8"/>
      <c r="O190" s="8"/>
      <c r="P190" s="104"/>
      <c r="Q190" s="5"/>
      <c r="R190" s="8"/>
    </row>
    <row r="191" spans="1:18" x14ac:dyDescent="0.3">
      <c r="A191" s="390" t="s">
        <v>1148</v>
      </c>
      <c r="B191" s="119">
        <v>44260</v>
      </c>
      <c r="C191" s="36" t="s">
        <v>79</v>
      </c>
      <c r="D191" s="37">
        <v>33552</v>
      </c>
      <c r="E191" s="36">
        <v>1113510</v>
      </c>
      <c r="F191" s="36">
        <f t="shared" ca="1" si="15"/>
        <v>35</v>
      </c>
      <c r="G191" s="36" t="s">
        <v>1149</v>
      </c>
      <c r="H191" s="36"/>
      <c r="I191" s="35" t="s">
        <v>1150</v>
      </c>
      <c r="J191" s="36"/>
      <c r="K191" s="36"/>
      <c r="L191" s="8"/>
      <c r="M191" s="8"/>
      <c r="N191" s="8"/>
      <c r="O191" s="8"/>
      <c r="P191" s="104"/>
      <c r="Q191" s="5"/>
      <c r="R191" s="8"/>
    </row>
    <row r="192" spans="1:18" x14ac:dyDescent="0.3">
      <c r="A192" s="412"/>
      <c r="B192" s="120"/>
      <c r="C192" s="36" t="s">
        <v>81</v>
      </c>
      <c r="D192" s="37">
        <v>32275</v>
      </c>
      <c r="E192" s="36">
        <v>2188319</v>
      </c>
      <c r="F192" s="36">
        <f t="shared" ca="1" si="15"/>
        <v>38</v>
      </c>
      <c r="G192" s="36" t="s">
        <v>1151</v>
      </c>
      <c r="H192" s="36"/>
      <c r="I192" s="35"/>
      <c r="J192" s="36"/>
      <c r="K192" s="36"/>
      <c r="L192" s="8"/>
      <c r="M192" s="8"/>
      <c r="N192" s="8"/>
      <c r="O192" s="8"/>
      <c r="P192" s="104"/>
      <c r="Q192" s="5"/>
      <c r="R192" s="8"/>
    </row>
    <row r="193" spans="1:70" x14ac:dyDescent="0.3">
      <c r="A193" s="412"/>
      <c r="B193" s="120"/>
      <c r="C193" s="36" t="s">
        <v>82</v>
      </c>
      <c r="D193" s="37">
        <v>32936</v>
      </c>
      <c r="E193" s="36">
        <v>2058725</v>
      </c>
      <c r="F193" s="36">
        <f t="shared" ca="1" si="15"/>
        <v>36</v>
      </c>
      <c r="G193" s="36" t="s">
        <v>1152</v>
      </c>
      <c r="H193" s="36"/>
      <c r="I193" s="35"/>
      <c r="J193" s="36"/>
      <c r="K193" s="36"/>
      <c r="L193" s="143" t="s">
        <v>3332</v>
      </c>
      <c r="M193" s="8"/>
      <c r="N193" s="8"/>
      <c r="O193" s="8"/>
      <c r="P193" s="104"/>
      <c r="Q193" s="5"/>
      <c r="R193" s="8"/>
    </row>
    <row r="194" spans="1:70" x14ac:dyDescent="0.3">
      <c r="A194" s="412"/>
      <c r="B194" s="120"/>
      <c r="C194" s="365" t="s">
        <v>3564</v>
      </c>
      <c r="D194" s="37">
        <v>33847</v>
      </c>
      <c r="E194" s="365">
        <v>1026114</v>
      </c>
      <c r="F194" s="365">
        <f t="shared" ca="1" si="15"/>
        <v>34</v>
      </c>
      <c r="G194" s="365"/>
      <c r="H194" s="365"/>
      <c r="I194" s="35"/>
      <c r="J194" s="365"/>
      <c r="K194" s="365"/>
      <c r="L194" s="143"/>
      <c r="M194" s="8"/>
      <c r="N194" s="8"/>
      <c r="O194" s="8"/>
      <c r="P194" s="104"/>
      <c r="Q194" s="5"/>
      <c r="R194" s="8"/>
    </row>
    <row r="195" spans="1:70" x14ac:dyDescent="0.3">
      <c r="A195" s="412"/>
      <c r="B195" s="120"/>
      <c r="C195" s="365" t="s">
        <v>3565</v>
      </c>
      <c r="D195" s="37">
        <v>45944</v>
      </c>
      <c r="E195" s="365">
        <v>4796462</v>
      </c>
      <c r="F195" s="365">
        <f t="shared" ca="1" si="15"/>
        <v>1</v>
      </c>
      <c r="G195" s="365"/>
      <c r="H195" s="365"/>
      <c r="I195" s="35"/>
      <c r="J195" s="365"/>
      <c r="K195" s="365"/>
      <c r="L195" s="143"/>
      <c r="M195" s="8"/>
      <c r="N195" s="8"/>
      <c r="O195" s="8"/>
      <c r="P195" s="104"/>
      <c r="Q195" s="5"/>
      <c r="R195" s="8"/>
    </row>
    <row r="196" spans="1:70" x14ac:dyDescent="0.3">
      <c r="A196" s="412"/>
      <c r="B196" s="120"/>
      <c r="C196" s="318" t="s">
        <v>3318</v>
      </c>
      <c r="D196" s="37">
        <v>45365</v>
      </c>
      <c r="E196" s="318">
        <v>4941721</v>
      </c>
      <c r="F196" s="318">
        <f t="shared" ca="1" si="15"/>
        <v>2</v>
      </c>
      <c r="G196" s="318"/>
      <c r="H196" s="318"/>
      <c r="I196" s="35"/>
      <c r="J196" s="318"/>
      <c r="K196" s="318"/>
      <c r="L196" s="8"/>
      <c r="M196" s="8"/>
      <c r="N196" s="8"/>
      <c r="O196" s="8"/>
      <c r="P196" s="104"/>
      <c r="Q196" s="5"/>
      <c r="R196" s="8"/>
    </row>
    <row r="197" spans="1:70" s="322" customFormat="1" x14ac:dyDescent="0.3">
      <c r="A197" s="412"/>
      <c r="B197" s="321"/>
      <c r="C197" s="319" t="s">
        <v>1153</v>
      </c>
      <c r="D197" s="136">
        <v>43203</v>
      </c>
      <c r="E197" s="319">
        <v>4412011</v>
      </c>
      <c r="F197" s="319">
        <f t="shared" ref="F197:F198" ca="1" si="17">YEAR(TODAY())-YEAR(D197)</f>
        <v>8</v>
      </c>
      <c r="G197" s="319"/>
      <c r="H197" s="319"/>
      <c r="I197" s="156"/>
      <c r="J197" s="319"/>
      <c r="K197" s="319"/>
      <c r="L197" s="147"/>
      <c r="M197" s="147"/>
      <c r="N197" s="147"/>
      <c r="O197" s="147"/>
      <c r="P197" s="218"/>
      <c r="Q197" s="219"/>
      <c r="R197" s="147"/>
    </row>
    <row r="198" spans="1:70" x14ac:dyDescent="0.3">
      <c r="A198" s="412"/>
      <c r="B198" s="120"/>
      <c r="C198" s="36" t="s">
        <v>1154</v>
      </c>
      <c r="D198" s="37">
        <v>43919</v>
      </c>
      <c r="E198" s="36">
        <v>4412011</v>
      </c>
      <c r="F198" s="36">
        <f t="shared" ca="1" si="17"/>
        <v>6</v>
      </c>
      <c r="G198" s="36"/>
      <c r="H198" s="36"/>
      <c r="I198" s="35"/>
      <c r="J198" s="36"/>
      <c r="K198" s="36"/>
      <c r="L198" s="8"/>
      <c r="M198" s="8"/>
      <c r="N198" s="8"/>
      <c r="O198" s="8"/>
      <c r="P198" s="104"/>
      <c r="Q198" s="5"/>
      <c r="R198" s="8"/>
    </row>
    <row r="199" spans="1:70" s="189" customFormat="1" x14ac:dyDescent="0.3">
      <c r="A199" s="408" t="s">
        <v>1155</v>
      </c>
      <c r="B199" s="112">
        <v>44992</v>
      </c>
      <c r="C199" s="30" t="s">
        <v>615</v>
      </c>
      <c r="D199" s="31">
        <v>25619</v>
      </c>
      <c r="E199" s="30">
        <v>1451220</v>
      </c>
      <c r="F199" s="30">
        <f t="shared" ca="1" si="15"/>
        <v>56</v>
      </c>
      <c r="G199" s="30" t="s">
        <v>1156</v>
      </c>
      <c r="H199" s="30"/>
      <c r="I199" s="29" t="s">
        <v>1157</v>
      </c>
      <c r="J199" s="30"/>
      <c r="K199" s="30"/>
      <c r="L199" s="8" t="s">
        <v>1158</v>
      </c>
      <c r="M199" s="8"/>
      <c r="N199" s="8"/>
      <c r="O199" s="8"/>
      <c r="P199" s="104"/>
      <c r="Q199" s="5"/>
      <c r="R199" s="8"/>
    </row>
    <row r="200" spans="1:70" x14ac:dyDescent="0.3">
      <c r="A200" s="409"/>
      <c r="B200" s="113"/>
      <c r="C200" s="30" t="s">
        <v>614</v>
      </c>
      <c r="D200" s="31">
        <v>26260</v>
      </c>
      <c r="E200" s="30">
        <v>2453226</v>
      </c>
      <c r="F200" s="30">
        <f ca="1">YEAR(TODAY())-YEAR(D200)</f>
        <v>55</v>
      </c>
      <c r="G200" s="30" t="s">
        <v>1159</v>
      </c>
      <c r="H200" s="30"/>
      <c r="I200" s="29"/>
      <c r="J200" s="30"/>
      <c r="K200" s="30"/>
      <c r="L200" s="8"/>
      <c r="M200" s="8"/>
      <c r="N200" s="8"/>
      <c r="O200" s="8"/>
      <c r="P200" s="104"/>
      <c r="Q200" s="5"/>
      <c r="R200" s="8"/>
    </row>
    <row r="201" spans="1:70" x14ac:dyDescent="0.3">
      <c r="A201" s="409"/>
      <c r="B201" s="113"/>
      <c r="C201" s="30" t="s">
        <v>1160</v>
      </c>
      <c r="D201" s="31">
        <v>37915</v>
      </c>
      <c r="E201" s="30">
        <v>3478211</v>
      </c>
      <c r="F201" s="30"/>
      <c r="G201" s="30"/>
      <c r="H201" s="30"/>
      <c r="I201" s="29"/>
      <c r="J201" s="30"/>
      <c r="K201" s="30"/>
      <c r="L201" s="8"/>
      <c r="M201" s="8"/>
      <c r="N201" s="8"/>
      <c r="O201" s="8"/>
      <c r="P201" s="104"/>
      <c r="Q201" s="5"/>
      <c r="R201" s="8"/>
    </row>
    <row r="202" spans="1:70" x14ac:dyDescent="0.3">
      <c r="A202" s="409"/>
      <c r="B202" s="113"/>
      <c r="C202" s="30" t="s">
        <v>1161</v>
      </c>
      <c r="D202" s="31">
        <v>35558</v>
      </c>
      <c r="E202" s="30">
        <v>2279810</v>
      </c>
      <c r="F202" s="30"/>
      <c r="G202" s="30"/>
      <c r="H202" s="30"/>
      <c r="I202" s="29"/>
      <c r="J202" s="30"/>
      <c r="K202" s="30"/>
      <c r="L202" s="8"/>
      <c r="M202" s="8"/>
      <c r="N202" s="8"/>
      <c r="O202" s="8"/>
      <c r="P202" s="104"/>
      <c r="Q202" s="5"/>
      <c r="R202" s="8"/>
    </row>
    <row r="203" spans="1:70" x14ac:dyDescent="0.3">
      <c r="A203" s="410"/>
      <c r="B203" s="113"/>
      <c r="C203" s="30" t="s">
        <v>616</v>
      </c>
      <c r="D203" s="31">
        <v>17086</v>
      </c>
      <c r="E203" s="30">
        <v>2451211</v>
      </c>
      <c r="F203" s="30">
        <f t="shared" ref="F203" ca="1" si="18">YEAR(TODAY())-YEAR(D203)</f>
        <v>80</v>
      </c>
      <c r="G203" s="30" t="s">
        <v>1162</v>
      </c>
      <c r="H203" s="30"/>
      <c r="I203" s="29"/>
      <c r="J203" s="30"/>
      <c r="K203" s="30"/>
      <c r="L203" s="8" t="s">
        <v>1163</v>
      </c>
      <c r="M203" s="8"/>
      <c r="N203" s="8"/>
      <c r="O203" s="8"/>
      <c r="P203" s="104"/>
      <c r="Q203" s="5"/>
      <c r="R203" s="8"/>
    </row>
    <row r="204" spans="1:70" x14ac:dyDescent="0.3">
      <c r="A204" s="27"/>
      <c r="B204" s="117">
        <v>44628</v>
      </c>
      <c r="C204" s="27" t="s">
        <v>83</v>
      </c>
      <c r="D204" s="28"/>
      <c r="E204" s="27"/>
      <c r="F204" s="27">
        <f t="shared" ca="1" si="15"/>
        <v>126</v>
      </c>
      <c r="G204" s="27"/>
      <c r="H204" s="27"/>
      <c r="I204" s="26"/>
      <c r="J204" s="27"/>
      <c r="K204" s="27"/>
      <c r="L204" s="8"/>
      <c r="M204" s="8"/>
      <c r="N204" s="8"/>
      <c r="O204" s="8"/>
      <c r="P204" s="104"/>
      <c r="Q204" s="5"/>
      <c r="R204" s="8"/>
    </row>
    <row r="205" spans="1:70" x14ac:dyDescent="0.3">
      <c r="A205" s="378" t="s">
        <v>1164</v>
      </c>
      <c r="B205" s="150" t="s">
        <v>1165</v>
      </c>
      <c r="C205" s="1" t="s">
        <v>1166</v>
      </c>
      <c r="D205" s="2">
        <v>22292</v>
      </c>
      <c r="E205" s="1">
        <v>1455110</v>
      </c>
      <c r="F205" s="8"/>
      <c r="G205" s="1" t="s">
        <v>1167</v>
      </c>
      <c r="H205" s="8"/>
      <c r="I205" s="8" t="s">
        <v>1168</v>
      </c>
      <c r="J205" s="1"/>
      <c r="K205" s="1"/>
      <c r="L205" s="8" t="s">
        <v>1169</v>
      </c>
      <c r="M205" s="8"/>
      <c r="N205" s="8"/>
      <c r="O205" s="8"/>
      <c r="P205" s="9"/>
      <c r="Q205" s="3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</row>
    <row r="206" spans="1:70" x14ac:dyDescent="0.3">
      <c r="A206" s="384"/>
      <c r="B206" s="168"/>
      <c r="C206" s="1" t="s">
        <v>1170</v>
      </c>
      <c r="D206" s="2">
        <v>33526</v>
      </c>
      <c r="E206" s="1">
        <v>1400711</v>
      </c>
      <c r="F206" s="8"/>
      <c r="G206" s="1" t="s">
        <v>1171</v>
      </c>
      <c r="H206" s="8"/>
      <c r="I206" s="8"/>
      <c r="J206" s="1"/>
      <c r="K206" s="1"/>
      <c r="L206" s="8" t="s">
        <v>1172</v>
      </c>
      <c r="M206" s="8"/>
      <c r="N206" s="8"/>
      <c r="O206" s="8"/>
      <c r="P206" s="9"/>
      <c r="Q206" s="3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</row>
    <row r="207" spans="1:70" x14ac:dyDescent="0.3">
      <c r="A207" s="379"/>
      <c r="B207" s="150"/>
      <c r="C207" s="1" t="s">
        <v>1173</v>
      </c>
      <c r="D207" s="2">
        <v>33634</v>
      </c>
      <c r="E207" s="1">
        <v>2404019</v>
      </c>
      <c r="F207" s="8"/>
      <c r="G207" s="1" t="s">
        <v>1174</v>
      </c>
      <c r="H207" s="8"/>
      <c r="I207" s="8" t="s">
        <v>1175</v>
      </c>
      <c r="J207" s="1"/>
      <c r="K207" s="1"/>
      <c r="L207" s="8" t="s">
        <v>1176</v>
      </c>
      <c r="M207" s="8"/>
      <c r="N207" s="8"/>
      <c r="O207" s="8"/>
      <c r="P207" s="9"/>
      <c r="Q207" s="3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</row>
    <row r="208" spans="1:70" x14ac:dyDescent="0.3">
      <c r="A208" s="187" t="s">
        <v>848</v>
      </c>
      <c r="B208" s="118">
        <v>44628</v>
      </c>
      <c r="C208" s="40" t="s">
        <v>84</v>
      </c>
      <c r="D208" s="41">
        <v>30604</v>
      </c>
      <c r="E208" s="40">
        <v>1852341</v>
      </c>
      <c r="F208" s="40">
        <f t="shared" ca="1" si="15"/>
        <v>43</v>
      </c>
      <c r="G208" s="40" t="s">
        <v>1177</v>
      </c>
      <c r="H208" s="40"/>
      <c r="I208" s="39" t="s">
        <v>1178</v>
      </c>
      <c r="J208" s="40"/>
      <c r="K208" s="40"/>
      <c r="L208" s="8"/>
      <c r="M208" s="8" t="s">
        <v>1179</v>
      </c>
      <c r="N208" s="8"/>
      <c r="O208" s="8"/>
      <c r="P208" s="104"/>
      <c r="Q208" s="5"/>
      <c r="R208" s="8"/>
    </row>
    <row r="209" spans="1:18" s="204" customFormat="1" x14ac:dyDescent="0.3">
      <c r="A209" s="184" t="s">
        <v>1180</v>
      </c>
      <c r="B209" s="117">
        <v>44993</v>
      </c>
      <c r="C209" s="27" t="s">
        <v>547</v>
      </c>
      <c r="D209" s="28">
        <v>28295</v>
      </c>
      <c r="E209" s="27">
        <v>1469019</v>
      </c>
      <c r="F209" s="27">
        <f t="shared" ref="F209:F215" ca="1" si="19">YEAR(TODAY())-YEAR(D209)</f>
        <v>49</v>
      </c>
      <c r="G209" s="27" t="s">
        <v>1181</v>
      </c>
      <c r="H209" s="27"/>
      <c r="I209" s="26" t="s">
        <v>1182</v>
      </c>
      <c r="J209" s="27"/>
      <c r="K209" s="27"/>
      <c r="L209" s="8"/>
      <c r="M209" s="8"/>
      <c r="N209" s="8"/>
      <c r="O209" s="8"/>
      <c r="P209" s="104"/>
      <c r="Q209" s="5"/>
      <c r="R209" s="8"/>
    </row>
    <row r="210" spans="1:18" x14ac:dyDescent="0.3">
      <c r="A210" s="200" t="s">
        <v>828</v>
      </c>
      <c r="B210" s="112">
        <v>44993</v>
      </c>
      <c r="C210" s="30" t="s">
        <v>829</v>
      </c>
      <c r="D210" s="31">
        <v>20595</v>
      </c>
      <c r="E210" s="30">
        <v>1535618</v>
      </c>
      <c r="F210" s="30">
        <f t="shared" ca="1" si="19"/>
        <v>70</v>
      </c>
      <c r="G210" s="30"/>
      <c r="H210" s="30"/>
      <c r="I210" s="29" t="s">
        <v>1183</v>
      </c>
      <c r="J210" s="30"/>
      <c r="K210" s="30"/>
      <c r="L210" s="8"/>
      <c r="M210" s="8"/>
      <c r="N210" s="8"/>
      <c r="O210" s="8"/>
      <c r="P210" s="104"/>
      <c r="Q210" s="5"/>
      <c r="R210" s="8"/>
    </row>
    <row r="211" spans="1:18" s="212" customFormat="1" x14ac:dyDescent="0.3">
      <c r="A211" s="211" t="s">
        <v>1184</v>
      </c>
      <c r="B211" s="122">
        <v>44995</v>
      </c>
      <c r="C211" s="18" t="s">
        <v>619</v>
      </c>
      <c r="D211" s="19">
        <v>30400</v>
      </c>
      <c r="E211" s="18">
        <v>1476114</v>
      </c>
      <c r="F211" s="18">
        <f t="shared" ca="1" si="19"/>
        <v>43</v>
      </c>
      <c r="G211" s="18"/>
      <c r="H211" s="18"/>
      <c r="I211" s="17" t="s">
        <v>1185</v>
      </c>
      <c r="J211" s="18"/>
      <c r="K211" s="18"/>
      <c r="L211" s="8"/>
      <c r="M211" s="8"/>
      <c r="N211" s="8"/>
      <c r="O211" s="8"/>
      <c r="P211" s="104"/>
      <c r="Q211" s="5"/>
      <c r="R211" s="8"/>
    </row>
    <row r="212" spans="1:18" x14ac:dyDescent="0.3">
      <c r="A212" s="422" t="s">
        <v>1041</v>
      </c>
      <c r="B212" s="115">
        <v>44630</v>
      </c>
      <c r="C212" s="1" t="s">
        <v>86</v>
      </c>
      <c r="D212" s="2">
        <v>27715</v>
      </c>
      <c r="E212" s="1">
        <v>1057224</v>
      </c>
      <c r="F212" s="1">
        <f t="shared" ca="1" si="19"/>
        <v>51</v>
      </c>
      <c r="G212" s="1" t="s">
        <v>1186</v>
      </c>
      <c r="H212" s="1"/>
      <c r="I212" s="8" t="s">
        <v>1187</v>
      </c>
      <c r="J212" s="1"/>
      <c r="K212" s="1"/>
      <c r="L212" s="8"/>
      <c r="M212" s="8"/>
      <c r="N212" s="8"/>
      <c r="O212" s="8"/>
      <c r="P212" s="104"/>
      <c r="Q212" s="5"/>
      <c r="R212" s="8"/>
    </row>
    <row r="213" spans="1:18" x14ac:dyDescent="0.3">
      <c r="A213" s="422"/>
      <c r="B213" s="109"/>
      <c r="C213" s="1" t="s">
        <v>87</v>
      </c>
      <c r="D213" s="2">
        <v>28667</v>
      </c>
      <c r="E213" s="1">
        <v>2656929</v>
      </c>
      <c r="F213" s="1">
        <f t="shared" ca="1" si="19"/>
        <v>48</v>
      </c>
      <c r="G213" s="1" t="s">
        <v>1188</v>
      </c>
      <c r="H213" s="1"/>
      <c r="I213" s="8"/>
      <c r="J213" s="1"/>
      <c r="K213" s="1"/>
      <c r="L213" s="8"/>
      <c r="M213" s="8"/>
      <c r="N213" s="8"/>
      <c r="O213" s="8"/>
      <c r="P213" s="104"/>
      <c r="Q213" s="5"/>
      <c r="R213" s="8"/>
    </row>
    <row r="214" spans="1:18" x14ac:dyDescent="0.3">
      <c r="A214" s="422"/>
      <c r="B214" s="109"/>
      <c r="C214" s="1" t="s">
        <v>88</v>
      </c>
      <c r="D214" s="2">
        <v>40078</v>
      </c>
      <c r="E214" s="1">
        <v>3412411</v>
      </c>
      <c r="F214" s="1">
        <f t="shared" ca="1" si="19"/>
        <v>17</v>
      </c>
      <c r="G214" s="1"/>
      <c r="H214" s="1"/>
      <c r="I214" s="8"/>
      <c r="J214" s="1"/>
      <c r="K214" s="1"/>
      <c r="L214" s="8"/>
      <c r="M214" s="8"/>
      <c r="N214" s="8"/>
      <c r="O214" s="8"/>
      <c r="P214" s="104"/>
      <c r="Q214" s="5"/>
      <c r="R214" s="8"/>
    </row>
    <row r="215" spans="1:18" x14ac:dyDescent="0.3">
      <c r="A215" s="213" t="s">
        <v>1189</v>
      </c>
      <c r="B215" s="122">
        <v>44996</v>
      </c>
      <c r="C215" s="18" t="s">
        <v>1190</v>
      </c>
      <c r="D215" s="19">
        <v>28629</v>
      </c>
      <c r="E215" s="18">
        <v>1468611</v>
      </c>
      <c r="F215" s="18">
        <f t="shared" ca="1" si="19"/>
        <v>48</v>
      </c>
      <c r="G215" s="18" t="s">
        <v>1191</v>
      </c>
      <c r="H215" s="18"/>
      <c r="I215" s="17" t="s">
        <v>1192</v>
      </c>
      <c r="J215" s="18"/>
      <c r="K215" s="18"/>
      <c r="L215" s="8"/>
      <c r="M215" s="8"/>
      <c r="N215" s="8"/>
      <c r="O215" s="8"/>
      <c r="P215" s="104"/>
      <c r="Q215" s="5"/>
      <c r="R215" s="8"/>
    </row>
    <row r="216" spans="1:18" s="204" customFormat="1" x14ac:dyDescent="0.3">
      <c r="A216" s="420" t="s">
        <v>1193</v>
      </c>
      <c r="B216" s="117">
        <v>44997</v>
      </c>
      <c r="C216" s="27" t="s">
        <v>456</v>
      </c>
      <c r="D216" s="28">
        <v>29571</v>
      </c>
      <c r="E216" s="27">
        <v>1532518</v>
      </c>
      <c r="F216" s="27">
        <f ca="1">YEAR(TODAY())-YEAR(D216)</f>
        <v>46</v>
      </c>
      <c r="G216" s="27" t="s">
        <v>1194</v>
      </c>
      <c r="H216" s="27"/>
      <c r="I216" s="26" t="s">
        <v>1195</v>
      </c>
      <c r="J216" s="27"/>
      <c r="K216" s="27"/>
      <c r="L216" s="8"/>
      <c r="M216" s="8"/>
      <c r="N216" s="8"/>
      <c r="O216" s="8"/>
      <c r="P216" s="104"/>
      <c r="Q216" s="5"/>
      <c r="R216" s="8"/>
    </row>
    <row r="217" spans="1:18" s="204" customFormat="1" x14ac:dyDescent="0.3">
      <c r="A217" s="420"/>
      <c r="B217" s="121"/>
      <c r="C217" s="27" t="s">
        <v>457</v>
      </c>
      <c r="D217" s="28">
        <v>28922</v>
      </c>
      <c r="E217" s="27">
        <v>1532518</v>
      </c>
      <c r="F217" s="27">
        <f ca="1">YEAR(TODAY())-YEAR(D217)</f>
        <v>47</v>
      </c>
      <c r="G217" s="27" t="s">
        <v>1196</v>
      </c>
      <c r="H217" s="27"/>
      <c r="I217" s="26"/>
      <c r="J217" s="27"/>
      <c r="K217" s="27"/>
      <c r="L217" s="8"/>
      <c r="M217" s="8"/>
      <c r="N217" s="8"/>
      <c r="O217" s="8"/>
      <c r="P217" s="104"/>
      <c r="Q217" s="5"/>
      <c r="R217" s="8"/>
    </row>
    <row r="218" spans="1:18" s="204" customFormat="1" x14ac:dyDescent="0.3">
      <c r="A218" s="420"/>
      <c r="B218" s="121"/>
      <c r="C218" s="27" t="s">
        <v>458</v>
      </c>
      <c r="D218" s="28">
        <v>39735</v>
      </c>
      <c r="E218" s="27">
        <v>3412413</v>
      </c>
      <c r="F218" s="27">
        <f ca="1">YEAR(TODAY())-YEAR(D218)</f>
        <v>18</v>
      </c>
      <c r="G218" s="27"/>
      <c r="H218" s="27"/>
      <c r="I218" s="26"/>
      <c r="J218" s="27"/>
      <c r="K218" s="27"/>
      <c r="L218" s="8"/>
      <c r="M218" s="8"/>
      <c r="N218" s="8"/>
      <c r="O218" s="8"/>
      <c r="P218" s="104"/>
      <c r="Q218" s="5"/>
      <c r="R218" s="8"/>
    </row>
    <row r="219" spans="1:18" s="204" customFormat="1" x14ac:dyDescent="0.3">
      <c r="A219" s="420"/>
      <c r="B219" s="121"/>
      <c r="C219" s="27" t="s">
        <v>459</v>
      </c>
      <c r="D219" s="28">
        <v>40615</v>
      </c>
      <c r="E219" s="27">
        <v>4412431</v>
      </c>
      <c r="F219" s="27">
        <f ca="1">YEAR(TODAY())-YEAR(D219)</f>
        <v>15</v>
      </c>
      <c r="G219" s="27"/>
      <c r="H219" s="27"/>
      <c r="I219" s="26"/>
      <c r="J219" s="27"/>
      <c r="K219" s="27"/>
      <c r="L219" s="8"/>
      <c r="M219" s="8"/>
      <c r="N219" s="8"/>
      <c r="O219" s="8"/>
      <c r="P219" s="104"/>
      <c r="Q219" s="5"/>
      <c r="R219" s="8"/>
    </row>
    <row r="220" spans="1:18" x14ac:dyDescent="0.3">
      <c r="A220" s="408" t="s">
        <v>1197</v>
      </c>
      <c r="B220" s="112">
        <v>44633</v>
      </c>
      <c r="C220" s="30" t="s">
        <v>91</v>
      </c>
      <c r="D220" s="31">
        <v>29553</v>
      </c>
      <c r="E220" s="30">
        <v>2937810</v>
      </c>
      <c r="F220" s="30">
        <f t="shared" ref="F220" ca="1" si="20">YEAR(TODAY())-YEAR(D220)</f>
        <v>46</v>
      </c>
      <c r="G220" s="30" t="s">
        <v>1198</v>
      </c>
      <c r="H220" s="30"/>
      <c r="I220" s="29" t="s">
        <v>1199</v>
      </c>
      <c r="J220" s="30"/>
      <c r="K220" s="30"/>
      <c r="L220" s="8"/>
      <c r="M220" s="8"/>
      <c r="N220" s="8"/>
      <c r="O220" s="8"/>
      <c r="P220" s="104"/>
      <c r="Q220" s="5"/>
      <c r="R220" s="8"/>
    </row>
    <row r="221" spans="1:18" x14ac:dyDescent="0.3">
      <c r="A221" s="409"/>
      <c r="B221" s="112"/>
      <c r="C221" s="30" t="s">
        <v>89</v>
      </c>
      <c r="D221" s="31">
        <v>27975</v>
      </c>
      <c r="E221" s="30">
        <v>1452519</v>
      </c>
      <c r="F221" s="30">
        <f t="shared" ref="F221:F245" ca="1" si="21">YEAR(TODAY())-YEAR(D221)</f>
        <v>50</v>
      </c>
      <c r="G221" s="30" t="s">
        <v>1200</v>
      </c>
      <c r="H221" s="30"/>
      <c r="I221" s="29"/>
      <c r="J221" s="30" t="s">
        <v>90</v>
      </c>
      <c r="K221" s="30"/>
      <c r="L221" s="8"/>
      <c r="M221" s="8"/>
      <c r="N221" s="8"/>
      <c r="O221" s="8"/>
      <c r="P221" s="104"/>
      <c r="Q221" s="5"/>
      <c r="R221" s="8"/>
    </row>
    <row r="222" spans="1:18" x14ac:dyDescent="0.3">
      <c r="A222" s="409"/>
      <c r="B222" s="113"/>
      <c r="C222" s="30" t="s">
        <v>92</v>
      </c>
      <c r="D222" s="31">
        <v>40069</v>
      </c>
      <c r="E222" s="30">
        <v>4937916</v>
      </c>
      <c r="F222" s="30">
        <f t="shared" ca="1" si="21"/>
        <v>17</v>
      </c>
      <c r="G222" s="30"/>
      <c r="H222" s="30"/>
      <c r="I222" s="29"/>
      <c r="J222" s="30"/>
      <c r="K222" s="30"/>
      <c r="L222" s="8"/>
      <c r="M222" s="8"/>
      <c r="N222" s="8"/>
      <c r="O222" s="8"/>
      <c r="P222" s="104"/>
      <c r="Q222" s="5"/>
      <c r="R222" s="8"/>
    </row>
    <row r="223" spans="1:18" x14ac:dyDescent="0.3">
      <c r="A223" s="410"/>
      <c r="B223" s="113"/>
      <c r="C223" s="30" t="s">
        <v>93</v>
      </c>
      <c r="D223" s="31">
        <v>40669</v>
      </c>
      <c r="E223" s="30">
        <v>3412617</v>
      </c>
      <c r="F223" s="30">
        <f t="shared" ca="1" si="21"/>
        <v>15</v>
      </c>
      <c r="G223" s="30"/>
      <c r="H223" s="30"/>
      <c r="I223" s="29"/>
      <c r="J223" s="30"/>
      <c r="K223" s="30"/>
      <c r="L223" s="8"/>
      <c r="M223" s="8"/>
      <c r="N223" s="8"/>
      <c r="O223" s="8"/>
      <c r="P223" s="104"/>
      <c r="Q223" s="5"/>
      <c r="R223" s="8"/>
    </row>
    <row r="224" spans="1:18" x14ac:dyDescent="0.3">
      <c r="A224" s="402" t="s">
        <v>1201</v>
      </c>
      <c r="B224" s="118">
        <v>44998</v>
      </c>
      <c r="C224" s="40" t="s">
        <v>319</v>
      </c>
      <c r="D224" s="41">
        <v>28918</v>
      </c>
      <c r="E224" s="40">
        <v>2468714</v>
      </c>
      <c r="F224" s="40">
        <f t="shared" ca="1" si="21"/>
        <v>47</v>
      </c>
      <c r="G224" s="40" t="s">
        <v>1202</v>
      </c>
      <c r="H224" s="40"/>
      <c r="I224" s="39" t="s">
        <v>1203</v>
      </c>
      <c r="J224" s="40"/>
      <c r="K224" s="40"/>
      <c r="L224" s="8"/>
      <c r="M224" s="8"/>
      <c r="N224" s="8"/>
      <c r="O224" s="8"/>
      <c r="P224" s="104"/>
      <c r="Q224" s="5"/>
      <c r="R224" s="8"/>
    </row>
    <row r="225" spans="1:96" x14ac:dyDescent="0.3">
      <c r="A225" s="384"/>
      <c r="B225" s="118"/>
      <c r="C225" s="40" t="s">
        <v>1204</v>
      </c>
      <c r="D225" s="41">
        <v>18657</v>
      </c>
      <c r="E225" s="40">
        <v>2468716</v>
      </c>
      <c r="F225" s="40">
        <f t="shared" ca="1" si="21"/>
        <v>75</v>
      </c>
      <c r="G225" s="40" t="s">
        <v>1205</v>
      </c>
      <c r="H225" s="40"/>
      <c r="I225" s="39"/>
      <c r="J225" s="40"/>
      <c r="K225" s="40"/>
      <c r="L225" s="8"/>
      <c r="M225" s="8"/>
      <c r="N225" s="8"/>
      <c r="O225" s="8"/>
      <c r="P225" s="104"/>
      <c r="Q225" s="5"/>
      <c r="R225" s="8"/>
    </row>
    <row r="226" spans="1:96" x14ac:dyDescent="0.3">
      <c r="A226" s="379"/>
      <c r="B226" s="118"/>
      <c r="C226" s="40" t="s">
        <v>1206</v>
      </c>
      <c r="D226" s="41">
        <v>16761</v>
      </c>
      <c r="E226" s="40">
        <v>2469419</v>
      </c>
      <c r="F226" s="40">
        <f t="shared" ca="1" si="21"/>
        <v>81</v>
      </c>
      <c r="G226" s="40" t="s">
        <v>1207</v>
      </c>
      <c r="H226" s="40"/>
      <c r="I226" s="39"/>
      <c r="J226" s="40"/>
      <c r="K226" s="40"/>
      <c r="L226" s="8" t="s">
        <v>1208</v>
      </c>
      <c r="M226" s="8"/>
      <c r="N226" s="8"/>
      <c r="O226" s="8"/>
      <c r="P226" s="104"/>
      <c r="Q226" s="5"/>
      <c r="R226" s="8"/>
    </row>
    <row r="227" spans="1:96" x14ac:dyDescent="0.3">
      <c r="A227" s="455" t="s">
        <v>1209</v>
      </c>
      <c r="B227" s="122">
        <v>44999</v>
      </c>
      <c r="C227" s="18" t="s">
        <v>1210</v>
      </c>
      <c r="D227" s="19">
        <v>29089</v>
      </c>
      <c r="E227" s="18">
        <v>2478914</v>
      </c>
      <c r="F227" s="18">
        <f t="shared" ca="1" si="21"/>
        <v>47</v>
      </c>
      <c r="G227" s="18" t="s">
        <v>1211</v>
      </c>
      <c r="H227" s="18"/>
      <c r="I227" s="17" t="s">
        <v>1212</v>
      </c>
      <c r="J227" s="18"/>
      <c r="K227" s="18"/>
      <c r="L227" s="8"/>
      <c r="M227" s="8"/>
      <c r="N227" s="8"/>
      <c r="O227" s="8"/>
      <c r="P227" s="104"/>
      <c r="Q227" s="5"/>
      <c r="R227" s="8"/>
    </row>
    <row r="228" spans="1:96" x14ac:dyDescent="0.3">
      <c r="A228" s="456"/>
      <c r="B228" s="123"/>
      <c r="C228" s="18" t="s">
        <v>723</v>
      </c>
      <c r="D228" s="19">
        <v>29081</v>
      </c>
      <c r="E228" s="18">
        <v>1451324</v>
      </c>
      <c r="F228" s="18">
        <f t="shared" ca="1" si="21"/>
        <v>47</v>
      </c>
      <c r="G228" s="18" t="s">
        <v>1213</v>
      </c>
      <c r="H228" s="18"/>
      <c r="I228" s="17"/>
      <c r="J228" s="18"/>
      <c r="K228" s="18"/>
      <c r="L228" s="8"/>
      <c r="M228" s="8"/>
      <c r="N228" s="8"/>
      <c r="O228" s="8"/>
      <c r="P228" s="104"/>
      <c r="Q228" s="5"/>
      <c r="R228" s="8"/>
    </row>
    <row r="229" spans="1:96" x14ac:dyDescent="0.3">
      <c r="A229" s="457"/>
      <c r="B229" s="123"/>
      <c r="C229" s="18" t="s">
        <v>1214</v>
      </c>
      <c r="D229" s="19">
        <v>28820</v>
      </c>
      <c r="E229" s="18">
        <v>1411116</v>
      </c>
      <c r="F229" s="18">
        <f t="shared" ca="1" si="21"/>
        <v>48</v>
      </c>
      <c r="G229" s="18" t="s">
        <v>1215</v>
      </c>
      <c r="H229" s="18"/>
      <c r="I229" s="17"/>
      <c r="J229" s="18"/>
      <c r="K229" s="18"/>
      <c r="L229" s="8"/>
      <c r="M229" s="8"/>
      <c r="N229" s="8"/>
      <c r="O229" s="8"/>
      <c r="P229" s="104"/>
      <c r="Q229" s="5"/>
      <c r="R229" s="8"/>
    </row>
    <row r="230" spans="1:96" x14ac:dyDescent="0.3">
      <c r="A230" s="36"/>
      <c r="B230" s="119">
        <v>44999</v>
      </c>
      <c r="C230" s="36" t="s">
        <v>1216</v>
      </c>
      <c r="D230" s="37">
        <v>34136</v>
      </c>
      <c r="E230" s="36">
        <v>1446711</v>
      </c>
      <c r="F230" s="36">
        <f t="shared" ca="1" si="21"/>
        <v>33</v>
      </c>
      <c r="G230" s="36" t="s">
        <v>1217</v>
      </c>
      <c r="H230" s="36" t="s">
        <v>1218</v>
      </c>
      <c r="I230" s="35" t="s">
        <v>1219</v>
      </c>
      <c r="J230" s="36"/>
      <c r="K230" s="36"/>
      <c r="L230" s="8"/>
      <c r="M230" s="8"/>
      <c r="N230" s="8"/>
      <c r="O230" s="8"/>
      <c r="P230" s="104"/>
      <c r="Q230" s="5"/>
      <c r="R230" s="8"/>
    </row>
    <row r="231" spans="1:96" x14ac:dyDescent="0.3">
      <c r="A231" s="198" t="s">
        <v>1220</v>
      </c>
      <c r="B231" s="119">
        <v>44270</v>
      </c>
      <c r="C231" s="36" t="s">
        <v>94</v>
      </c>
      <c r="D231" s="37">
        <v>29718</v>
      </c>
      <c r="E231" s="36">
        <v>1149630</v>
      </c>
      <c r="F231" s="36">
        <f t="shared" ca="1" si="21"/>
        <v>45</v>
      </c>
      <c r="G231" s="36" t="s">
        <v>1221</v>
      </c>
      <c r="H231" s="36"/>
      <c r="I231" s="35" t="s">
        <v>1222</v>
      </c>
      <c r="J231" s="36"/>
      <c r="K231" s="36"/>
      <c r="L231" s="8"/>
      <c r="M231" s="8"/>
      <c r="N231" s="8"/>
      <c r="O231" s="8"/>
      <c r="P231" s="104"/>
      <c r="Q231" s="5"/>
      <c r="R231" s="8"/>
    </row>
    <row r="232" spans="1:96" x14ac:dyDescent="0.3">
      <c r="A232" s="382" t="s">
        <v>1223</v>
      </c>
      <c r="B232" s="173"/>
      <c r="C232" s="176" t="s">
        <v>1224</v>
      </c>
      <c r="D232" s="177">
        <v>17997</v>
      </c>
      <c r="E232" s="178">
        <v>2663219</v>
      </c>
      <c r="F232" s="178">
        <f t="shared" ref="F232:F233" ca="1" si="22">YEAR(TODAY())-YEAR(D232)</f>
        <v>77</v>
      </c>
      <c r="G232" s="178" t="s">
        <v>1225</v>
      </c>
      <c r="H232" s="271"/>
      <c r="I232" s="271"/>
      <c r="J232" s="272"/>
      <c r="K232" s="272"/>
      <c r="L232" s="271"/>
      <c r="M232" s="271"/>
      <c r="N232" s="271"/>
      <c r="O232" s="271"/>
      <c r="P232" s="174"/>
      <c r="Q232" s="175"/>
      <c r="R232" s="271"/>
      <c r="S232" s="271"/>
      <c r="T232" s="271"/>
      <c r="U232" s="271"/>
      <c r="V232" s="271"/>
      <c r="W232" s="271"/>
      <c r="X232" s="271"/>
      <c r="Y232" s="271"/>
      <c r="Z232" s="271"/>
      <c r="AA232" s="271"/>
      <c r="AB232" s="271"/>
      <c r="AC232" s="271"/>
      <c r="AD232" s="271"/>
      <c r="AE232" s="271"/>
      <c r="AF232" s="271"/>
      <c r="AG232" s="271"/>
      <c r="AH232" s="271"/>
      <c r="AI232" s="271"/>
      <c r="AJ232" s="271"/>
      <c r="AK232" s="271"/>
      <c r="AL232" s="271"/>
      <c r="AM232" s="271"/>
      <c r="AN232" s="271"/>
      <c r="AO232" s="271"/>
      <c r="AP232" s="271"/>
      <c r="AQ232" s="271"/>
      <c r="AR232" s="271"/>
      <c r="AS232" s="271"/>
      <c r="AT232" s="271"/>
      <c r="AU232" s="271"/>
      <c r="AV232" s="271"/>
      <c r="AW232" s="271"/>
      <c r="AX232" s="271"/>
      <c r="AY232" s="271"/>
      <c r="AZ232" s="271"/>
      <c r="BA232" s="271"/>
      <c r="BB232" s="271"/>
      <c r="BC232" s="271"/>
      <c r="BD232" s="271"/>
      <c r="BE232" s="271"/>
      <c r="BF232" s="271"/>
      <c r="BG232" s="271"/>
      <c r="BH232" s="271"/>
      <c r="BI232" s="271"/>
      <c r="BJ232" s="271"/>
      <c r="BK232" s="271"/>
      <c r="BL232" s="271"/>
      <c r="BM232" s="271"/>
      <c r="BN232" s="271"/>
      <c r="BO232" s="271"/>
      <c r="BP232" s="271"/>
      <c r="BQ232" s="271"/>
      <c r="BR232" s="271"/>
      <c r="BS232" s="271"/>
      <c r="BT232" s="271"/>
      <c r="BU232" s="271"/>
      <c r="BV232" s="271"/>
      <c r="BW232" s="271"/>
      <c r="BX232" s="271"/>
      <c r="BY232" s="271"/>
      <c r="BZ232" s="271"/>
      <c r="CA232" s="271"/>
      <c r="CB232" s="271"/>
      <c r="CC232" s="271"/>
      <c r="CD232" s="271"/>
      <c r="CE232" s="271"/>
      <c r="CF232" s="271"/>
      <c r="CG232" s="271"/>
      <c r="CH232" s="271"/>
      <c r="CI232" s="271"/>
      <c r="CJ232" s="271"/>
      <c r="CK232" s="271"/>
      <c r="CL232" s="271"/>
      <c r="CM232" s="271"/>
      <c r="CN232" s="271"/>
      <c r="CO232" s="271"/>
      <c r="CP232" s="271"/>
      <c r="CQ232" s="271"/>
      <c r="CR232" s="271"/>
    </row>
    <row r="233" spans="1:96" s="8" customFormat="1" x14ac:dyDescent="0.3">
      <c r="A233" s="384"/>
      <c r="B233" s="273"/>
      <c r="C233" s="178" t="s">
        <v>1226</v>
      </c>
      <c r="D233" s="177">
        <v>19161</v>
      </c>
      <c r="E233" s="178">
        <v>2642126</v>
      </c>
      <c r="F233" s="178">
        <f t="shared" ca="1" si="22"/>
        <v>74</v>
      </c>
      <c r="G233" s="178" t="s">
        <v>1227</v>
      </c>
      <c r="J233" s="1"/>
      <c r="K233" s="1"/>
      <c r="P233" s="9"/>
      <c r="Q233" s="3"/>
    </row>
    <row r="234" spans="1:96" s="8" customFormat="1" x14ac:dyDescent="0.3">
      <c r="A234" s="384"/>
      <c r="B234" s="273" t="s">
        <v>1228</v>
      </c>
      <c r="C234" s="1" t="s">
        <v>1229</v>
      </c>
      <c r="D234" s="2">
        <v>18767</v>
      </c>
      <c r="E234" s="1">
        <v>1642121</v>
      </c>
      <c r="G234" s="1" t="s">
        <v>1230</v>
      </c>
      <c r="J234" s="1"/>
      <c r="K234" s="1"/>
      <c r="P234" s="9"/>
      <c r="Q234" s="3"/>
    </row>
    <row r="235" spans="1:96" s="8" customFormat="1" x14ac:dyDescent="0.3">
      <c r="A235" s="379"/>
      <c r="B235" s="273"/>
      <c r="C235" s="1" t="s">
        <v>1231</v>
      </c>
      <c r="D235" s="2">
        <v>25942</v>
      </c>
      <c r="E235" s="1">
        <v>1558811</v>
      </c>
      <c r="G235" s="1"/>
      <c r="J235" s="1"/>
      <c r="K235" s="1"/>
      <c r="P235" s="9"/>
      <c r="Q235" s="3"/>
    </row>
    <row r="236" spans="1:96" s="193" customFormat="1" x14ac:dyDescent="0.3">
      <c r="A236" s="404" t="s">
        <v>1232</v>
      </c>
      <c r="B236" s="110">
        <v>45000</v>
      </c>
      <c r="C236" s="33" t="s">
        <v>1233</v>
      </c>
      <c r="D236" s="34">
        <v>29495</v>
      </c>
      <c r="E236" s="33">
        <v>2406039</v>
      </c>
      <c r="F236" s="33">
        <f ca="1">YEAR(TODAY())-YEAR(D236)</f>
        <v>46</v>
      </c>
      <c r="G236" s="33" t="s">
        <v>1234</v>
      </c>
      <c r="H236" s="33"/>
      <c r="I236" s="32" t="s">
        <v>1235</v>
      </c>
      <c r="J236" s="33"/>
      <c r="K236" s="33"/>
      <c r="L236" s="8"/>
      <c r="M236" s="8"/>
      <c r="N236" s="8"/>
      <c r="O236" s="8"/>
      <c r="P236" s="104"/>
      <c r="Q236" s="5"/>
      <c r="R236" s="8"/>
    </row>
    <row r="237" spans="1:96" s="193" customFormat="1" x14ac:dyDescent="0.3">
      <c r="A237" s="405"/>
      <c r="B237" s="111"/>
      <c r="C237" s="33" t="s">
        <v>1236</v>
      </c>
      <c r="D237" s="34">
        <v>26468</v>
      </c>
      <c r="E237" s="33">
        <v>1446918</v>
      </c>
      <c r="F237" s="33">
        <f ca="1">YEAR(TODAY())-YEAR(D237)</f>
        <v>54</v>
      </c>
      <c r="G237" s="33" t="s">
        <v>1237</v>
      </c>
      <c r="H237" s="33"/>
      <c r="I237" s="32"/>
      <c r="J237" s="33"/>
      <c r="K237" s="33"/>
      <c r="L237" s="8"/>
      <c r="M237" s="8"/>
      <c r="N237" s="8"/>
      <c r="O237" s="8"/>
      <c r="P237" s="104"/>
      <c r="Q237" s="5"/>
      <c r="R237" s="8"/>
    </row>
    <row r="238" spans="1:96" s="193" customFormat="1" x14ac:dyDescent="0.3">
      <c r="A238" s="454"/>
      <c r="B238" s="111"/>
      <c r="C238" s="33" t="s">
        <v>1238</v>
      </c>
      <c r="D238" s="34">
        <v>40180</v>
      </c>
      <c r="E238" s="33">
        <v>3446713</v>
      </c>
      <c r="F238" s="33">
        <f t="shared" ref="F238:F239" ca="1" si="23">YEAR(TODAY())-YEAR(D238)</f>
        <v>16</v>
      </c>
      <c r="G238" s="33"/>
      <c r="H238" s="33"/>
      <c r="I238" s="32"/>
      <c r="J238" s="33"/>
      <c r="K238" s="33"/>
      <c r="L238" s="8"/>
      <c r="M238" s="8"/>
      <c r="N238" s="8"/>
      <c r="O238" s="8"/>
      <c r="P238" s="104"/>
      <c r="Q238" s="5"/>
      <c r="R238" s="8"/>
    </row>
    <row r="239" spans="1:96" s="193" customFormat="1" x14ac:dyDescent="0.3">
      <c r="A239" s="453"/>
      <c r="B239" s="111"/>
      <c r="C239" s="33" t="s">
        <v>1239</v>
      </c>
      <c r="D239" s="34">
        <v>40997</v>
      </c>
      <c r="E239" s="33">
        <v>4446716</v>
      </c>
      <c r="F239" s="33">
        <f t="shared" ca="1" si="23"/>
        <v>14</v>
      </c>
      <c r="G239" s="33"/>
      <c r="H239" s="33"/>
      <c r="I239" s="32"/>
      <c r="J239" s="33"/>
      <c r="K239" s="33"/>
      <c r="L239" s="8"/>
      <c r="M239" s="8"/>
      <c r="N239" s="8"/>
      <c r="O239" s="8"/>
      <c r="P239" s="104"/>
      <c r="Q239" s="5"/>
      <c r="R239" s="8"/>
    </row>
    <row r="240" spans="1:96" x14ac:dyDescent="0.3">
      <c r="A240" s="184" t="s">
        <v>1240</v>
      </c>
      <c r="B240" s="117">
        <v>44636</v>
      </c>
      <c r="C240" s="27" t="s">
        <v>95</v>
      </c>
      <c r="D240" s="28">
        <v>28967</v>
      </c>
      <c r="E240" s="27">
        <v>2229819</v>
      </c>
      <c r="F240" s="27">
        <f t="shared" ca="1" si="21"/>
        <v>47</v>
      </c>
      <c r="G240" s="27" t="s">
        <v>1241</v>
      </c>
      <c r="H240" s="27"/>
      <c r="I240" s="26" t="s">
        <v>1242</v>
      </c>
      <c r="J240" s="27"/>
      <c r="K240" s="27"/>
      <c r="L240" s="8"/>
      <c r="M240" s="8"/>
      <c r="N240" s="8"/>
      <c r="O240" s="8"/>
      <c r="P240" s="104"/>
      <c r="Q240" s="5"/>
      <c r="R240" s="8"/>
    </row>
    <row r="241" spans="1:70" x14ac:dyDescent="0.3">
      <c r="A241" s="196" t="s">
        <v>960</v>
      </c>
      <c r="B241" s="113" t="s">
        <v>1243</v>
      </c>
      <c r="C241" s="30" t="s">
        <v>962</v>
      </c>
      <c r="D241" s="31">
        <v>25295</v>
      </c>
      <c r="E241" s="30">
        <v>1810111</v>
      </c>
      <c r="F241" s="30">
        <f ca="1">YEAR(TODAY())-YEAR(D241)</f>
        <v>57</v>
      </c>
      <c r="G241" s="30" t="s">
        <v>963</v>
      </c>
      <c r="H241" s="30"/>
      <c r="I241" s="30" t="s">
        <v>1244</v>
      </c>
      <c r="J241" s="30"/>
      <c r="K241" s="30"/>
      <c r="L241" s="8"/>
      <c r="M241" s="8"/>
      <c r="N241" s="8"/>
      <c r="O241" s="8"/>
      <c r="P241" s="9"/>
      <c r="Q241" s="3"/>
      <c r="R241" s="8"/>
    </row>
    <row r="242" spans="1:70" x14ac:dyDescent="0.3">
      <c r="A242" s="420" t="s">
        <v>1201</v>
      </c>
      <c r="B242" s="117">
        <v>45002</v>
      </c>
      <c r="C242" s="27" t="s">
        <v>338</v>
      </c>
      <c r="D242" s="159">
        <v>28515</v>
      </c>
      <c r="E242" s="160">
        <v>1860416</v>
      </c>
      <c r="F242" s="160">
        <f t="shared" ca="1" si="21"/>
        <v>48</v>
      </c>
      <c r="G242" s="160" t="s">
        <v>1245</v>
      </c>
      <c r="H242" s="160"/>
      <c r="I242" s="161" t="s">
        <v>1246</v>
      </c>
      <c r="J242" s="160"/>
      <c r="K242" s="160"/>
      <c r="L242" s="8"/>
      <c r="M242" s="8"/>
      <c r="N242" s="8"/>
      <c r="O242" s="8"/>
      <c r="P242" s="104"/>
      <c r="Q242" s="5"/>
      <c r="R242" s="8"/>
    </row>
    <row r="243" spans="1:70" x14ac:dyDescent="0.3">
      <c r="A243" s="420"/>
      <c r="B243" s="121"/>
      <c r="C243" s="27" t="s">
        <v>339</v>
      </c>
      <c r="D243" s="159">
        <v>41279</v>
      </c>
      <c r="E243" s="160">
        <v>3475916</v>
      </c>
      <c r="F243" s="160">
        <f t="shared" ca="1" si="21"/>
        <v>13</v>
      </c>
      <c r="G243" s="160"/>
      <c r="H243" s="160"/>
      <c r="I243" s="161"/>
      <c r="J243" s="160"/>
      <c r="K243" s="160"/>
      <c r="L243" s="8"/>
      <c r="M243" s="8"/>
      <c r="N243" s="8"/>
      <c r="O243" s="8"/>
      <c r="P243" s="104"/>
      <c r="Q243" s="5"/>
      <c r="R243" s="8"/>
    </row>
    <row r="244" spans="1:70" x14ac:dyDescent="0.3">
      <c r="A244" s="420"/>
      <c r="B244" s="121"/>
      <c r="C244" s="27" t="s">
        <v>340</v>
      </c>
      <c r="D244" s="159">
        <v>42776</v>
      </c>
      <c r="E244" s="160">
        <v>3475938</v>
      </c>
      <c r="F244" s="160">
        <f t="shared" ca="1" si="21"/>
        <v>9</v>
      </c>
      <c r="G244" s="160"/>
      <c r="H244" s="160"/>
      <c r="I244" s="161"/>
      <c r="J244" s="160"/>
      <c r="K244" s="160"/>
      <c r="L244" s="8"/>
      <c r="M244" s="8"/>
      <c r="N244" s="8"/>
      <c r="O244" s="8"/>
      <c r="P244" s="104"/>
      <c r="Q244" s="5"/>
      <c r="R244" s="8"/>
    </row>
    <row r="245" spans="1:70" x14ac:dyDescent="0.3">
      <c r="A245" s="183" t="s">
        <v>1247</v>
      </c>
      <c r="B245" s="112">
        <v>45004</v>
      </c>
      <c r="C245" s="30" t="s">
        <v>1248</v>
      </c>
      <c r="D245" s="31">
        <v>27226</v>
      </c>
      <c r="E245" s="30">
        <v>2520510</v>
      </c>
      <c r="F245" s="30">
        <f t="shared" ca="1" si="21"/>
        <v>52</v>
      </c>
      <c r="G245" s="30" t="s">
        <v>1249</v>
      </c>
      <c r="H245" s="30"/>
      <c r="I245" s="29" t="s">
        <v>1250</v>
      </c>
      <c r="J245" s="30"/>
      <c r="K245" s="30"/>
      <c r="L245" s="8"/>
      <c r="M245" s="8"/>
      <c r="N245" s="8"/>
      <c r="O245" s="8"/>
      <c r="P245" s="104"/>
      <c r="Q245" s="5"/>
      <c r="R245" s="8"/>
    </row>
    <row r="246" spans="1:70" x14ac:dyDescent="0.3">
      <c r="A246" s="397" t="s">
        <v>1251</v>
      </c>
      <c r="B246" s="125">
        <v>44274</v>
      </c>
      <c r="C246" s="51" t="s">
        <v>97</v>
      </c>
      <c r="D246" s="52">
        <v>30655</v>
      </c>
      <c r="E246" s="51">
        <v>1860517</v>
      </c>
      <c r="F246" s="18">
        <f ca="1">YEAR(TODAY())-YEAR(D246)</f>
        <v>43</v>
      </c>
      <c r="G246" s="51" t="s">
        <v>1252</v>
      </c>
      <c r="H246" s="51"/>
      <c r="I246" s="50" t="s">
        <v>1253</v>
      </c>
      <c r="J246" s="51"/>
      <c r="K246" s="51"/>
      <c r="L246" s="8"/>
      <c r="M246" s="8"/>
      <c r="N246" s="8"/>
      <c r="O246" s="8"/>
      <c r="P246" s="104"/>
      <c r="Q246" s="5"/>
      <c r="R246" s="8"/>
    </row>
    <row r="247" spans="1:70" x14ac:dyDescent="0.3">
      <c r="A247" s="397"/>
      <c r="B247" s="126"/>
      <c r="C247" s="51" t="s">
        <v>98</v>
      </c>
      <c r="D247" s="52">
        <v>19499</v>
      </c>
      <c r="E247" s="51">
        <v>2802457</v>
      </c>
      <c r="F247" s="18">
        <f t="shared" ref="F247" ca="1" si="24">YEAR(TODAY())-YEAR(D247)</f>
        <v>73</v>
      </c>
      <c r="G247" s="51" t="s">
        <v>1254</v>
      </c>
      <c r="H247" s="51"/>
      <c r="I247" s="50"/>
      <c r="J247" s="51"/>
      <c r="K247" s="51"/>
      <c r="L247" s="8"/>
      <c r="M247" s="8"/>
      <c r="N247" s="8"/>
      <c r="O247" s="8"/>
      <c r="P247" s="104"/>
      <c r="Q247" s="5"/>
      <c r="R247" s="8"/>
    </row>
    <row r="248" spans="1:70" x14ac:dyDescent="0.3">
      <c r="A248" s="397"/>
      <c r="B248" s="126"/>
      <c r="C248" s="51" t="s">
        <v>99</v>
      </c>
      <c r="D248" s="52">
        <v>18224</v>
      </c>
      <c r="E248" s="51">
        <v>1823616</v>
      </c>
      <c r="F248" s="18">
        <f ca="1">YEAR(TODAY())-YEAR(D248)</f>
        <v>77</v>
      </c>
      <c r="G248" s="51" t="s">
        <v>1255</v>
      </c>
      <c r="H248" s="51"/>
      <c r="I248" s="50"/>
      <c r="J248" s="51">
        <v>831205</v>
      </c>
      <c r="K248" s="51"/>
      <c r="L248" s="8"/>
      <c r="M248" s="8"/>
      <c r="N248" s="8"/>
      <c r="O248" s="8"/>
      <c r="P248" s="104"/>
      <c r="Q248" s="5"/>
      <c r="R248" s="8"/>
    </row>
    <row r="249" spans="1:70" x14ac:dyDescent="0.3">
      <c r="A249" s="1" t="s">
        <v>1256</v>
      </c>
      <c r="B249" s="168" t="s">
        <v>1257</v>
      </c>
      <c r="C249" s="1" t="s">
        <v>1258</v>
      </c>
      <c r="D249" s="2">
        <v>35947</v>
      </c>
      <c r="E249" s="1">
        <v>2187317</v>
      </c>
      <c r="F249" s="8"/>
      <c r="G249" s="1" t="s">
        <v>1259</v>
      </c>
      <c r="H249" s="8"/>
      <c r="I249" s="8" t="s">
        <v>1175</v>
      </c>
      <c r="J249" s="1"/>
      <c r="K249" s="1"/>
      <c r="L249" s="8"/>
      <c r="M249" s="8"/>
      <c r="N249" s="8"/>
      <c r="O249" s="8"/>
      <c r="P249" s="9"/>
      <c r="Q249" s="3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</row>
    <row r="250" spans="1:70" x14ac:dyDescent="0.3">
      <c r="A250" s="421" t="s">
        <v>888</v>
      </c>
      <c r="B250" s="158"/>
      <c r="C250" s="27" t="s">
        <v>889</v>
      </c>
      <c r="D250" s="159">
        <v>29117</v>
      </c>
      <c r="E250" s="160">
        <v>1667511</v>
      </c>
      <c r="F250" s="160">
        <f t="shared" ref="F250" ca="1" si="25">YEAR(TODAY())-YEAR(D250)</f>
        <v>47</v>
      </c>
      <c r="G250" s="160" t="s">
        <v>890</v>
      </c>
      <c r="H250" s="160"/>
      <c r="I250" s="161" t="s">
        <v>1260</v>
      </c>
      <c r="J250" s="27"/>
      <c r="K250" s="27"/>
      <c r="L250" s="26"/>
      <c r="M250" s="8"/>
      <c r="N250" s="8"/>
      <c r="O250" s="8"/>
    </row>
    <row r="251" spans="1:70" x14ac:dyDescent="0.3">
      <c r="A251" s="421"/>
      <c r="B251" s="162">
        <v>45006</v>
      </c>
      <c r="C251" s="27" t="s">
        <v>891</v>
      </c>
      <c r="D251" s="28">
        <v>30614</v>
      </c>
      <c r="E251" s="27">
        <v>2341921</v>
      </c>
      <c r="F251" s="26"/>
      <c r="G251" s="26" t="s">
        <v>892</v>
      </c>
      <c r="H251" s="26"/>
      <c r="I251" s="26"/>
      <c r="J251" s="27"/>
      <c r="K251" s="27"/>
      <c r="L251" s="26" t="s">
        <v>893</v>
      </c>
      <c r="M251" s="8"/>
      <c r="N251" s="8"/>
      <c r="O251" s="8"/>
    </row>
    <row r="252" spans="1:70" x14ac:dyDescent="0.3">
      <c r="A252" s="421"/>
      <c r="B252" s="158"/>
      <c r="C252" s="27" t="s">
        <v>894</v>
      </c>
      <c r="D252" s="28">
        <v>31111</v>
      </c>
      <c r="E252" s="27">
        <v>1222010</v>
      </c>
      <c r="F252" s="26"/>
      <c r="G252" s="26" t="s">
        <v>895</v>
      </c>
      <c r="H252" s="26"/>
      <c r="I252" s="26"/>
      <c r="J252" s="27"/>
      <c r="K252" s="27"/>
      <c r="L252" s="26"/>
    </row>
    <row r="253" spans="1:70" x14ac:dyDescent="0.3">
      <c r="A253" s="421"/>
      <c r="B253" s="162"/>
      <c r="C253" s="27" t="s">
        <v>896</v>
      </c>
      <c r="D253" s="28">
        <v>20796</v>
      </c>
      <c r="E253" s="27">
        <v>1341919</v>
      </c>
      <c r="F253" s="26"/>
      <c r="G253" s="26" t="s">
        <v>897</v>
      </c>
      <c r="H253" s="26"/>
      <c r="I253" s="26"/>
      <c r="J253" s="27"/>
      <c r="K253" s="27"/>
      <c r="L253" s="26" t="s">
        <v>899</v>
      </c>
    </row>
    <row r="254" spans="1:70" x14ac:dyDescent="0.3">
      <c r="A254" s="214" t="s">
        <v>1126</v>
      </c>
      <c r="B254" s="118">
        <v>45007</v>
      </c>
      <c r="C254" s="40" t="s">
        <v>1127</v>
      </c>
      <c r="D254" s="41">
        <v>29793</v>
      </c>
      <c r="E254" s="40">
        <v>1411419</v>
      </c>
      <c r="F254" s="40">
        <f t="shared" ref="F254:F257" ca="1" si="26">YEAR(TODAY())-YEAR(D254)</f>
        <v>45</v>
      </c>
      <c r="G254" s="40" t="s">
        <v>1128</v>
      </c>
      <c r="H254" s="40"/>
      <c r="I254" s="39" t="s">
        <v>1261</v>
      </c>
      <c r="J254" s="40"/>
      <c r="K254" s="40"/>
      <c r="L254" s="8"/>
      <c r="M254" s="8"/>
      <c r="N254" s="8"/>
      <c r="O254" s="8"/>
      <c r="P254" s="104"/>
      <c r="Q254" s="5"/>
      <c r="R254" s="8"/>
    </row>
    <row r="255" spans="1:70" s="204" customFormat="1" x14ac:dyDescent="0.3">
      <c r="A255" s="202" t="s">
        <v>1262</v>
      </c>
      <c r="B255" s="117">
        <v>45008</v>
      </c>
      <c r="C255" s="27" t="s">
        <v>277</v>
      </c>
      <c r="D255" s="28">
        <v>31451</v>
      </c>
      <c r="E255" s="27">
        <v>1057511</v>
      </c>
      <c r="F255" s="27">
        <f t="shared" ca="1" si="26"/>
        <v>40</v>
      </c>
      <c r="G255" s="27" t="s">
        <v>1263</v>
      </c>
      <c r="H255" s="27"/>
      <c r="I255" s="26" t="s">
        <v>1264</v>
      </c>
      <c r="J255" s="27" t="s">
        <v>276</v>
      </c>
      <c r="K255" s="27"/>
      <c r="L255" s="8"/>
      <c r="M255" s="8"/>
      <c r="N255" s="8"/>
      <c r="O255" s="8"/>
      <c r="P255" s="104"/>
      <c r="Q255" s="5"/>
      <c r="R255" s="8"/>
    </row>
    <row r="256" spans="1:70" x14ac:dyDescent="0.3">
      <c r="A256" s="402" t="s">
        <v>1265</v>
      </c>
      <c r="B256" s="118">
        <v>45010</v>
      </c>
      <c r="C256" s="40" t="s">
        <v>1266</v>
      </c>
      <c r="D256" s="41">
        <v>27807</v>
      </c>
      <c r="E256" s="40">
        <v>1221211</v>
      </c>
      <c r="F256" s="40">
        <f t="shared" ca="1" si="26"/>
        <v>50</v>
      </c>
      <c r="G256" s="40" t="s">
        <v>1267</v>
      </c>
      <c r="H256" s="40"/>
      <c r="I256" s="39" t="s">
        <v>1268</v>
      </c>
      <c r="J256" s="40" t="s">
        <v>1269</v>
      </c>
      <c r="K256" s="40"/>
      <c r="L256" s="8"/>
      <c r="M256" s="8"/>
      <c r="N256" s="8"/>
      <c r="O256" s="8"/>
      <c r="P256" s="9"/>
      <c r="Q256" s="3"/>
      <c r="R256" s="8"/>
    </row>
    <row r="257" spans="1:18" x14ac:dyDescent="0.3">
      <c r="A257" s="403"/>
      <c r="B257" s="118"/>
      <c r="C257" s="40" t="s">
        <v>1270</v>
      </c>
      <c r="D257" s="41">
        <v>28092</v>
      </c>
      <c r="E257" s="40">
        <v>2890512</v>
      </c>
      <c r="F257" s="40">
        <f t="shared" ca="1" si="26"/>
        <v>50</v>
      </c>
      <c r="G257" s="40" t="s">
        <v>1271</v>
      </c>
      <c r="H257" s="40"/>
      <c r="I257" s="39"/>
      <c r="J257" s="40"/>
      <c r="K257" s="40"/>
      <c r="L257" s="8"/>
      <c r="M257" s="8"/>
      <c r="N257" s="8"/>
      <c r="O257" s="8"/>
      <c r="P257" s="9"/>
      <c r="Q257" s="3"/>
      <c r="R257" s="8"/>
    </row>
    <row r="258" spans="1:18" x14ac:dyDescent="0.3">
      <c r="A258" s="182" t="s">
        <v>1272</v>
      </c>
      <c r="B258" s="115">
        <v>44646</v>
      </c>
      <c r="C258" s="1" t="s">
        <v>100</v>
      </c>
      <c r="D258" s="2">
        <v>28145</v>
      </c>
      <c r="E258" s="1">
        <v>1411633</v>
      </c>
      <c r="F258" s="1">
        <f ca="1">YEAR(TODAY())-YEAR(D258)</f>
        <v>49</v>
      </c>
      <c r="G258" s="1" t="s">
        <v>1273</v>
      </c>
      <c r="H258" s="1"/>
      <c r="I258" s="8" t="s">
        <v>1274</v>
      </c>
      <c r="J258" s="1"/>
      <c r="K258" s="1"/>
      <c r="L258" s="8"/>
      <c r="M258" s="8"/>
      <c r="N258" s="8"/>
      <c r="O258" s="8"/>
      <c r="P258" s="104"/>
      <c r="Q258" s="5"/>
      <c r="R258" s="8"/>
    </row>
    <row r="259" spans="1:18" s="189" customFormat="1" x14ac:dyDescent="0.3">
      <c r="A259" s="414" t="s">
        <v>1275</v>
      </c>
      <c r="B259" s="112">
        <v>45011</v>
      </c>
      <c r="C259" s="30" t="s">
        <v>551</v>
      </c>
      <c r="D259" s="31">
        <v>30726</v>
      </c>
      <c r="E259" s="30">
        <v>1852216</v>
      </c>
      <c r="F259" s="30">
        <f t="shared" ref="F259:F308" ca="1" si="27">YEAR(TODAY())-YEAR(D259)</f>
        <v>42</v>
      </c>
      <c r="G259" s="30" t="s">
        <v>1276</v>
      </c>
      <c r="H259" s="30"/>
      <c r="I259" s="29" t="s">
        <v>1277</v>
      </c>
      <c r="J259" s="30"/>
      <c r="K259" s="30"/>
      <c r="L259" s="8"/>
      <c r="M259" s="8"/>
      <c r="N259" s="8"/>
      <c r="O259" s="8"/>
      <c r="P259" s="104"/>
      <c r="Q259" s="5"/>
      <c r="R259" s="8"/>
    </row>
    <row r="260" spans="1:18" s="189" customFormat="1" x14ac:dyDescent="0.3">
      <c r="A260" s="415"/>
      <c r="B260" s="113"/>
      <c r="C260" s="30" t="s">
        <v>552</v>
      </c>
      <c r="D260" s="31">
        <v>30496</v>
      </c>
      <c r="E260" s="30">
        <v>2470915</v>
      </c>
      <c r="F260" s="30">
        <f t="shared" ca="1" si="27"/>
        <v>43</v>
      </c>
      <c r="G260" s="30" t="s">
        <v>1278</v>
      </c>
      <c r="H260" s="30"/>
      <c r="I260" s="29"/>
      <c r="J260" s="30"/>
      <c r="K260" s="30"/>
      <c r="L260" s="8"/>
      <c r="M260" s="8"/>
      <c r="N260" s="8"/>
      <c r="O260" s="8"/>
      <c r="P260" s="104"/>
      <c r="Q260" s="5"/>
      <c r="R260" s="8"/>
    </row>
    <row r="261" spans="1:18" s="189" customFormat="1" x14ac:dyDescent="0.3">
      <c r="A261" s="415"/>
      <c r="B261" s="113"/>
      <c r="C261" s="30" t="s">
        <v>553</v>
      </c>
      <c r="D261" s="31">
        <v>40628</v>
      </c>
      <c r="E261" s="30">
        <v>4475923</v>
      </c>
      <c r="F261" s="30">
        <f t="shared" ca="1" si="27"/>
        <v>15</v>
      </c>
      <c r="G261" s="30"/>
      <c r="H261" s="30"/>
      <c r="I261" s="29"/>
      <c r="J261" s="30"/>
      <c r="K261" s="30"/>
      <c r="L261" s="8"/>
      <c r="M261" s="8"/>
      <c r="N261" s="8"/>
      <c r="O261" s="8"/>
      <c r="P261" s="104"/>
      <c r="Q261" s="5"/>
      <c r="R261" s="8"/>
    </row>
    <row r="262" spans="1:18" x14ac:dyDescent="0.3">
      <c r="A262" s="462" t="s">
        <v>1279</v>
      </c>
      <c r="B262" s="109" t="s">
        <v>1280</v>
      </c>
      <c r="C262" s="1" t="s">
        <v>1281</v>
      </c>
      <c r="D262" s="2">
        <v>30650</v>
      </c>
      <c r="E262" s="1">
        <v>1010511</v>
      </c>
      <c r="F262" s="1">
        <f ca="1">YEAR(TODAY())-YEAR(D262)</f>
        <v>43</v>
      </c>
      <c r="G262" s="1" t="s">
        <v>1282</v>
      </c>
      <c r="H262" s="1"/>
      <c r="I262" s="8" t="s">
        <v>1283</v>
      </c>
      <c r="J262" s="1"/>
      <c r="K262" s="1"/>
      <c r="L262" s="8" t="s">
        <v>1284</v>
      </c>
      <c r="M262" s="8"/>
      <c r="N262" s="8"/>
      <c r="O262" s="8"/>
      <c r="P262" s="9"/>
      <c r="Q262" s="3"/>
      <c r="R262" s="8"/>
    </row>
    <row r="263" spans="1:18" x14ac:dyDescent="0.3">
      <c r="A263" s="379"/>
      <c r="B263" s="109"/>
      <c r="C263" s="1" t="s">
        <v>1285</v>
      </c>
      <c r="D263" s="2">
        <v>20180</v>
      </c>
      <c r="E263" s="1">
        <v>2791915</v>
      </c>
      <c r="F263" s="1">
        <f ca="1">YEAR(TODAY())-YEAR(D263)</f>
        <v>71</v>
      </c>
      <c r="G263" s="1" t="s">
        <v>1286</v>
      </c>
      <c r="H263" s="1"/>
      <c r="I263" s="8"/>
      <c r="J263" s="1"/>
      <c r="K263" s="1"/>
      <c r="L263" s="8" t="s">
        <v>1287</v>
      </c>
      <c r="M263" s="8"/>
      <c r="N263" s="8"/>
      <c r="O263" s="8"/>
      <c r="P263" s="9"/>
      <c r="Q263" s="3"/>
      <c r="R263" s="8"/>
    </row>
    <row r="264" spans="1:18" x14ac:dyDescent="0.3">
      <c r="A264" s="390" t="s">
        <v>1288</v>
      </c>
      <c r="B264" s="119">
        <v>45011</v>
      </c>
      <c r="C264" s="36" t="s">
        <v>1289</v>
      </c>
      <c r="D264" s="37">
        <v>25563</v>
      </c>
      <c r="E264" s="36">
        <v>2477917</v>
      </c>
      <c r="F264" s="36">
        <f t="shared" ca="1" si="27"/>
        <v>57</v>
      </c>
      <c r="G264" s="36" t="s">
        <v>1290</v>
      </c>
      <c r="H264" s="36"/>
      <c r="I264" s="35" t="s">
        <v>1291</v>
      </c>
      <c r="J264" s="36" t="s">
        <v>1292</v>
      </c>
      <c r="K264" s="36" t="s">
        <v>1293</v>
      </c>
      <c r="L264" s="8"/>
      <c r="M264" s="8"/>
      <c r="N264" s="8"/>
      <c r="O264" s="8"/>
      <c r="P264" s="9"/>
      <c r="Q264" s="3"/>
      <c r="R264" s="8"/>
    </row>
    <row r="265" spans="1:18" x14ac:dyDescent="0.3">
      <c r="A265" s="412"/>
      <c r="B265" s="120"/>
      <c r="C265" s="36" t="s">
        <v>1294</v>
      </c>
      <c r="D265" s="37">
        <v>25341</v>
      </c>
      <c r="E265" s="36">
        <v>1457723</v>
      </c>
      <c r="F265" s="36">
        <f t="shared" ca="1" si="27"/>
        <v>57</v>
      </c>
      <c r="G265" s="36" t="s">
        <v>1295</v>
      </c>
      <c r="H265" s="36"/>
      <c r="I265" s="35"/>
      <c r="J265" s="36" t="s">
        <v>1296</v>
      </c>
      <c r="K265" s="36" t="s">
        <v>1297</v>
      </c>
      <c r="L265" s="8"/>
      <c r="M265" s="8"/>
      <c r="N265" s="8"/>
      <c r="O265" s="8"/>
      <c r="P265" s="9"/>
      <c r="Q265" s="3"/>
      <c r="R265" s="8"/>
    </row>
    <row r="266" spans="1:18" x14ac:dyDescent="0.3">
      <c r="A266" s="412"/>
      <c r="B266" s="120"/>
      <c r="C266" s="36" t="s">
        <v>1298</v>
      </c>
      <c r="D266" s="37">
        <v>34616</v>
      </c>
      <c r="E266" s="36">
        <v>1479011</v>
      </c>
      <c r="F266" s="36">
        <f t="shared" ca="1" si="27"/>
        <v>32</v>
      </c>
      <c r="G266" s="36" t="s">
        <v>1299</v>
      </c>
      <c r="H266" s="36"/>
      <c r="I266" s="35"/>
      <c r="J266" s="36" t="s">
        <v>1300</v>
      </c>
      <c r="K266" s="36"/>
      <c r="L266" s="8"/>
      <c r="M266" s="8"/>
      <c r="N266" s="8"/>
      <c r="O266" s="8"/>
      <c r="P266" s="9"/>
      <c r="Q266" s="3"/>
      <c r="R266" s="8"/>
    </row>
    <row r="267" spans="1:18" x14ac:dyDescent="0.3">
      <c r="A267" s="412"/>
      <c r="B267" s="120"/>
      <c r="C267" s="36" t="s">
        <v>1301</v>
      </c>
      <c r="D267" s="37">
        <v>36605</v>
      </c>
      <c r="E267" s="36">
        <v>3479025</v>
      </c>
      <c r="F267" s="36">
        <f t="shared" ca="1" si="27"/>
        <v>26</v>
      </c>
      <c r="G267" s="36" t="s">
        <v>1302</v>
      </c>
      <c r="H267" s="36"/>
      <c r="I267" s="35"/>
      <c r="J267" s="36" t="s">
        <v>1303</v>
      </c>
      <c r="K267" s="36"/>
      <c r="L267" s="8"/>
      <c r="M267" s="8"/>
      <c r="N267" s="8"/>
      <c r="O267" s="8"/>
      <c r="P267" s="9"/>
      <c r="Q267" s="3"/>
      <c r="R267" s="8"/>
    </row>
    <row r="268" spans="1:18" x14ac:dyDescent="0.3">
      <c r="A268" s="413"/>
      <c r="B268" s="120"/>
      <c r="C268" s="36" t="s">
        <v>1304</v>
      </c>
      <c r="D268" s="37">
        <v>16360</v>
      </c>
      <c r="E268" s="36">
        <v>2477921</v>
      </c>
      <c r="F268" s="36">
        <f t="shared" ca="1" si="27"/>
        <v>82</v>
      </c>
      <c r="G268" s="36" t="s">
        <v>1290</v>
      </c>
      <c r="H268" s="36"/>
      <c r="I268" s="35"/>
      <c r="J268" s="36"/>
      <c r="K268" s="36" t="s">
        <v>1305</v>
      </c>
      <c r="L268" s="8"/>
      <c r="M268" s="8"/>
      <c r="N268" s="8"/>
      <c r="O268" s="8"/>
      <c r="P268" s="9"/>
      <c r="Q268" s="3"/>
      <c r="R268" s="8"/>
    </row>
    <row r="269" spans="1:18" x14ac:dyDescent="0.3">
      <c r="A269" s="182" t="s">
        <v>1141</v>
      </c>
      <c r="B269" s="115">
        <v>45012</v>
      </c>
      <c r="C269" s="1" t="s">
        <v>1306</v>
      </c>
      <c r="D269" s="2">
        <v>29120</v>
      </c>
      <c r="E269" s="1">
        <v>2466324</v>
      </c>
      <c r="F269" s="1">
        <f t="shared" ca="1" si="27"/>
        <v>47</v>
      </c>
      <c r="G269" s="1" t="s">
        <v>1307</v>
      </c>
      <c r="H269" s="1"/>
      <c r="I269" s="8" t="s">
        <v>232</v>
      </c>
      <c r="J269" s="1"/>
      <c r="K269" s="1"/>
      <c r="L269" s="8"/>
      <c r="M269" s="8"/>
      <c r="N269" s="8"/>
      <c r="O269" s="8"/>
      <c r="P269" s="104"/>
      <c r="Q269" s="5"/>
      <c r="R269" s="8"/>
    </row>
    <row r="270" spans="1:18" x14ac:dyDescent="0.3">
      <c r="A270" s="394" t="s">
        <v>1308</v>
      </c>
      <c r="B270" s="120"/>
      <c r="C270" s="36" t="s">
        <v>428</v>
      </c>
      <c r="D270" s="37">
        <v>27660</v>
      </c>
      <c r="E270" s="36">
        <v>1473510</v>
      </c>
      <c r="F270" s="36">
        <f t="shared" ca="1" si="27"/>
        <v>51</v>
      </c>
      <c r="G270" s="36" t="s">
        <v>433</v>
      </c>
      <c r="H270" s="36"/>
      <c r="I270" s="35"/>
      <c r="J270" s="36" t="s">
        <v>1309</v>
      </c>
      <c r="K270" s="36"/>
      <c r="L270" s="1" t="s">
        <v>430</v>
      </c>
      <c r="M270" s="1" t="s">
        <v>431</v>
      </c>
      <c r="N270" s="1"/>
      <c r="O270" s="1" t="s">
        <v>432</v>
      </c>
      <c r="P270" s="5">
        <v>30500</v>
      </c>
      <c r="Q270" s="5">
        <v>2000</v>
      </c>
      <c r="R270" s="1" t="s">
        <v>433</v>
      </c>
    </row>
    <row r="271" spans="1:18" x14ac:dyDescent="0.3">
      <c r="A271" s="394"/>
      <c r="B271" s="119">
        <v>45012</v>
      </c>
      <c r="C271" s="36" t="s">
        <v>434</v>
      </c>
      <c r="D271" s="37">
        <v>28533</v>
      </c>
      <c r="E271" s="36">
        <v>2411717</v>
      </c>
      <c r="F271" s="36">
        <f t="shared" ca="1" si="27"/>
        <v>48</v>
      </c>
      <c r="G271" s="36" t="s">
        <v>437</v>
      </c>
      <c r="H271" s="36"/>
      <c r="I271" s="35" t="s">
        <v>1310</v>
      </c>
      <c r="J271" s="36" t="s">
        <v>436</v>
      </c>
      <c r="K271" s="36"/>
      <c r="L271" s="1" t="s">
        <v>430</v>
      </c>
      <c r="M271" s="1" t="s">
        <v>431</v>
      </c>
      <c r="N271" s="1"/>
      <c r="O271" s="1" t="s">
        <v>432</v>
      </c>
      <c r="P271" s="5">
        <v>23000</v>
      </c>
      <c r="Q271" s="5"/>
      <c r="R271" s="1" t="s">
        <v>437</v>
      </c>
    </row>
    <row r="272" spans="1:18" x14ac:dyDescent="0.3">
      <c r="A272" s="394"/>
      <c r="B272" s="120"/>
      <c r="C272" s="36" t="s">
        <v>438</v>
      </c>
      <c r="D272" s="37">
        <v>38799</v>
      </c>
      <c r="E272" s="36">
        <v>3411911</v>
      </c>
      <c r="F272" s="36">
        <f t="shared" ca="1" si="27"/>
        <v>20</v>
      </c>
      <c r="G272" s="36"/>
      <c r="H272" s="36"/>
      <c r="I272" s="35"/>
      <c r="J272" s="36"/>
      <c r="K272" s="36"/>
      <c r="L272" s="1" t="s">
        <v>430</v>
      </c>
      <c r="M272" s="1"/>
      <c r="N272" s="1"/>
      <c r="O272" s="1"/>
      <c r="P272" s="5"/>
      <c r="Q272" s="5"/>
      <c r="R272" s="1"/>
    </row>
    <row r="273" spans="1:18" x14ac:dyDescent="0.3">
      <c r="A273" s="394"/>
      <c r="B273" s="120"/>
      <c r="C273" s="36" t="s">
        <v>439</v>
      </c>
      <c r="D273" s="37">
        <v>39657</v>
      </c>
      <c r="E273" s="36">
        <v>4411914</v>
      </c>
      <c r="F273" s="36">
        <f t="shared" ca="1" si="27"/>
        <v>18</v>
      </c>
      <c r="G273" s="36"/>
      <c r="H273" s="36"/>
      <c r="I273" s="35"/>
      <c r="J273" s="36"/>
      <c r="K273" s="36"/>
      <c r="L273" s="1" t="s">
        <v>430</v>
      </c>
      <c r="M273" s="1"/>
      <c r="N273" s="1"/>
      <c r="O273" s="1"/>
      <c r="P273" s="5"/>
      <c r="Q273" s="5"/>
      <c r="R273" s="1"/>
    </row>
    <row r="274" spans="1:18" x14ac:dyDescent="0.3">
      <c r="A274" s="408" t="s">
        <v>999</v>
      </c>
      <c r="B274" s="112">
        <v>45014</v>
      </c>
      <c r="C274" s="30" t="s">
        <v>1000</v>
      </c>
      <c r="D274" s="31">
        <v>27269</v>
      </c>
      <c r="E274" s="30">
        <v>1528011</v>
      </c>
      <c r="F274" s="30">
        <f t="shared" ca="1" si="27"/>
        <v>52</v>
      </c>
      <c r="G274" s="30" t="s">
        <v>1001</v>
      </c>
      <c r="H274" s="30"/>
      <c r="I274" s="29" t="s">
        <v>1311</v>
      </c>
      <c r="J274" s="30"/>
      <c r="K274" s="30"/>
      <c r="L274" s="8" t="s">
        <v>1312</v>
      </c>
      <c r="M274" s="8"/>
      <c r="N274" s="8"/>
      <c r="O274" s="8"/>
      <c r="P274" s="104"/>
      <c r="Q274" s="5"/>
      <c r="R274" s="8"/>
    </row>
    <row r="275" spans="1:18" x14ac:dyDescent="0.3">
      <c r="A275" s="426"/>
      <c r="B275" s="113"/>
      <c r="C275" s="30" t="s">
        <v>1313</v>
      </c>
      <c r="D275" s="31">
        <v>27484</v>
      </c>
      <c r="E275" s="30">
        <v>2913928</v>
      </c>
      <c r="F275" s="30">
        <f t="shared" ca="1" si="27"/>
        <v>51</v>
      </c>
      <c r="G275" s="30" t="s">
        <v>1314</v>
      </c>
      <c r="H275" s="30"/>
      <c r="I275" s="29"/>
      <c r="J275" s="30"/>
      <c r="K275" s="30"/>
      <c r="L275" s="8"/>
      <c r="M275" s="8"/>
      <c r="N275" s="8"/>
      <c r="O275" s="8"/>
      <c r="P275" s="104"/>
      <c r="Q275" s="5"/>
      <c r="R275" s="8"/>
    </row>
    <row r="276" spans="1:18" x14ac:dyDescent="0.3">
      <c r="A276" s="384"/>
      <c r="B276" s="113"/>
      <c r="C276" s="30" t="s">
        <v>1315</v>
      </c>
      <c r="D276" s="31">
        <v>36623</v>
      </c>
      <c r="E276" s="30">
        <v>3528015</v>
      </c>
      <c r="F276" s="30">
        <f t="shared" ca="1" si="27"/>
        <v>26</v>
      </c>
      <c r="G276" s="30"/>
      <c r="H276" s="30"/>
      <c r="I276" s="29"/>
      <c r="J276" s="30"/>
      <c r="K276" s="30"/>
      <c r="L276" s="8"/>
      <c r="M276" s="8"/>
      <c r="N276" s="8"/>
      <c r="O276" s="8"/>
      <c r="P276" s="274"/>
      <c r="Q276" s="275"/>
    </row>
    <row r="277" spans="1:18" x14ac:dyDescent="0.3">
      <c r="A277" s="384"/>
      <c r="B277" s="113"/>
      <c r="C277" s="30" t="s">
        <v>1316</v>
      </c>
      <c r="D277" s="31">
        <v>37964</v>
      </c>
      <c r="E277" s="30">
        <v>4476017</v>
      </c>
      <c r="F277" s="30">
        <f t="shared" ca="1" si="27"/>
        <v>23</v>
      </c>
      <c r="G277" s="30"/>
      <c r="H277" s="30"/>
      <c r="I277" s="29"/>
      <c r="J277" s="30"/>
      <c r="K277" s="30"/>
      <c r="L277" s="8"/>
      <c r="M277" s="8"/>
      <c r="N277" s="8"/>
      <c r="O277" s="8"/>
      <c r="P277" s="274"/>
      <c r="Q277" s="275"/>
    </row>
    <row r="278" spans="1:18" x14ac:dyDescent="0.3">
      <c r="A278" s="379"/>
      <c r="B278" s="113"/>
      <c r="C278" s="30" t="s">
        <v>1317</v>
      </c>
      <c r="D278" s="31">
        <v>39021</v>
      </c>
      <c r="E278" s="30">
        <v>3476010</v>
      </c>
      <c r="F278" s="30">
        <f t="shared" ca="1" si="27"/>
        <v>20</v>
      </c>
      <c r="G278" s="30"/>
      <c r="H278" s="30"/>
      <c r="I278" s="29"/>
      <c r="J278" s="30"/>
      <c r="K278" s="30"/>
      <c r="L278" s="8"/>
      <c r="M278" s="8"/>
      <c r="N278" s="8"/>
      <c r="O278" s="8"/>
      <c r="P278" s="274"/>
      <c r="Q278" s="275"/>
    </row>
    <row r="279" spans="1:18" x14ac:dyDescent="0.3">
      <c r="A279" s="378" t="s">
        <v>1072</v>
      </c>
      <c r="B279" s="150"/>
      <c r="C279" s="1" t="s">
        <v>1073</v>
      </c>
      <c r="D279" s="2">
        <v>18774</v>
      </c>
      <c r="E279" s="1">
        <v>2466712</v>
      </c>
      <c r="F279" s="8"/>
      <c r="G279" s="1" t="s">
        <v>1074</v>
      </c>
      <c r="H279" s="8"/>
      <c r="I279" s="8"/>
      <c r="J279" s="1"/>
      <c r="K279" s="1"/>
      <c r="L279" s="8" t="s">
        <v>1075</v>
      </c>
      <c r="M279" s="8"/>
      <c r="N279" s="8"/>
      <c r="O279" s="8"/>
    </row>
    <row r="280" spans="1:18" x14ac:dyDescent="0.3">
      <c r="A280" s="384"/>
      <c r="B280" s="150" t="s">
        <v>1318</v>
      </c>
      <c r="C280" s="1" t="s">
        <v>1076</v>
      </c>
      <c r="D280" s="2">
        <v>26932</v>
      </c>
      <c r="E280" s="1">
        <v>2635115</v>
      </c>
      <c r="F280" s="8"/>
      <c r="G280" s="1" t="s">
        <v>1077</v>
      </c>
      <c r="H280" s="8"/>
      <c r="I280" s="164" t="s">
        <v>1078</v>
      </c>
      <c r="J280" s="1"/>
      <c r="K280" s="1"/>
      <c r="L280" s="8" t="s">
        <v>1079</v>
      </c>
      <c r="M280" s="8"/>
      <c r="N280" s="8"/>
      <c r="O280" s="8"/>
    </row>
    <row r="281" spans="1:18" x14ac:dyDescent="0.3">
      <c r="A281" s="384"/>
      <c r="B281" s="150"/>
      <c r="C281" s="1" t="s">
        <v>1319</v>
      </c>
      <c r="D281" s="2">
        <v>26908</v>
      </c>
      <c r="E281" s="1">
        <v>1469327</v>
      </c>
      <c r="F281" s="8"/>
      <c r="G281" s="1" t="s">
        <v>1320</v>
      </c>
      <c r="H281" s="8"/>
      <c r="I281" s="164"/>
      <c r="J281" s="1"/>
      <c r="K281" s="1"/>
      <c r="L281" s="8"/>
      <c r="M281" s="8"/>
      <c r="N281" s="8"/>
      <c r="O281" s="8"/>
    </row>
    <row r="282" spans="1:18" x14ac:dyDescent="0.3">
      <c r="A282" s="384"/>
      <c r="B282" s="150"/>
      <c r="C282" s="1" t="s">
        <v>1080</v>
      </c>
      <c r="D282" s="2">
        <v>18320</v>
      </c>
      <c r="E282" s="1">
        <v>1469312</v>
      </c>
      <c r="F282" s="8"/>
      <c r="G282" s="1" t="s">
        <v>1081</v>
      </c>
      <c r="H282" s="8"/>
      <c r="I282" s="8"/>
      <c r="J282" s="1"/>
      <c r="K282" s="1"/>
      <c r="L282" s="8" t="s">
        <v>1075</v>
      </c>
      <c r="M282" s="8"/>
      <c r="N282" s="8"/>
      <c r="O282" s="8"/>
    </row>
    <row r="283" spans="1:18" x14ac:dyDescent="0.3">
      <c r="A283" s="379"/>
      <c r="B283" s="150"/>
      <c r="C283" s="1" t="s">
        <v>1321</v>
      </c>
      <c r="D283" s="2">
        <v>35669</v>
      </c>
      <c r="E283" s="1">
        <v>2475928</v>
      </c>
      <c r="F283" s="8"/>
      <c r="G283" s="1" t="s">
        <v>1322</v>
      </c>
      <c r="H283" s="8"/>
      <c r="I283" s="8"/>
      <c r="J283" s="1"/>
      <c r="K283" s="1"/>
      <c r="L283" s="8"/>
      <c r="M283" s="8"/>
      <c r="N283" s="8"/>
      <c r="O283" s="8"/>
    </row>
    <row r="284" spans="1:18" x14ac:dyDescent="0.3">
      <c r="A284" s="183" t="s">
        <v>1323</v>
      </c>
      <c r="B284" s="112">
        <v>45015</v>
      </c>
      <c r="C284" s="30" t="s">
        <v>709</v>
      </c>
      <c r="D284" s="31">
        <v>19262</v>
      </c>
      <c r="E284" s="30">
        <v>1462513</v>
      </c>
      <c r="F284" s="30">
        <f t="shared" ca="1" si="27"/>
        <v>74</v>
      </c>
      <c r="G284" s="30"/>
      <c r="H284" s="30"/>
      <c r="I284" s="29" t="s">
        <v>1324</v>
      </c>
      <c r="J284" s="30"/>
      <c r="K284" s="30"/>
      <c r="L284" s="8"/>
      <c r="M284" s="8"/>
      <c r="N284" s="8"/>
      <c r="O284" s="8"/>
      <c r="P284" s="104"/>
      <c r="Q284" s="5"/>
      <c r="R284" s="8"/>
    </row>
    <row r="285" spans="1:18" x14ac:dyDescent="0.3">
      <c r="A285" s="394" t="s">
        <v>1325</v>
      </c>
      <c r="B285" s="119">
        <v>44650</v>
      </c>
      <c r="C285" s="36" t="s">
        <v>102</v>
      </c>
      <c r="D285" s="37">
        <v>29810</v>
      </c>
      <c r="E285" s="36">
        <v>2055022</v>
      </c>
      <c r="F285" s="36">
        <f t="shared" ca="1" si="27"/>
        <v>45</v>
      </c>
      <c r="G285" s="36" t="s">
        <v>1326</v>
      </c>
      <c r="H285" s="36"/>
      <c r="I285" s="35" t="s">
        <v>1327</v>
      </c>
      <c r="J285" s="36"/>
      <c r="K285" s="36"/>
      <c r="L285" s="8"/>
      <c r="M285" s="8"/>
      <c r="N285" s="8"/>
      <c r="O285" s="8"/>
      <c r="P285" s="104"/>
      <c r="Q285" s="5"/>
      <c r="R285" s="8"/>
    </row>
    <row r="286" spans="1:18" x14ac:dyDescent="0.3">
      <c r="A286" s="401"/>
      <c r="B286" s="120"/>
      <c r="C286" s="36" t="s">
        <v>103</v>
      </c>
      <c r="D286" s="37">
        <v>29984</v>
      </c>
      <c r="E286" s="36">
        <v>1249115</v>
      </c>
      <c r="F286" s="36">
        <f t="shared" ca="1" si="27"/>
        <v>44</v>
      </c>
      <c r="G286" s="36" t="s">
        <v>1328</v>
      </c>
      <c r="H286" s="36"/>
      <c r="I286" s="35"/>
      <c r="J286" s="36"/>
      <c r="K286" s="36"/>
      <c r="L286" s="8"/>
      <c r="M286" s="8"/>
      <c r="N286" s="8"/>
      <c r="O286" s="8"/>
      <c r="P286" s="104"/>
      <c r="Q286" s="5"/>
      <c r="R286" s="8"/>
    </row>
    <row r="287" spans="1:18" x14ac:dyDescent="0.3">
      <c r="A287" s="401"/>
      <c r="B287" s="120"/>
      <c r="C287" s="36" t="s">
        <v>104</v>
      </c>
      <c r="D287" s="37">
        <v>40380</v>
      </c>
      <c r="E287" s="36">
        <v>3412312</v>
      </c>
      <c r="F287" s="36">
        <f t="shared" ca="1" si="27"/>
        <v>16</v>
      </c>
      <c r="G287" s="36"/>
      <c r="H287" s="36"/>
      <c r="I287" s="35"/>
      <c r="J287" s="36"/>
      <c r="K287" s="36"/>
      <c r="L287" s="8"/>
      <c r="M287" s="8"/>
      <c r="N287" s="8"/>
      <c r="O287" s="8"/>
      <c r="P287" s="104"/>
      <c r="Q287" s="5"/>
      <c r="R287" s="8"/>
    </row>
    <row r="288" spans="1:18" x14ac:dyDescent="0.3">
      <c r="A288" s="183" t="s">
        <v>863</v>
      </c>
      <c r="B288" s="112">
        <v>45016</v>
      </c>
      <c r="C288" s="30" t="s">
        <v>657</v>
      </c>
      <c r="D288" s="31">
        <v>19808</v>
      </c>
      <c r="E288" s="30">
        <v>2656918</v>
      </c>
      <c r="F288" s="30">
        <f t="shared" ca="1" si="27"/>
        <v>72</v>
      </c>
      <c r="G288" s="30" t="s">
        <v>1329</v>
      </c>
      <c r="H288" s="30"/>
      <c r="I288" s="29" t="s">
        <v>1330</v>
      </c>
      <c r="J288" s="30"/>
      <c r="K288" s="30"/>
      <c r="L288" s="8"/>
      <c r="M288" s="8"/>
      <c r="N288" s="8"/>
      <c r="O288" s="8"/>
      <c r="P288" s="104"/>
      <c r="Q288" s="5"/>
      <c r="R288" s="8"/>
    </row>
    <row r="289" spans="1:18" x14ac:dyDescent="0.3">
      <c r="A289" s="184" t="s">
        <v>1331</v>
      </c>
      <c r="B289" s="117">
        <v>44653</v>
      </c>
      <c r="C289" s="27" t="s">
        <v>105</v>
      </c>
      <c r="D289" s="28">
        <v>25065</v>
      </c>
      <c r="E289" s="27">
        <v>1122629</v>
      </c>
      <c r="F289" s="27">
        <f t="shared" ca="1" si="27"/>
        <v>58</v>
      </c>
      <c r="G289" s="27" t="s">
        <v>1332</v>
      </c>
      <c r="H289" s="27"/>
      <c r="I289" s="26" t="s">
        <v>1333</v>
      </c>
      <c r="J289" s="27"/>
      <c r="K289" s="27"/>
      <c r="L289" s="8"/>
      <c r="M289" s="8"/>
      <c r="N289" s="8"/>
      <c r="O289" s="8"/>
      <c r="P289" s="104"/>
      <c r="Q289" s="5"/>
      <c r="R289" s="8"/>
    </row>
    <row r="290" spans="1:18" s="189" customFormat="1" x14ac:dyDescent="0.3">
      <c r="A290" s="183" t="s">
        <v>1334</v>
      </c>
      <c r="B290" s="112">
        <v>45018</v>
      </c>
      <c r="C290" s="30" t="s">
        <v>555</v>
      </c>
      <c r="D290" s="31">
        <v>27824</v>
      </c>
      <c r="E290" s="30">
        <v>2344111</v>
      </c>
      <c r="F290" s="30">
        <f t="shared" ca="1" si="27"/>
        <v>50</v>
      </c>
      <c r="G290" s="30" t="s">
        <v>1335</v>
      </c>
      <c r="H290" s="30"/>
      <c r="I290" s="29" t="s">
        <v>1336</v>
      </c>
      <c r="J290" s="30"/>
      <c r="K290" s="30"/>
      <c r="L290" s="8"/>
      <c r="M290" s="8"/>
      <c r="N290" s="8"/>
      <c r="O290" s="8"/>
      <c r="P290" s="104"/>
      <c r="Q290" s="5"/>
      <c r="R290" s="8"/>
    </row>
    <row r="291" spans="1:18" s="185" customFormat="1" x14ac:dyDescent="0.3">
      <c r="A291" s="390" t="s">
        <v>863</v>
      </c>
      <c r="B291" s="119">
        <v>45018</v>
      </c>
      <c r="C291" s="36" t="s">
        <v>711</v>
      </c>
      <c r="D291" s="37">
        <v>18269</v>
      </c>
      <c r="E291" s="36">
        <v>1149316</v>
      </c>
      <c r="F291" s="36">
        <f t="shared" ca="1" si="27"/>
        <v>76</v>
      </c>
      <c r="G291" s="36" t="s">
        <v>1337</v>
      </c>
      <c r="H291" s="36"/>
      <c r="I291" s="35"/>
      <c r="J291" s="36"/>
      <c r="K291" s="36"/>
      <c r="L291" s="8"/>
      <c r="M291" s="8"/>
      <c r="N291" s="8"/>
      <c r="O291" s="8"/>
      <c r="P291" s="104"/>
      <c r="Q291" s="5"/>
      <c r="R291" s="8"/>
    </row>
    <row r="292" spans="1:18" s="185" customFormat="1" x14ac:dyDescent="0.3">
      <c r="A292" s="458"/>
      <c r="B292" s="119"/>
      <c r="C292" s="36" t="s">
        <v>657</v>
      </c>
      <c r="D292" s="37">
        <v>19808</v>
      </c>
      <c r="E292" s="36">
        <v>2656918</v>
      </c>
      <c r="F292" s="36">
        <f t="shared" ca="1" si="27"/>
        <v>72</v>
      </c>
      <c r="G292" s="36" t="s">
        <v>1329</v>
      </c>
      <c r="H292" s="36"/>
      <c r="I292" s="35"/>
      <c r="J292" s="36"/>
      <c r="K292" s="36"/>
      <c r="L292" s="8"/>
      <c r="M292" s="8"/>
      <c r="N292" s="8"/>
      <c r="O292" s="8"/>
      <c r="P292" s="104"/>
      <c r="Q292" s="5"/>
      <c r="R292" s="8"/>
    </row>
    <row r="293" spans="1:18" s="185" customFormat="1" x14ac:dyDescent="0.3">
      <c r="A293" s="458"/>
      <c r="B293" s="119"/>
      <c r="C293" s="36" t="s">
        <v>712</v>
      </c>
      <c r="D293" s="37">
        <v>29115</v>
      </c>
      <c r="E293" s="36">
        <v>2144210</v>
      </c>
      <c r="F293" s="36">
        <f t="shared" ca="1" si="27"/>
        <v>47</v>
      </c>
      <c r="G293" s="36" t="s">
        <v>864</v>
      </c>
      <c r="H293" s="36"/>
      <c r="I293" s="35"/>
      <c r="J293" s="36"/>
      <c r="K293" s="36"/>
      <c r="L293" s="8"/>
      <c r="M293" s="8"/>
      <c r="N293" s="8"/>
      <c r="O293" s="8"/>
      <c r="P293" s="104"/>
      <c r="Q293" s="5"/>
      <c r="R293" s="8"/>
    </row>
    <row r="294" spans="1:18" s="185" customFormat="1" x14ac:dyDescent="0.3">
      <c r="A294" s="458"/>
      <c r="B294" s="120"/>
      <c r="C294" s="36" t="s">
        <v>713</v>
      </c>
      <c r="D294" s="37">
        <v>29906</v>
      </c>
      <c r="E294" s="36">
        <v>5860196</v>
      </c>
      <c r="F294" s="36">
        <f t="shared" ca="1" si="27"/>
        <v>45</v>
      </c>
      <c r="G294" s="36" t="s">
        <v>1338</v>
      </c>
      <c r="H294" s="36"/>
      <c r="I294" s="35"/>
      <c r="J294" s="36"/>
      <c r="K294" s="36"/>
      <c r="L294" s="8"/>
      <c r="M294" s="8"/>
      <c r="N294" s="8"/>
      <c r="O294" s="8"/>
      <c r="P294" s="104"/>
      <c r="Q294" s="5"/>
      <c r="R294" s="8"/>
    </row>
    <row r="295" spans="1:18" s="185" customFormat="1" x14ac:dyDescent="0.3">
      <c r="A295" s="458"/>
      <c r="B295" s="120"/>
      <c r="C295" s="36" t="s">
        <v>714</v>
      </c>
      <c r="D295" s="37">
        <v>43972</v>
      </c>
      <c r="E295" s="36">
        <v>3203315</v>
      </c>
      <c r="F295" s="36">
        <f t="shared" ca="1" si="27"/>
        <v>6</v>
      </c>
      <c r="G295" s="36"/>
      <c r="H295" s="36"/>
      <c r="I295" s="35"/>
      <c r="J295" s="36"/>
      <c r="K295" s="36"/>
      <c r="L295" s="8"/>
      <c r="M295" s="8"/>
      <c r="N295" s="8"/>
      <c r="O295" s="8"/>
      <c r="P295" s="104"/>
      <c r="Q295" s="5"/>
      <c r="R295" s="8"/>
    </row>
    <row r="296" spans="1:18" s="185" customFormat="1" x14ac:dyDescent="0.3">
      <c r="A296" s="458"/>
      <c r="B296" s="120"/>
      <c r="C296" s="36" t="s">
        <v>715</v>
      </c>
      <c r="D296" s="37">
        <v>42458</v>
      </c>
      <c r="E296" s="36">
        <v>3203324</v>
      </c>
      <c r="F296" s="36">
        <f t="shared" ca="1" si="27"/>
        <v>10</v>
      </c>
      <c r="G296" s="36"/>
      <c r="H296" s="36"/>
      <c r="I296" s="35"/>
      <c r="J296" s="36"/>
      <c r="K296" s="36"/>
      <c r="L296" s="8"/>
      <c r="M296" s="8"/>
      <c r="N296" s="8"/>
      <c r="O296" s="8"/>
      <c r="P296" s="104"/>
      <c r="Q296" s="5"/>
      <c r="R296" s="8"/>
    </row>
    <row r="297" spans="1:18" s="185" customFormat="1" x14ac:dyDescent="0.3">
      <c r="A297" s="391"/>
      <c r="B297" s="120"/>
      <c r="C297" s="36" t="s">
        <v>716</v>
      </c>
      <c r="D297" s="37">
        <v>43193</v>
      </c>
      <c r="E297" s="36">
        <v>4203311</v>
      </c>
      <c r="F297" s="36">
        <f t="shared" ca="1" si="27"/>
        <v>8</v>
      </c>
      <c r="G297" s="36"/>
      <c r="H297" s="36"/>
      <c r="I297" s="35"/>
      <c r="J297" s="36"/>
      <c r="K297" s="36"/>
      <c r="L297" s="8"/>
      <c r="M297" s="8"/>
      <c r="N297" s="8"/>
      <c r="O297" s="8"/>
      <c r="P297" s="104"/>
      <c r="Q297" s="5"/>
      <c r="R297" s="8"/>
    </row>
    <row r="298" spans="1:18" x14ac:dyDescent="0.3">
      <c r="A298" s="408" t="s">
        <v>1339</v>
      </c>
      <c r="B298" s="112">
        <v>45018</v>
      </c>
      <c r="C298" s="30" t="s">
        <v>1340</v>
      </c>
      <c r="D298" s="31">
        <v>28597</v>
      </c>
      <c r="E298" s="30">
        <v>1850214</v>
      </c>
      <c r="F298" s="30">
        <f t="shared" ca="1" si="27"/>
        <v>48</v>
      </c>
      <c r="G298" s="30" t="s">
        <v>1341</v>
      </c>
      <c r="H298" s="30"/>
      <c r="I298" s="29" t="s">
        <v>1342</v>
      </c>
      <c r="J298" s="30"/>
      <c r="K298" s="30"/>
      <c r="L298" s="8"/>
      <c r="M298" s="8"/>
      <c r="N298" s="8"/>
      <c r="O298" s="8"/>
      <c r="P298" s="104"/>
      <c r="Q298" s="5"/>
      <c r="R298" s="8"/>
    </row>
    <row r="299" spans="1:18" x14ac:dyDescent="0.3">
      <c r="A299" s="410"/>
      <c r="B299" s="113"/>
      <c r="C299" s="30" t="s">
        <v>1343</v>
      </c>
      <c r="D299" s="31">
        <v>29333</v>
      </c>
      <c r="E299" s="30">
        <v>2903536</v>
      </c>
      <c r="F299" s="30">
        <f t="shared" ca="1" si="27"/>
        <v>46</v>
      </c>
      <c r="G299" s="30" t="s">
        <v>1344</v>
      </c>
      <c r="H299" s="30"/>
      <c r="I299" s="29"/>
      <c r="J299" s="30"/>
      <c r="K299" s="30"/>
      <c r="L299" s="8"/>
      <c r="M299" s="8"/>
      <c r="N299" s="8"/>
      <c r="O299" s="8"/>
      <c r="P299" s="104"/>
      <c r="Q299" s="5"/>
      <c r="R299" s="8"/>
    </row>
    <row r="300" spans="1:18" s="204" customFormat="1" x14ac:dyDescent="0.3">
      <c r="A300" s="243"/>
      <c r="B300" s="118">
        <v>45386</v>
      </c>
      <c r="C300" s="40" t="s">
        <v>1345</v>
      </c>
      <c r="D300" s="41" t="s">
        <v>1346</v>
      </c>
      <c r="E300" s="40"/>
      <c r="F300" s="40"/>
      <c r="G300" s="40"/>
      <c r="H300" s="40"/>
      <c r="I300" s="39" t="s">
        <v>1347</v>
      </c>
      <c r="J300" s="1"/>
      <c r="K300" s="1"/>
      <c r="L300" s="8"/>
      <c r="M300" s="8"/>
      <c r="N300" s="8"/>
      <c r="O300" s="8"/>
      <c r="P300" s="104"/>
      <c r="Q300" s="5"/>
      <c r="R300" s="8"/>
    </row>
    <row r="301" spans="1:18" x14ac:dyDescent="0.3">
      <c r="A301" s="394" t="s">
        <v>1308</v>
      </c>
      <c r="B301" s="120"/>
      <c r="C301" s="36" t="s">
        <v>428</v>
      </c>
      <c r="D301" s="37">
        <v>27660</v>
      </c>
      <c r="E301" s="36">
        <v>1473510</v>
      </c>
      <c r="F301" s="36">
        <f t="shared" ref="F301:F304" ca="1" si="28">YEAR(TODAY())-YEAR(D301)</f>
        <v>51</v>
      </c>
      <c r="G301" s="36" t="s">
        <v>433</v>
      </c>
      <c r="H301" s="36"/>
      <c r="I301" s="35"/>
      <c r="J301" s="36" t="s">
        <v>1309</v>
      </c>
      <c r="K301" s="36"/>
      <c r="L301" s="1" t="s">
        <v>430</v>
      </c>
      <c r="M301" s="1" t="s">
        <v>431</v>
      </c>
      <c r="N301" s="1"/>
      <c r="O301" s="1" t="s">
        <v>432</v>
      </c>
      <c r="P301" s="5">
        <v>30500</v>
      </c>
      <c r="Q301" s="5">
        <v>2000</v>
      </c>
      <c r="R301" s="1" t="s">
        <v>433</v>
      </c>
    </row>
    <row r="302" spans="1:18" x14ac:dyDescent="0.3">
      <c r="A302" s="394"/>
      <c r="B302" s="119">
        <v>45020</v>
      </c>
      <c r="C302" s="36" t="s">
        <v>434</v>
      </c>
      <c r="D302" s="37">
        <v>28533</v>
      </c>
      <c r="E302" s="36">
        <v>2411717</v>
      </c>
      <c r="F302" s="36">
        <f t="shared" ca="1" si="28"/>
        <v>48</v>
      </c>
      <c r="G302" s="36" t="s">
        <v>437</v>
      </c>
      <c r="H302" s="36"/>
      <c r="I302" s="35" t="s">
        <v>1348</v>
      </c>
      <c r="J302" s="36" t="s">
        <v>436</v>
      </c>
      <c r="K302" s="36"/>
      <c r="L302" s="1" t="s">
        <v>430</v>
      </c>
      <c r="M302" s="1" t="s">
        <v>431</v>
      </c>
      <c r="N302" s="1"/>
      <c r="O302" s="1" t="s">
        <v>432</v>
      </c>
      <c r="P302" s="5">
        <v>23000</v>
      </c>
      <c r="Q302" s="5"/>
      <c r="R302" s="1" t="s">
        <v>437</v>
      </c>
    </row>
    <row r="303" spans="1:18" x14ac:dyDescent="0.3">
      <c r="A303" s="394"/>
      <c r="B303" s="120"/>
      <c r="C303" s="36" t="s">
        <v>438</v>
      </c>
      <c r="D303" s="37">
        <v>38799</v>
      </c>
      <c r="E303" s="36">
        <v>3411911</v>
      </c>
      <c r="F303" s="36">
        <f t="shared" ca="1" si="28"/>
        <v>20</v>
      </c>
      <c r="G303" s="36"/>
      <c r="H303" s="36"/>
      <c r="I303" s="35"/>
      <c r="J303" s="36"/>
      <c r="K303" s="36"/>
      <c r="L303" s="1" t="s">
        <v>430</v>
      </c>
      <c r="M303" s="1"/>
      <c r="N303" s="1"/>
      <c r="O303" s="1"/>
      <c r="P303" s="5"/>
      <c r="Q303" s="5"/>
      <c r="R303" s="1"/>
    </row>
    <row r="304" spans="1:18" x14ac:dyDescent="0.3">
      <c r="A304" s="394"/>
      <c r="B304" s="120"/>
      <c r="C304" s="36" t="s">
        <v>439</v>
      </c>
      <c r="D304" s="37">
        <v>39657</v>
      </c>
      <c r="E304" s="36">
        <v>4411914</v>
      </c>
      <c r="F304" s="36">
        <f t="shared" ca="1" si="28"/>
        <v>18</v>
      </c>
      <c r="G304" s="36"/>
      <c r="H304" s="36"/>
      <c r="I304" s="35"/>
      <c r="J304" s="36"/>
      <c r="K304" s="36"/>
      <c r="L304" s="1" t="s">
        <v>430</v>
      </c>
      <c r="M304" s="1"/>
      <c r="N304" s="1"/>
      <c r="O304" s="1"/>
      <c r="P304" s="5"/>
      <c r="Q304" s="5"/>
      <c r="R304" s="1"/>
    </row>
    <row r="305" spans="1:18" x14ac:dyDescent="0.3">
      <c r="A305" s="182" t="s">
        <v>762</v>
      </c>
      <c r="B305" s="115">
        <v>44656</v>
      </c>
      <c r="C305" s="1" t="s">
        <v>27</v>
      </c>
      <c r="D305" s="2">
        <v>30906</v>
      </c>
      <c r="E305" s="1">
        <v>1459910</v>
      </c>
      <c r="F305" s="1">
        <f t="shared" ca="1" si="27"/>
        <v>42</v>
      </c>
      <c r="G305" s="1" t="s">
        <v>766</v>
      </c>
      <c r="H305" s="1"/>
      <c r="I305" s="8" t="s">
        <v>1349</v>
      </c>
      <c r="J305" s="1"/>
      <c r="K305" s="1"/>
      <c r="L305" s="8"/>
      <c r="M305" s="8"/>
      <c r="N305" s="8"/>
      <c r="O305" s="8"/>
      <c r="P305" s="104"/>
      <c r="Q305" s="5"/>
      <c r="R305" s="8"/>
    </row>
    <row r="306" spans="1:18" x14ac:dyDescent="0.3">
      <c r="A306" s="27" t="s">
        <v>1350</v>
      </c>
      <c r="B306" s="117">
        <v>44292</v>
      </c>
      <c r="C306" s="27" t="s">
        <v>106</v>
      </c>
      <c r="D306" s="28">
        <v>30625</v>
      </c>
      <c r="E306" s="27">
        <v>1852518</v>
      </c>
      <c r="F306" s="27">
        <f t="shared" ca="1" si="27"/>
        <v>43</v>
      </c>
      <c r="G306" s="27" t="s">
        <v>1351</v>
      </c>
      <c r="H306" s="27"/>
      <c r="I306" s="26" t="s">
        <v>1352</v>
      </c>
      <c r="J306" s="27"/>
      <c r="K306" s="27"/>
      <c r="L306" s="8"/>
      <c r="M306" s="8"/>
      <c r="N306" s="8"/>
      <c r="O306" s="8"/>
      <c r="P306" s="104"/>
      <c r="Q306" s="5"/>
      <c r="R306" s="8"/>
    </row>
    <row r="307" spans="1:18" x14ac:dyDescent="0.3">
      <c r="A307" s="402" t="s">
        <v>1240</v>
      </c>
      <c r="B307" s="118">
        <v>44657</v>
      </c>
      <c r="C307" s="40" t="s">
        <v>108</v>
      </c>
      <c r="D307" s="41">
        <v>28194</v>
      </c>
      <c r="E307" s="40">
        <v>1650618</v>
      </c>
      <c r="F307" s="40">
        <f t="shared" ca="1" si="27"/>
        <v>49</v>
      </c>
      <c r="G307" s="40" t="s">
        <v>1241</v>
      </c>
      <c r="H307" s="40"/>
      <c r="I307" s="39" t="s">
        <v>1353</v>
      </c>
      <c r="J307" s="40"/>
      <c r="K307" s="40"/>
      <c r="L307" s="8" t="s">
        <v>1354</v>
      </c>
      <c r="M307" s="8"/>
      <c r="N307" s="8"/>
      <c r="O307" s="8"/>
      <c r="P307" s="104"/>
      <c r="Q307" s="5"/>
      <c r="R307" s="8"/>
    </row>
    <row r="308" spans="1:18" x14ac:dyDescent="0.3">
      <c r="A308" s="403"/>
      <c r="B308" s="118"/>
      <c r="C308" s="40" t="s">
        <v>1355</v>
      </c>
      <c r="D308" s="41">
        <v>39640</v>
      </c>
      <c r="E308" s="40">
        <v>4412027</v>
      </c>
      <c r="F308" s="40">
        <f t="shared" ca="1" si="27"/>
        <v>18</v>
      </c>
      <c r="G308" s="40"/>
      <c r="H308" s="40"/>
      <c r="I308" s="39"/>
      <c r="J308" s="40"/>
      <c r="K308" s="40"/>
      <c r="L308" s="8"/>
      <c r="M308" s="8"/>
      <c r="N308" s="8"/>
      <c r="O308" s="8"/>
      <c r="P308" s="104"/>
      <c r="Q308" s="5"/>
      <c r="R308" s="8"/>
    </row>
    <row r="309" spans="1:18" x14ac:dyDescent="0.3">
      <c r="A309" s="390" t="s">
        <v>1356</v>
      </c>
      <c r="B309" s="119">
        <v>45023</v>
      </c>
      <c r="C309" s="36" t="s">
        <v>1357</v>
      </c>
      <c r="D309" s="37">
        <v>27800</v>
      </c>
      <c r="E309" s="36">
        <v>1805411</v>
      </c>
      <c r="F309" s="36">
        <f ca="1">YEAR(TODAY())-YEAR(D309)</f>
        <v>50</v>
      </c>
      <c r="G309" s="36" t="s">
        <v>1358</v>
      </c>
      <c r="H309" s="36"/>
      <c r="I309" s="35" t="s">
        <v>1359</v>
      </c>
      <c r="J309" s="36"/>
      <c r="K309" s="36"/>
      <c r="L309" s="8"/>
      <c r="M309" s="8"/>
      <c r="N309" s="8"/>
      <c r="O309" s="8"/>
      <c r="P309" s="104"/>
      <c r="Q309" s="5"/>
      <c r="R309" s="8"/>
    </row>
    <row r="310" spans="1:18" x14ac:dyDescent="0.3">
      <c r="A310" s="412"/>
      <c r="B310" s="120" t="s">
        <v>169</v>
      </c>
      <c r="C310" s="36" t="s">
        <v>484</v>
      </c>
      <c r="D310" s="37">
        <v>28099</v>
      </c>
      <c r="E310" s="36">
        <v>2650618</v>
      </c>
      <c r="F310" s="36">
        <f ca="1">YEAR(TODAY())-YEAR(D310)</f>
        <v>50</v>
      </c>
      <c r="G310" s="36" t="s">
        <v>1360</v>
      </c>
      <c r="H310" s="36"/>
      <c r="I310" s="35"/>
      <c r="J310" s="36"/>
      <c r="K310" s="36"/>
      <c r="L310" s="8"/>
      <c r="M310" s="8"/>
      <c r="N310" s="8"/>
      <c r="O310" s="8"/>
      <c r="P310" s="104"/>
      <c r="Q310" s="5"/>
      <c r="R310" s="8"/>
    </row>
    <row r="311" spans="1:18" x14ac:dyDescent="0.3">
      <c r="A311" s="412"/>
      <c r="B311" s="120"/>
      <c r="C311" s="36" t="s">
        <v>485</v>
      </c>
      <c r="D311" s="37">
        <v>16958</v>
      </c>
      <c r="E311" s="36">
        <v>2478417</v>
      </c>
      <c r="F311" s="36">
        <f ca="1">YEAR(TODAY())-YEAR(D311)</f>
        <v>80</v>
      </c>
      <c r="G311" s="36" t="s">
        <v>1361</v>
      </c>
      <c r="H311" s="36"/>
      <c r="I311" s="35"/>
      <c r="J311" s="36"/>
      <c r="K311" s="36"/>
      <c r="L311" s="8"/>
      <c r="M311" s="8"/>
      <c r="N311" s="8"/>
      <c r="O311" s="8"/>
      <c r="P311" s="104"/>
      <c r="Q311" s="5"/>
      <c r="R311" s="8"/>
    </row>
    <row r="312" spans="1:18" x14ac:dyDescent="0.3">
      <c r="A312" s="384"/>
      <c r="B312" s="120"/>
      <c r="C312" s="36" t="s">
        <v>1362</v>
      </c>
      <c r="D312" s="37">
        <v>38884</v>
      </c>
      <c r="E312" s="36">
        <v>4412010</v>
      </c>
      <c r="F312" s="36">
        <f ca="1">YEAR(TODAY())-YEAR(D312)</f>
        <v>20</v>
      </c>
      <c r="G312" s="36"/>
      <c r="H312" s="36"/>
      <c r="I312" s="35"/>
      <c r="J312" s="36"/>
      <c r="K312" s="36"/>
      <c r="L312" s="8"/>
      <c r="M312" s="8"/>
      <c r="N312" s="8"/>
      <c r="O312" s="8"/>
      <c r="P312" s="104"/>
      <c r="Q312" s="5"/>
      <c r="R312" s="8"/>
    </row>
    <row r="313" spans="1:18" x14ac:dyDescent="0.3">
      <c r="A313" s="379"/>
      <c r="B313" s="120"/>
      <c r="C313" s="36" t="s">
        <v>1363</v>
      </c>
      <c r="D313" s="37">
        <v>40463</v>
      </c>
      <c r="E313" s="36">
        <v>3475930</v>
      </c>
      <c r="F313" s="36">
        <f ca="1">YEAR(TODAY())-YEAR(D313)</f>
        <v>16</v>
      </c>
      <c r="G313" s="36"/>
      <c r="H313" s="36"/>
      <c r="I313" s="35"/>
      <c r="J313" s="36"/>
      <c r="K313" s="36"/>
      <c r="L313" s="8"/>
      <c r="M313" s="8"/>
      <c r="N313" s="8"/>
      <c r="O313" s="8"/>
      <c r="P313" s="104"/>
      <c r="Q313" s="5"/>
      <c r="R313" s="8"/>
    </row>
    <row r="314" spans="1:18" s="189" customFormat="1" x14ac:dyDescent="0.3">
      <c r="A314" s="183" t="s">
        <v>1364</v>
      </c>
      <c r="B314" s="112">
        <v>45023</v>
      </c>
      <c r="C314" s="30" t="s">
        <v>624</v>
      </c>
      <c r="D314" s="31">
        <v>28379</v>
      </c>
      <c r="E314" s="30">
        <v>1408720</v>
      </c>
      <c r="F314" s="30">
        <f t="shared" ref="F314:F318" ca="1" si="29">YEAR(TODAY())-YEAR(D314)</f>
        <v>49</v>
      </c>
      <c r="G314" s="30" t="s">
        <v>1365</v>
      </c>
      <c r="H314" s="30"/>
      <c r="I314" s="29" t="s">
        <v>1366</v>
      </c>
      <c r="J314" s="30"/>
      <c r="K314" s="30"/>
      <c r="L314" s="8"/>
      <c r="M314" s="8"/>
      <c r="N314" s="8"/>
      <c r="O314" s="8"/>
      <c r="P314" s="104"/>
      <c r="Q314" s="5"/>
      <c r="R314" s="8"/>
    </row>
    <row r="315" spans="1:18" x14ac:dyDescent="0.3">
      <c r="A315" s="198" t="s">
        <v>988</v>
      </c>
      <c r="B315" s="119">
        <v>45023</v>
      </c>
      <c r="C315" s="36" t="s">
        <v>630</v>
      </c>
      <c r="D315" s="37">
        <v>28535</v>
      </c>
      <c r="E315" s="36">
        <v>2411720</v>
      </c>
      <c r="F315" s="36">
        <f t="shared" ca="1" si="29"/>
        <v>48</v>
      </c>
      <c r="G315" s="36" t="s">
        <v>989</v>
      </c>
      <c r="H315" s="36"/>
      <c r="I315" s="35" t="s">
        <v>1367</v>
      </c>
      <c r="J315" s="36"/>
      <c r="K315" s="36"/>
      <c r="L315" s="8"/>
      <c r="M315" s="8"/>
      <c r="N315" s="8"/>
      <c r="O315" s="8"/>
      <c r="P315" s="104"/>
      <c r="Q315" s="5"/>
      <c r="R315" s="8"/>
    </row>
    <row r="316" spans="1:18" s="220" customFormat="1" x14ac:dyDescent="0.3">
      <c r="A316" s="414" t="s">
        <v>1368</v>
      </c>
      <c r="B316" s="112">
        <v>45024</v>
      </c>
      <c r="C316" s="215" t="s">
        <v>1369</v>
      </c>
      <c r="D316" s="216">
        <v>26596</v>
      </c>
      <c r="E316" s="215">
        <v>1642115</v>
      </c>
      <c r="F316" s="215">
        <f t="shared" ca="1" si="29"/>
        <v>54</v>
      </c>
      <c r="G316" s="215" t="s">
        <v>1370</v>
      </c>
      <c r="H316" s="215"/>
      <c r="I316" s="217" t="s">
        <v>1371</v>
      </c>
      <c r="J316" s="215"/>
      <c r="K316" s="215"/>
      <c r="L316" s="147"/>
      <c r="M316" s="147"/>
      <c r="N316" s="147"/>
      <c r="O316" s="147"/>
      <c r="P316" s="218"/>
      <c r="Q316" s="219"/>
      <c r="R316" s="147"/>
    </row>
    <row r="317" spans="1:18" s="220" customFormat="1" x14ac:dyDescent="0.3">
      <c r="A317" s="471"/>
      <c r="B317" s="112"/>
      <c r="C317" s="215" t="s">
        <v>1372</v>
      </c>
      <c r="D317" s="216">
        <v>36408</v>
      </c>
      <c r="E317" s="215">
        <v>1419219</v>
      </c>
      <c r="F317" s="215">
        <f t="shared" ca="1" si="29"/>
        <v>27</v>
      </c>
      <c r="G317" s="215"/>
      <c r="H317" s="215"/>
      <c r="I317" s="217"/>
      <c r="J317" s="215"/>
      <c r="K317" s="215"/>
      <c r="L317" s="147"/>
      <c r="M317" s="147"/>
      <c r="N317" s="147"/>
      <c r="O317" s="147"/>
      <c r="P317" s="218"/>
      <c r="Q317" s="219"/>
      <c r="R317" s="147"/>
    </row>
    <row r="318" spans="1:18" s="220" customFormat="1" x14ac:dyDescent="0.3">
      <c r="A318" s="471"/>
      <c r="B318" s="113"/>
      <c r="C318" s="215" t="s">
        <v>1373</v>
      </c>
      <c r="D318" s="216"/>
      <c r="E318" s="215"/>
      <c r="F318" s="215">
        <f t="shared" ca="1" si="29"/>
        <v>126</v>
      </c>
      <c r="G318" s="215" t="s">
        <v>1374</v>
      </c>
      <c r="H318" s="215"/>
      <c r="I318" s="217"/>
      <c r="J318" s="215"/>
      <c r="K318" s="215"/>
      <c r="L318" s="147"/>
      <c r="M318" s="147"/>
      <c r="N318" s="147"/>
      <c r="O318" s="147"/>
      <c r="P318" s="218"/>
      <c r="Q318" s="219"/>
      <c r="R318" s="147"/>
    </row>
    <row r="319" spans="1:18" x14ac:dyDescent="0.3">
      <c r="A319" s="394" t="s">
        <v>1375</v>
      </c>
      <c r="B319" s="119">
        <v>44295</v>
      </c>
      <c r="C319" s="36" t="s">
        <v>123</v>
      </c>
      <c r="D319" s="37">
        <v>29071</v>
      </c>
      <c r="E319" s="36">
        <v>1350219</v>
      </c>
      <c r="F319" s="36">
        <f t="shared" ref="F319:F333" ca="1" si="30">YEAR(TODAY())-YEAR(D319)</f>
        <v>47</v>
      </c>
      <c r="G319" s="36" t="s">
        <v>1376</v>
      </c>
      <c r="H319" s="36"/>
      <c r="I319" s="35" t="s">
        <v>1377</v>
      </c>
      <c r="J319" s="36"/>
      <c r="K319" s="36"/>
      <c r="L319" s="8" t="s">
        <v>3540</v>
      </c>
      <c r="M319" s="8"/>
      <c r="N319" s="8"/>
      <c r="O319" s="8"/>
      <c r="P319" s="104"/>
      <c r="Q319" s="5"/>
      <c r="R319" s="8"/>
    </row>
    <row r="320" spans="1:18" x14ac:dyDescent="0.3">
      <c r="A320" s="394"/>
      <c r="B320" s="120"/>
      <c r="C320" s="36" t="s">
        <v>125</v>
      </c>
      <c r="D320" s="37">
        <v>29980</v>
      </c>
      <c r="E320" s="36">
        <v>2019049</v>
      </c>
      <c r="F320" s="36">
        <f t="shared" ca="1" si="30"/>
        <v>44</v>
      </c>
      <c r="G320" s="36" t="s">
        <v>3539</v>
      </c>
      <c r="H320" s="36"/>
      <c r="I320" s="35"/>
      <c r="J320" s="36"/>
      <c r="K320" s="36"/>
      <c r="L320" s="8"/>
      <c r="M320" s="8"/>
      <c r="N320" s="8"/>
      <c r="O320" s="8"/>
      <c r="P320" s="104"/>
      <c r="Q320" s="5"/>
      <c r="R320" s="8"/>
    </row>
    <row r="321" spans="1:18" x14ac:dyDescent="0.3">
      <c r="A321" s="394"/>
      <c r="B321" s="120"/>
      <c r="C321" s="36" t="s">
        <v>126</v>
      </c>
      <c r="D321" s="37">
        <v>41923</v>
      </c>
      <c r="E321" s="36">
        <v>4041617</v>
      </c>
      <c r="F321" s="36">
        <f t="shared" ca="1" si="30"/>
        <v>12</v>
      </c>
      <c r="G321" s="36"/>
      <c r="H321" s="36"/>
      <c r="I321" s="35"/>
      <c r="J321" s="36"/>
      <c r="K321" s="36"/>
      <c r="L321" s="8"/>
      <c r="M321" s="8"/>
      <c r="N321" s="8"/>
      <c r="O321" s="8"/>
      <c r="P321" s="104"/>
      <c r="Q321" s="5"/>
      <c r="R321" s="8"/>
    </row>
    <row r="322" spans="1:18" x14ac:dyDescent="0.3">
      <c r="A322" s="402" t="s">
        <v>1378</v>
      </c>
      <c r="B322" s="118">
        <v>45026</v>
      </c>
      <c r="C322" s="40" t="s">
        <v>1379</v>
      </c>
      <c r="D322" s="41">
        <v>20431</v>
      </c>
      <c r="E322" s="40">
        <v>1009023</v>
      </c>
      <c r="F322" s="40">
        <f t="shared" ca="1" si="30"/>
        <v>71</v>
      </c>
      <c r="G322" s="40" t="s">
        <v>1380</v>
      </c>
      <c r="H322" s="40"/>
      <c r="I322" s="39" t="s">
        <v>1381</v>
      </c>
      <c r="J322" s="40"/>
      <c r="K322" s="40"/>
      <c r="L322" s="8"/>
      <c r="M322" s="8"/>
      <c r="N322" s="8"/>
      <c r="O322" s="8"/>
      <c r="P322" s="104"/>
      <c r="Q322" s="5"/>
      <c r="R322" s="8"/>
    </row>
    <row r="323" spans="1:18" x14ac:dyDescent="0.3">
      <c r="A323" s="437"/>
      <c r="B323" s="118"/>
      <c r="C323" s="40" t="s">
        <v>1382</v>
      </c>
      <c r="D323" s="41">
        <v>20599</v>
      </c>
      <c r="E323" s="40">
        <v>2024423</v>
      </c>
      <c r="F323" s="40">
        <f t="shared" ca="1" si="30"/>
        <v>70</v>
      </c>
      <c r="G323" s="40" t="s">
        <v>1383</v>
      </c>
      <c r="H323" s="40"/>
      <c r="I323" s="39"/>
      <c r="J323" s="40"/>
      <c r="K323" s="40"/>
      <c r="L323" s="8"/>
      <c r="M323" s="8"/>
      <c r="N323" s="8"/>
      <c r="O323" s="8"/>
      <c r="P323" s="104"/>
      <c r="Q323" s="5"/>
      <c r="R323" s="8"/>
    </row>
    <row r="324" spans="1:18" x14ac:dyDescent="0.3">
      <c r="A324" s="424"/>
      <c r="B324" s="124"/>
      <c r="C324" s="40" t="s">
        <v>1384</v>
      </c>
      <c r="D324" s="41">
        <v>29814</v>
      </c>
      <c r="E324" s="40">
        <v>1009017</v>
      </c>
      <c r="F324" s="40">
        <f t="shared" ca="1" si="30"/>
        <v>45</v>
      </c>
      <c r="G324" s="40" t="s">
        <v>1385</v>
      </c>
      <c r="H324" s="40"/>
      <c r="I324" s="39"/>
      <c r="J324" s="40"/>
      <c r="K324" s="40"/>
      <c r="L324" s="8"/>
      <c r="M324" s="8"/>
      <c r="N324" s="8"/>
      <c r="O324" s="8"/>
      <c r="P324" s="104"/>
      <c r="Q324" s="5"/>
      <c r="R324" s="8"/>
    </row>
    <row r="325" spans="1:18" x14ac:dyDescent="0.3">
      <c r="A325" s="424"/>
      <c r="B325" s="124"/>
      <c r="C325" s="40" t="s">
        <v>1386</v>
      </c>
      <c r="D325" s="41">
        <v>32186</v>
      </c>
      <c r="E325" s="40">
        <v>1010615</v>
      </c>
      <c r="F325" s="40">
        <f t="shared" ca="1" si="30"/>
        <v>38</v>
      </c>
      <c r="G325" s="40" t="s">
        <v>1387</v>
      </c>
      <c r="H325" s="40"/>
      <c r="I325" s="39"/>
      <c r="J325" s="40"/>
      <c r="K325" s="40"/>
      <c r="L325" s="8"/>
      <c r="M325" s="8"/>
      <c r="N325" s="8"/>
      <c r="O325" s="8"/>
      <c r="P325" s="104"/>
      <c r="Q325" s="5"/>
      <c r="R325" s="8"/>
    </row>
    <row r="326" spans="1:18" x14ac:dyDescent="0.3">
      <c r="A326" s="384"/>
      <c r="B326" s="124"/>
      <c r="C326" s="40" t="s">
        <v>1388</v>
      </c>
      <c r="D326" s="41">
        <v>34225</v>
      </c>
      <c r="E326" s="40">
        <v>2188412</v>
      </c>
      <c r="F326" s="40">
        <f t="shared" ca="1" si="30"/>
        <v>33</v>
      </c>
      <c r="G326" s="40"/>
      <c r="H326" s="40"/>
      <c r="I326" s="39"/>
      <c r="J326" s="40"/>
      <c r="K326" s="40"/>
      <c r="L326" s="8"/>
      <c r="M326" s="8"/>
      <c r="N326" s="8"/>
      <c r="O326" s="8"/>
      <c r="P326" s="104"/>
      <c r="Q326" s="5"/>
      <c r="R326" s="8"/>
    </row>
    <row r="327" spans="1:18" x14ac:dyDescent="0.3">
      <c r="A327" s="379"/>
      <c r="B327" s="124"/>
      <c r="C327" s="40" t="s">
        <v>1389</v>
      </c>
      <c r="D327" s="41">
        <v>45036</v>
      </c>
      <c r="E327" s="40">
        <v>4741772</v>
      </c>
      <c r="F327" s="40">
        <f t="shared" ca="1" si="30"/>
        <v>3</v>
      </c>
      <c r="G327" s="40"/>
      <c r="H327" s="40"/>
      <c r="I327" s="39"/>
      <c r="J327" s="40"/>
      <c r="K327" s="40"/>
      <c r="L327" s="8"/>
      <c r="M327" s="8"/>
      <c r="N327" s="8"/>
      <c r="O327" s="8"/>
      <c r="P327" s="104"/>
      <c r="Q327" s="5"/>
      <c r="R327" s="8"/>
    </row>
    <row r="328" spans="1:18" s="189" customFormat="1" x14ac:dyDescent="0.3">
      <c r="A328" s="408" t="s">
        <v>1155</v>
      </c>
      <c r="B328" s="112">
        <v>45026</v>
      </c>
      <c r="C328" s="30" t="s">
        <v>615</v>
      </c>
      <c r="D328" s="31">
        <v>25619</v>
      </c>
      <c r="E328" s="30">
        <v>1451220</v>
      </c>
      <c r="F328" s="30">
        <f t="shared" ca="1" si="30"/>
        <v>56</v>
      </c>
      <c r="G328" s="30" t="s">
        <v>1156</v>
      </c>
      <c r="H328" s="30"/>
      <c r="I328" s="29" t="s">
        <v>1390</v>
      </c>
      <c r="J328" s="30"/>
      <c r="K328" s="30"/>
      <c r="L328" s="8"/>
      <c r="M328" s="8"/>
      <c r="N328" s="8"/>
      <c r="O328" s="8"/>
      <c r="P328" s="104"/>
      <c r="Q328" s="5"/>
      <c r="R328" s="8"/>
    </row>
    <row r="329" spans="1:18" x14ac:dyDescent="0.3">
      <c r="A329" s="409"/>
      <c r="B329" s="113"/>
      <c r="C329" s="30" t="s">
        <v>614</v>
      </c>
      <c r="D329" s="31">
        <v>26260</v>
      </c>
      <c r="E329" s="30">
        <v>2453226</v>
      </c>
      <c r="F329" s="30">
        <f ca="1">YEAR(TODAY())-YEAR(D329)</f>
        <v>55</v>
      </c>
      <c r="G329" s="30" t="s">
        <v>1159</v>
      </c>
      <c r="H329" s="30"/>
      <c r="I329" s="29"/>
      <c r="J329" s="30"/>
      <c r="K329" s="30"/>
      <c r="L329" s="8"/>
      <c r="M329" s="8"/>
      <c r="N329" s="8"/>
      <c r="O329" s="8"/>
      <c r="P329" s="104"/>
      <c r="Q329" s="5"/>
      <c r="R329" s="8"/>
    </row>
    <row r="330" spans="1:18" x14ac:dyDescent="0.3">
      <c r="A330" s="410"/>
      <c r="B330" s="113"/>
      <c r="C330" s="30" t="s">
        <v>616</v>
      </c>
      <c r="D330" s="31">
        <v>17086</v>
      </c>
      <c r="E330" s="30">
        <v>2451211</v>
      </c>
      <c r="F330" s="30">
        <f t="shared" ref="F330:F331" ca="1" si="31">YEAR(TODAY())-YEAR(D330)</f>
        <v>80</v>
      </c>
      <c r="G330" s="30" t="s">
        <v>1162</v>
      </c>
      <c r="H330" s="30"/>
      <c r="I330" s="29"/>
      <c r="J330" s="30"/>
      <c r="K330" s="30"/>
      <c r="L330" s="8"/>
      <c r="M330" s="8"/>
      <c r="N330" s="8"/>
      <c r="O330" s="8"/>
      <c r="P330" s="104"/>
      <c r="Q330" s="5"/>
      <c r="R330" s="8"/>
    </row>
    <row r="331" spans="1:18" x14ac:dyDescent="0.3">
      <c r="A331" s="221" t="s">
        <v>1391</v>
      </c>
      <c r="B331" s="115">
        <v>45026</v>
      </c>
      <c r="C331" s="1" t="s">
        <v>138</v>
      </c>
      <c r="D331" s="2">
        <v>24847</v>
      </c>
      <c r="E331" s="1">
        <v>1478617</v>
      </c>
      <c r="F331" s="1">
        <f t="shared" ca="1" si="31"/>
        <v>58</v>
      </c>
      <c r="G331" s="1"/>
      <c r="H331" s="1"/>
      <c r="I331" s="8" t="s">
        <v>1392</v>
      </c>
      <c r="J331" s="1"/>
      <c r="K331" s="1"/>
      <c r="L331" s="8"/>
      <c r="M331" s="8"/>
      <c r="N331" s="8"/>
      <c r="O331" s="8"/>
      <c r="P331" s="104"/>
      <c r="Q331" s="5"/>
      <c r="R331" s="8"/>
    </row>
    <row r="332" spans="1:18" x14ac:dyDescent="0.3">
      <c r="A332" s="211" t="s">
        <v>1393</v>
      </c>
      <c r="B332" s="123" t="s">
        <v>1394</v>
      </c>
      <c r="C332" s="18" t="s">
        <v>1395</v>
      </c>
      <c r="D332" s="19">
        <v>30921</v>
      </c>
      <c r="E332" s="18">
        <v>2650913</v>
      </c>
      <c r="F332" s="18">
        <f t="shared" ca="1" si="30"/>
        <v>42</v>
      </c>
      <c r="G332" s="18" t="s">
        <v>1396</v>
      </c>
      <c r="H332" s="18"/>
      <c r="I332" s="17" t="s">
        <v>1397</v>
      </c>
      <c r="J332" s="18"/>
      <c r="K332" s="18"/>
      <c r="L332" s="8"/>
      <c r="M332" s="8"/>
      <c r="N332" s="8"/>
      <c r="O332" s="8"/>
      <c r="P332" s="104"/>
      <c r="Q332" s="5"/>
      <c r="R332" s="8"/>
    </row>
    <row r="333" spans="1:18" x14ac:dyDescent="0.3">
      <c r="A333" s="184" t="s">
        <v>1398</v>
      </c>
      <c r="B333" s="117">
        <v>45026</v>
      </c>
      <c r="C333" s="27" t="s">
        <v>550</v>
      </c>
      <c r="D333" s="28">
        <v>32399</v>
      </c>
      <c r="E333" s="27">
        <v>1235220</v>
      </c>
      <c r="F333" s="27">
        <f t="shared" ca="1" si="30"/>
        <v>38</v>
      </c>
      <c r="G333" s="27" t="s">
        <v>1399</v>
      </c>
      <c r="H333" s="27"/>
      <c r="I333" s="26" t="s">
        <v>1400</v>
      </c>
      <c r="J333" s="27"/>
      <c r="K333" s="27"/>
      <c r="L333" s="8"/>
      <c r="M333" s="8"/>
      <c r="N333" s="8"/>
      <c r="O333" s="8"/>
      <c r="P333" s="104"/>
      <c r="Q333" s="5"/>
      <c r="R333" s="8"/>
    </row>
    <row r="334" spans="1:18" s="189" customFormat="1" x14ac:dyDescent="0.3">
      <c r="A334" s="414" t="s">
        <v>1401</v>
      </c>
      <c r="B334" s="112">
        <v>45026</v>
      </c>
      <c r="C334" s="30" t="s">
        <v>492</v>
      </c>
      <c r="D334" s="31">
        <v>28812</v>
      </c>
      <c r="E334" s="30">
        <v>2469516</v>
      </c>
      <c r="F334" s="30">
        <f t="shared" ref="F334:F351" ca="1" si="32">YEAR(TODAY())-YEAR(D334)</f>
        <v>48</v>
      </c>
      <c r="G334" s="30" t="s">
        <v>1402</v>
      </c>
      <c r="H334" s="30"/>
      <c r="I334" s="29" t="s">
        <v>1403</v>
      </c>
      <c r="J334" s="30"/>
      <c r="K334" s="30"/>
      <c r="L334" s="8"/>
      <c r="M334" s="8"/>
      <c r="N334" s="8"/>
      <c r="O334" s="8"/>
      <c r="P334" s="104"/>
      <c r="Q334" s="5"/>
      <c r="R334" s="8"/>
    </row>
    <row r="335" spans="1:18" s="189" customFormat="1" x14ac:dyDescent="0.3">
      <c r="A335" s="414"/>
      <c r="B335" s="113"/>
      <c r="C335" s="30" t="s">
        <v>493</v>
      </c>
      <c r="D335" s="31">
        <v>27138</v>
      </c>
      <c r="E335" s="30">
        <v>1149612</v>
      </c>
      <c r="F335" s="30">
        <f t="shared" ca="1" si="32"/>
        <v>52</v>
      </c>
      <c r="G335" s="30" t="s">
        <v>1404</v>
      </c>
      <c r="H335" s="30"/>
      <c r="I335" s="29"/>
      <c r="J335" s="30"/>
      <c r="K335" s="30"/>
      <c r="L335" s="8"/>
      <c r="M335" s="8"/>
      <c r="N335" s="8"/>
      <c r="O335" s="8"/>
      <c r="P335" s="104"/>
      <c r="Q335" s="5"/>
      <c r="R335" s="8"/>
    </row>
    <row r="336" spans="1:18" s="189" customFormat="1" x14ac:dyDescent="0.3">
      <c r="A336" s="414"/>
      <c r="B336" s="113"/>
      <c r="C336" s="30" t="s">
        <v>494</v>
      </c>
      <c r="D336" s="31">
        <v>39100</v>
      </c>
      <c r="E336" s="30">
        <v>3415518</v>
      </c>
      <c r="F336" s="30">
        <f t="shared" ca="1" si="32"/>
        <v>19</v>
      </c>
      <c r="G336" s="30"/>
      <c r="H336" s="30"/>
      <c r="I336" s="29"/>
      <c r="J336" s="30"/>
      <c r="K336" s="30"/>
      <c r="L336" s="8"/>
      <c r="M336" s="8"/>
      <c r="N336" s="8"/>
      <c r="O336" s="8"/>
      <c r="P336" s="104"/>
      <c r="Q336" s="5"/>
      <c r="R336" s="8"/>
    </row>
    <row r="337" spans="1:18" s="189" customFormat="1" x14ac:dyDescent="0.3">
      <c r="A337" s="414"/>
      <c r="B337" s="113"/>
      <c r="C337" s="30" t="s">
        <v>495</v>
      </c>
      <c r="D337" s="31">
        <v>39664</v>
      </c>
      <c r="E337" s="30">
        <v>3213516</v>
      </c>
      <c r="F337" s="30">
        <f t="shared" ca="1" si="32"/>
        <v>18</v>
      </c>
      <c r="G337" s="30"/>
      <c r="H337" s="30"/>
      <c r="I337" s="29"/>
      <c r="J337" s="30"/>
      <c r="K337" s="30"/>
      <c r="L337" s="8"/>
      <c r="M337" s="8"/>
      <c r="N337" s="8"/>
      <c r="O337" s="8"/>
      <c r="P337" s="104"/>
      <c r="Q337" s="5"/>
      <c r="R337" s="8"/>
    </row>
    <row r="338" spans="1:18" s="212" customFormat="1" x14ac:dyDescent="0.3">
      <c r="A338" s="211" t="s">
        <v>1155</v>
      </c>
      <c r="B338" s="122">
        <v>45026</v>
      </c>
      <c r="C338" s="18" t="s">
        <v>615</v>
      </c>
      <c r="D338" s="19">
        <v>25619</v>
      </c>
      <c r="E338" s="18">
        <v>1451220</v>
      </c>
      <c r="F338" s="18">
        <f ca="1">YEAR(TODAY())-YEAR(D338)</f>
        <v>56</v>
      </c>
      <c r="G338" s="18" t="s">
        <v>1156</v>
      </c>
      <c r="H338" s="18"/>
      <c r="I338" s="17" t="s">
        <v>1390</v>
      </c>
      <c r="J338" s="18"/>
      <c r="K338" s="18"/>
      <c r="L338" s="8"/>
      <c r="M338" s="8"/>
      <c r="N338" s="8"/>
      <c r="O338" s="8"/>
      <c r="P338" s="104"/>
      <c r="Q338" s="5"/>
      <c r="R338" s="8"/>
    </row>
    <row r="339" spans="1:18" x14ac:dyDescent="0.3">
      <c r="A339" s="190" t="s">
        <v>1133</v>
      </c>
      <c r="B339" s="110">
        <v>44663</v>
      </c>
      <c r="C339" s="33" t="s">
        <v>128</v>
      </c>
      <c r="D339" s="34">
        <v>30156</v>
      </c>
      <c r="E339" s="33">
        <v>2472012</v>
      </c>
      <c r="F339" s="33">
        <f t="shared" ca="1" si="32"/>
        <v>44</v>
      </c>
      <c r="G339" s="33" t="s">
        <v>130</v>
      </c>
      <c r="H339" s="33"/>
      <c r="I339" s="32" t="s">
        <v>1405</v>
      </c>
      <c r="J339" s="33"/>
      <c r="K339" s="33"/>
      <c r="L339" s="8" t="s">
        <v>74</v>
      </c>
      <c r="M339" s="8"/>
      <c r="N339" s="8"/>
      <c r="O339" s="8"/>
      <c r="P339" s="104"/>
      <c r="Q339" s="5"/>
      <c r="R339" s="8" t="s">
        <v>130</v>
      </c>
    </row>
    <row r="340" spans="1:18" x14ac:dyDescent="0.3">
      <c r="A340" s="414" t="s">
        <v>1220</v>
      </c>
      <c r="B340" s="112">
        <v>44299</v>
      </c>
      <c r="C340" s="30" t="s">
        <v>109</v>
      </c>
      <c r="D340" s="31">
        <v>31314</v>
      </c>
      <c r="E340" s="30">
        <v>2475711</v>
      </c>
      <c r="F340" s="30">
        <f t="shared" ca="1" si="32"/>
        <v>41</v>
      </c>
      <c r="G340" s="30" t="s">
        <v>1406</v>
      </c>
      <c r="H340" s="30"/>
      <c r="I340" s="29"/>
      <c r="J340" s="30"/>
      <c r="K340" s="30"/>
      <c r="L340" s="8"/>
      <c r="M340" s="8"/>
      <c r="N340" s="8"/>
      <c r="O340" s="8"/>
      <c r="P340" s="104"/>
      <c r="Q340" s="5"/>
      <c r="R340" s="8"/>
    </row>
    <row r="341" spans="1:18" x14ac:dyDescent="0.3">
      <c r="A341" s="414"/>
      <c r="B341" s="113"/>
      <c r="C341" s="30" t="s">
        <v>110</v>
      </c>
      <c r="D341" s="31">
        <v>41106</v>
      </c>
      <c r="E341" s="30">
        <v>3419215</v>
      </c>
      <c r="F341" s="30">
        <f t="shared" ca="1" si="32"/>
        <v>14</v>
      </c>
      <c r="G341" s="30"/>
      <c r="H341" s="30"/>
      <c r="I341" s="29"/>
      <c r="J341" s="30"/>
      <c r="K341" s="30"/>
      <c r="L341" s="8"/>
      <c r="M341" s="8"/>
      <c r="N341" s="8"/>
      <c r="O341" s="8"/>
      <c r="P341" s="104"/>
      <c r="Q341" s="5"/>
      <c r="R341" s="8"/>
    </row>
    <row r="342" spans="1:18" x14ac:dyDescent="0.3">
      <c r="A342" s="414"/>
      <c r="B342" s="113"/>
      <c r="C342" s="30" t="s">
        <v>111</v>
      </c>
      <c r="D342" s="31">
        <v>41806</v>
      </c>
      <c r="E342" s="30">
        <v>3419214</v>
      </c>
      <c r="F342" s="30">
        <f t="shared" ca="1" si="32"/>
        <v>12</v>
      </c>
      <c r="G342" s="30"/>
      <c r="H342" s="30"/>
      <c r="I342" s="29"/>
      <c r="J342" s="30"/>
      <c r="K342" s="30"/>
      <c r="L342" s="8"/>
      <c r="M342" s="8"/>
      <c r="N342" s="8"/>
      <c r="O342" s="8"/>
      <c r="P342" s="104"/>
      <c r="Q342" s="5"/>
      <c r="R342" s="8"/>
    </row>
    <row r="343" spans="1:18" x14ac:dyDescent="0.3">
      <c r="A343" s="398" t="s">
        <v>1407</v>
      </c>
      <c r="B343" s="117">
        <v>45029</v>
      </c>
      <c r="C343" s="27" t="s">
        <v>1408</v>
      </c>
      <c r="D343" s="28">
        <v>21056</v>
      </c>
      <c r="E343" s="27">
        <v>1897113</v>
      </c>
      <c r="F343" s="27">
        <f t="shared" ca="1" si="32"/>
        <v>69</v>
      </c>
      <c r="G343" s="27" t="s">
        <v>1409</v>
      </c>
      <c r="H343" s="27"/>
      <c r="I343" s="26" t="s">
        <v>1410</v>
      </c>
      <c r="J343" s="27"/>
      <c r="K343" s="27"/>
      <c r="L343" s="8"/>
      <c r="M343" s="8"/>
      <c r="N343" s="8"/>
      <c r="O343" s="8"/>
      <c r="P343" s="104"/>
      <c r="Q343" s="5"/>
      <c r="R343" s="8"/>
    </row>
    <row r="344" spans="1:18" x14ac:dyDescent="0.3">
      <c r="A344" s="433"/>
      <c r="B344" s="121"/>
      <c r="C344" s="27" t="s">
        <v>1411</v>
      </c>
      <c r="D344" s="28">
        <v>22926</v>
      </c>
      <c r="E344" s="27">
        <v>2052910</v>
      </c>
      <c r="F344" s="27">
        <f t="shared" ca="1" si="32"/>
        <v>64</v>
      </c>
      <c r="G344" s="27" t="s">
        <v>1412</v>
      </c>
      <c r="H344" s="27"/>
      <c r="I344" s="26"/>
      <c r="J344" s="27"/>
      <c r="K344" s="27"/>
      <c r="L344" s="8"/>
      <c r="M344" s="8"/>
      <c r="N344" s="8"/>
      <c r="O344" s="8"/>
      <c r="P344" s="104"/>
      <c r="Q344" s="5"/>
      <c r="R344" s="8"/>
    </row>
    <row r="345" spans="1:18" x14ac:dyDescent="0.3">
      <c r="A345" s="419"/>
      <c r="B345" s="121"/>
      <c r="C345" s="27" t="s">
        <v>1413</v>
      </c>
      <c r="D345" s="28">
        <v>32151</v>
      </c>
      <c r="E345" s="27">
        <v>1897116</v>
      </c>
      <c r="F345" s="27">
        <f t="shared" ca="1" si="32"/>
        <v>38</v>
      </c>
      <c r="G345" s="27" t="s">
        <v>1414</v>
      </c>
      <c r="H345" s="27"/>
      <c r="I345" s="26"/>
      <c r="J345" s="27"/>
      <c r="K345" s="27"/>
      <c r="L345" s="8"/>
      <c r="M345" s="8"/>
      <c r="N345" s="8"/>
      <c r="O345" s="8"/>
      <c r="P345" s="104"/>
      <c r="Q345" s="5"/>
      <c r="R345" s="8"/>
    </row>
    <row r="346" spans="1:18" s="193" customFormat="1" x14ac:dyDescent="0.3">
      <c r="A346" s="190" t="s">
        <v>1415</v>
      </c>
      <c r="B346" s="110">
        <v>45029</v>
      </c>
      <c r="C346" s="33" t="s">
        <v>1416</v>
      </c>
      <c r="D346" s="34">
        <v>22460</v>
      </c>
      <c r="E346" s="33">
        <v>2953120</v>
      </c>
      <c r="F346" s="33">
        <f t="shared" ca="1" si="32"/>
        <v>65</v>
      </c>
      <c r="G346" s="33" t="s">
        <v>1417</v>
      </c>
      <c r="H346" s="33"/>
      <c r="I346" s="32" t="s">
        <v>1418</v>
      </c>
      <c r="J346" s="33"/>
      <c r="K346" s="33"/>
      <c r="L346" s="8"/>
      <c r="M346" s="8"/>
      <c r="N346" s="8"/>
      <c r="O346" s="8"/>
      <c r="P346" s="104"/>
      <c r="Q346" s="5"/>
      <c r="R346" s="8"/>
    </row>
    <row r="347" spans="1:18" x14ac:dyDescent="0.3">
      <c r="A347" s="36"/>
      <c r="B347" s="119">
        <v>44665</v>
      </c>
      <c r="C347" s="36" t="s">
        <v>131</v>
      </c>
      <c r="D347" s="37"/>
      <c r="E347" s="36"/>
      <c r="F347" s="36">
        <f t="shared" ca="1" si="32"/>
        <v>126</v>
      </c>
      <c r="G347" s="36"/>
      <c r="H347" s="36"/>
      <c r="I347" s="8" t="s">
        <v>70</v>
      </c>
      <c r="J347" s="1"/>
      <c r="K347" s="1"/>
      <c r="L347" s="8"/>
      <c r="M347" s="8"/>
      <c r="N347" s="8"/>
      <c r="O347" s="8"/>
      <c r="P347" s="104"/>
      <c r="Q347" s="5"/>
      <c r="R347" s="8"/>
    </row>
    <row r="348" spans="1:18" x14ac:dyDescent="0.3">
      <c r="A348" s="420" t="s">
        <v>1419</v>
      </c>
      <c r="B348" s="117">
        <v>44300</v>
      </c>
      <c r="C348" s="27" t="s">
        <v>132</v>
      </c>
      <c r="D348" s="28">
        <v>31610</v>
      </c>
      <c r="E348" s="27">
        <v>1716811</v>
      </c>
      <c r="F348" s="27">
        <f t="shared" ca="1" si="32"/>
        <v>40</v>
      </c>
      <c r="G348" s="27" t="s">
        <v>1420</v>
      </c>
      <c r="H348" s="27"/>
      <c r="I348" s="26" t="s">
        <v>1421</v>
      </c>
      <c r="J348" s="27"/>
      <c r="K348" s="27"/>
      <c r="L348" s="8"/>
      <c r="M348" s="8" t="s">
        <v>133</v>
      </c>
      <c r="N348" s="8"/>
      <c r="O348" s="8"/>
      <c r="P348" s="104"/>
      <c r="Q348" s="5"/>
      <c r="R348" s="8"/>
    </row>
    <row r="349" spans="1:18" x14ac:dyDescent="0.3">
      <c r="A349" s="421"/>
      <c r="B349" s="121"/>
      <c r="C349" s="27" t="s">
        <v>134</v>
      </c>
      <c r="D349" s="28">
        <v>31942</v>
      </c>
      <c r="E349" s="27">
        <v>2784210</v>
      </c>
      <c r="F349" s="27">
        <f t="shared" ca="1" si="32"/>
        <v>39</v>
      </c>
      <c r="G349" s="27" t="s">
        <v>1422</v>
      </c>
      <c r="H349" s="27"/>
      <c r="I349" s="26"/>
      <c r="J349" s="27"/>
      <c r="K349" s="27"/>
      <c r="L349" s="8"/>
      <c r="M349" s="8" t="s">
        <v>135</v>
      </c>
      <c r="N349" s="8"/>
      <c r="O349" s="8"/>
      <c r="P349" s="104"/>
      <c r="Q349" s="5"/>
      <c r="R349" s="8"/>
    </row>
    <row r="350" spans="1:18" x14ac:dyDescent="0.3">
      <c r="A350" s="421"/>
      <c r="B350" s="121"/>
      <c r="C350" s="27" t="s">
        <v>136</v>
      </c>
      <c r="D350" s="28">
        <v>42196</v>
      </c>
      <c r="E350" s="27">
        <v>4412921</v>
      </c>
      <c r="F350" s="27">
        <f t="shared" ca="1" si="32"/>
        <v>11</v>
      </c>
      <c r="G350" s="27"/>
      <c r="H350" s="27"/>
      <c r="I350" s="26"/>
      <c r="J350" s="27"/>
      <c r="K350" s="27"/>
      <c r="L350" s="8"/>
      <c r="M350" s="8" t="s">
        <v>61</v>
      </c>
      <c r="N350" s="8"/>
      <c r="O350" s="8"/>
      <c r="P350" s="104"/>
      <c r="Q350" s="5"/>
      <c r="R350" s="8"/>
    </row>
    <row r="351" spans="1:18" x14ac:dyDescent="0.3">
      <c r="A351" s="421"/>
      <c r="B351" s="121"/>
      <c r="C351" s="27" t="s">
        <v>137</v>
      </c>
      <c r="D351" s="28">
        <v>43108</v>
      </c>
      <c r="E351" s="27">
        <v>3412912</v>
      </c>
      <c r="F351" s="27">
        <f t="shared" ca="1" si="32"/>
        <v>8</v>
      </c>
      <c r="G351" s="27"/>
      <c r="H351" s="27"/>
      <c r="I351" s="26"/>
      <c r="J351" s="27"/>
      <c r="K351" s="27"/>
      <c r="L351" s="8"/>
      <c r="M351" s="8" t="s">
        <v>61</v>
      </c>
      <c r="N351" s="8"/>
      <c r="O351" s="8"/>
      <c r="P351" s="104"/>
      <c r="Q351" s="5"/>
      <c r="R351" s="8"/>
    </row>
    <row r="352" spans="1:18" x14ac:dyDescent="0.3">
      <c r="A352" s="33"/>
      <c r="B352" s="110">
        <v>45031</v>
      </c>
      <c r="C352" s="33" t="s">
        <v>889</v>
      </c>
      <c r="D352" s="34">
        <v>29117</v>
      </c>
      <c r="E352" s="33">
        <v>1667511</v>
      </c>
      <c r="F352" s="33">
        <f t="shared" ref="F352:F395" ca="1" si="33">YEAR(TODAY())-YEAR(D352)</f>
        <v>47</v>
      </c>
      <c r="G352" s="33"/>
      <c r="H352" s="33" t="s">
        <v>891</v>
      </c>
      <c r="I352" s="32" t="s">
        <v>1423</v>
      </c>
      <c r="J352" s="33"/>
      <c r="K352" s="33"/>
      <c r="L352" s="8"/>
      <c r="M352" s="8"/>
      <c r="N352" s="8"/>
      <c r="O352" s="8"/>
      <c r="P352" s="104"/>
      <c r="Q352" s="5"/>
      <c r="R352" s="8"/>
    </row>
    <row r="353" spans="1:18" x14ac:dyDescent="0.3">
      <c r="A353" s="381" t="s">
        <v>1391</v>
      </c>
      <c r="B353" s="115">
        <v>44667</v>
      </c>
      <c r="C353" s="1" t="s">
        <v>138</v>
      </c>
      <c r="D353" s="2">
        <v>24847</v>
      </c>
      <c r="E353" s="1">
        <v>1478617</v>
      </c>
      <c r="F353" s="1">
        <f t="shared" ca="1" si="33"/>
        <v>58</v>
      </c>
      <c r="G353" s="1"/>
      <c r="H353" s="1"/>
      <c r="I353" s="8" t="s">
        <v>1424</v>
      </c>
      <c r="J353" s="1"/>
      <c r="K353" s="1"/>
      <c r="L353" s="8"/>
      <c r="M353" s="8"/>
      <c r="N353" s="8"/>
      <c r="O353" s="8"/>
      <c r="P353" s="104"/>
      <c r="Q353" s="5"/>
      <c r="R353" s="8"/>
    </row>
    <row r="354" spans="1:18" x14ac:dyDescent="0.3">
      <c r="A354" s="387"/>
      <c r="B354" s="109"/>
      <c r="C354" s="1" t="s">
        <v>139</v>
      </c>
      <c r="D354" s="2">
        <v>34350</v>
      </c>
      <c r="E354" s="1">
        <v>1411822</v>
      </c>
      <c r="F354" s="1">
        <f t="shared" ca="1" si="33"/>
        <v>32</v>
      </c>
      <c r="G354" s="1" t="s">
        <v>1425</v>
      </c>
      <c r="H354" s="1"/>
      <c r="I354" s="8"/>
      <c r="J354" s="1"/>
      <c r="K354" s="1"/>
      <c r="L354" s="8"/>
      <c r="M354" s="8"/>
      <c r="N354" s="8"/>
      <c r="O354" s="8"/>
      <c r="P354" s="104"/>
      <c r="Q354" s="5"/>
      <c r="R354" s="8"/>
    </row>
    <row r="355" spans="1:18" x14ac:dyDescent="0.3">
      <c r="A355" s="434"/>
      <c r="B355" s="109"/>
      <c r="C355" s="1" t="s">
        <v>140</v>
      </c>
      <c r="D355" s="2">
        <v>34963</v>
      </c>
      <c r="E355" s="1">
        <v>2478219</v>
      </c>
      <c r="F355" s="1">
        <f t="shared" ca="1" si="33"/>
        <v>31</v>
      </c>
      <c r="G355" s="1" t="s">
        <v>1426</v>
      </c>
      <c r="H355" s="1"/>
      <c r="I355" s="8"/>
      <c r="J355" s="1"/>
      <c r="K355" s="1"/>
      <c r="L355" s="8"/>
      <c r="M355" s="8"/>
      <c r="N355" s="8"/>
      <c r="O355" s="8"/>
      <c r="P355" s="104"/>
      <c r="Q355" s="5"/>
      <c r="R355" s="8"/>
    </row>
    <row r="356" spans="1:18" x14ac:dyDescent="0.3">
      <c r="A356" s="199" t="s">
        <v>867</v>
      </c>
      <c r="B356" s="119">
        <v>45034</v>
      </c>
      <c r="C356" s="36" t="s">
        <v>41</v>
      </c>
      <c r="D356" s="37">
        <v>29807</v>
      </c>
      <c r="E356" s="36">
        <v>1459812</v>
      </c>
      <c r="F356" s="36">
        <f t="shared" ca="1" si="33"/>
        <v>45</v>
      </c>
      <c r="G356" s="36" t="s">
        <v>871</v>
      </c>
      <c r="H356" s="36"/>
      <c r="I356" s="35" t="s">
        <v>1427</v>
      </c>
      <c r="J356" s="36" t="s">
        <v>872</v>
      </c>
      <c r="K356" s="36"/>
      <c r="L356" s="8"/>
      <c r="M356" s="8"/>
      <c r="N356" s="8"/>
      <c r="O356" s="8"/>
      <c r="P356" s="104"/>
      <c r="Q356" s="5"/>
      <c r="R356" s="8"/>
    </row>
    <row r="357" spans="1:18" x14ac:dyDescent="0.3">
      <c r="A357" s="222" t="s">
        <v>1428</v>
      </c>
      <c r="B357" s="109" t="s">
        <v>1429</v>
      </c>
      <c r="C357" s="1" t="s">
        <v>1430</v>
      </c>
      <c r="D357" s="2">
        <v>27882</v>
      </c>
      <c r="E357" s="1">
        <v>2019715</v>
      </c>
      <c r="F357" s="1">
        <f ca="1">YEAR(TODAY())-YEAR(D357)</f>
        <v>50</v>
      </c>
      <c r="G357" s="1" t="s">
        <v>1431</v>
      </c>
      <c r="H357" s="1"/>
      <c r="I357" s="8" t="s">
        <v>924</v>
      </c>
      <c r="J357" s="1"/>
      <c r="K357" s="1"/>
      <c r="L357" s="8" t="s">
        <v>1432</v>
      </c>
      <c r="M357" s="8"/>
      <c r="N357" s="8"/>
      <c r="O357" s="8"/>
      <c r="P357" s="9"/>
      <c r="Q357" s="3"/>
      <c r="R357" s="8"/>
    </row>
    <row r="358" spans="1:18" s="193" customFormat="1" x14ac:dyDescent="0.3">
      <c r="A358" s="404" t="s">
        <v>1433</v>
      </c>
      <c r="B358" s="110">
        <v>45034</v>
      </c>
      <c r="C358" s="33" t="s">
        <v>664</v>
      </c>
      <c r="D358" s="34">
        <v>26148</v>
      </c>
      <c r="E358" s="33">
        <v>1337318</v>
      </c>
      <c r="F358" s="33">
        <f t="shared" ca="1" si="33"/>
        <v>55</v>
      </c>
      <c r="G358" s="33" t="s">
        <v>3688</v>
      </c>
      <c r="H358" s="33"/>
      <c r="I358" s="32" t="s">
        <v>1434</v>
      </c>
      <c r="J358" s="33"/>
      <c r="K358" s="33"/>
      <c r="L358" s="8" t="s">
        <v>3281</v>
      </c>
      <c r="M358" s="8"/>
      <c r="N358" s="8"/>
      <c r="O358" s="8"/>
      <c r="P358" s="104"/>
      <c r="Q358" s="5"/>
      <c r="R358" s="8"/>
    </row>
    <row r="359" spans="1:18" s="193" customFormat="1" x14ac:dyDescent="0.3">
      <c r="A359" s="379"/>
      <c r="B359" s="110"/>
      <c r="C359" s="376" t="s">
        <v>3685</v>
      </c>
      <c r="D359" s="34">
        <v>25710</v>
      </c>
      <c r="E359" s="376">
        <v>2479012</v>
      </c>
      <c r="F359" s="376">
        <f t="shared" ca="1" si="33"/>
        <v>56</v>
      </c>
      <c r="G359" s="376" t="s">
        <v>3686</v>
      </c>
      <c r="H359" s="376"/>
      <c r="I359" s="32"/>
      <c r="J359" s="376"/>
      <c r="K359" s="376"/>
      <c r="L359" s="8" t="s">
        <v>3687</v>
      </c>
      <c r="M359" s="8"/>
      <c r="N359" s="8"/>
      <c r="O359" s="8"/>
      <c r="P359" s="104"/>
      <c r="Q359" s="5"/>
      <c r="R359" s="8"/>
    </row>
    <row r="360" spans="1:18" x14ac:dyDescent="0.3">
      <c r="A360" s="198" t="s">
        <v>1435</v>
      </c>
      <c r="B360" s="119">
        <v>45034</v>
      </c>
      <c r="C360" s="36" t="s">
        <v>1436</v>
      </c>
      <c r="D360" s="37">
        <v>22470</v>
      </c>
      <c r="E360" s="36">
        <v>1567513</v>
      </c>
      <c r="F360" s="36">
        <f t="shared" ca="1" si="33"/>
        <v>65</v>
      </c>
      <c r="G360" s="36" t="s">
        <v>1437</v>
      </c>
      <c r="H360" s="36"/>
      <c r="I360" s="35" t="s">
        <v>1438</v>
      </c>
      <c r="J360" s="36"/>
      <c r="K360" s="36"/>
      <c r="L360" s="8"/>
      <c r="M360" s="8"/>
      <c r="N360" s="8"/>
      <c r="O360" s="8"/>
      <c r="P360" s="104"/>
      <c r="Q360" s="5"/>
      <c r="R360" s="8"/>
    </row>
    <row r="361" spans="1:18" x14ac:dyDescent="0.3">
      <c r="A361" s="223"/>
      <c r="B361" s="153">
        <v>44305</v>
      </c>
      <c r="C361" s="223" t="s">
        <v>32</v>
      </c>
      <c r="D361" s="224"/>
      <c r="E361" s="223" t="s">
        <v>1003</v>
      </c>
      <c r="F361" s="223"/>
      <c r="G361" s="223"/>
      <c r="H361" s="223"/>
      <c r="I361" s="225" t="s">
        <v>1439</v>
      </c>
      <c r="J361" s="223"/>
      <c r="K361" s="223"/>
      <c r="L361" s="8"/>
      <c r="M361" s="8"/>
      <c r="N361" s="8"/>
      <c r="O361" s="8"/>
      <c r="P361" s="104"/>
      <c r="Q361" s="5"/>
      <c r="R361" s="8"/>
    </row>
    <row r="362" spans="1:18" x14ac:dyDescent="0.3">
      <c r="A362" s="183" t="s">
        <v>1323</v>
      </c>
      <c r="B362" s="112">
        <v>45035</v>
      </c>
      <c r="C362" s="30" t="s">
        <v>709</v>
      </c>
      <c r="D362" s="31">
        <v>19262</v>
      </c>
      <c r="E362" s="30">
        <v>1462513</v>
      </c>
      <c r="F362" s="30">
        <f t="shared" ca="1" si="33"/>
        <v>74</v>
      </c>
      <c r="G362" s="30"/>
      <c r="H362" s="30"/>
      <c r="I362" s="29" t="s">
        <v>1440</v>
      </c>
      <c r="J362" s="30"/>
      <c r="K362" s="30"/>
      <c r="L362" s="8"/>
      <c r="M362" s="8"/>
      <c r="N362" s="8"/>
      <c r="O362" s="8"/>
      <c r="P362" s="104"/>
      <c r="Q362" s="5"/>
      <c r="R362" s="8"/>
    </row>
    <row r="363" spans="1:18" ht="33" x14ac:dyDescent="0.3">
      <c r="A363" s="226" t="s">
        <v>1209</v>
      </c>
      <c r="B363" s="122">
        <v>45035</v>
      </c>
      <c r="C363" s="18" t="s">
        <v>723</v>
      </c>
      <c r="D363" s="19">
        <v>29081</v>
      </c>
      <c r="E363" s="18">
        <v>1451324</v>
      </c>
      <c r="F363" s="18">
        <f t="shared" ca="1" si="33"/>
        <v>47</v>
      </c>
      <c r="G363" s="18" t="s">
        <v>1213</v>
      </c>
      <c r="H363" s="18"/>
      <c r="I363" s="227" t="s">
        <v>1441</v>
      </c>
      <c r="J363" s="228"/>
      <c r="K363" s="228"/>
      <c r="L363" s="8"/>
      <c r="M363" s="8"/>
      <c r="N363" s="8"/>
      <c r="O363" s="8"/>
      <c r="P363" s="104"/>
      <c r="Q363" s="5"/>
      <c r="R363" s="8"/>
    </row>
    <row r="364" spans="1:18" s="204" customFormat="1" x14ac:dyDescent="0.3">
      <c r="A364" s="202" t="s">
        <v>1442</v>
      </c>
      <c r="B364" s="117">
        <v>45037</v>
      </c>
      <c r="C364" s="27" t="s">
        <v>665</v>
      </c>
      <c r="D364" s="28">
        <v>30931</v>
      </c>
      <c r="E364" s="27">
        <v>1079113</v>
      </c>
      <c r="F364" s="27">
        <f t="shared" ca="1" si="33"/>
        <v>42</v>
      </c>
      <c r="G364" s="27" t="s">
        <v>1443</v>
      </c>
      <c r="H364" s="27"/>
      <c r="I364" s="26" t="s">
        <v>1444</v>
      </c>
      <c r="J364" s="27"/>
      <c r="K364" s="27"/>
      <c r="L364" s="8"/>
      <c r="M364" s="8"/>
      <c r="N364" s="8"/>
      <c r="O364" s="8"/>
      <c r="P364" s="104"/>
      <c r="Q364" s="5"/>
      <c r="R364" s="8"/>
    </row>
    <row r="365" spans="1:18" s="193" customFormat="1" x14ac:dyDescent="0.3">
      <c r="A365" s="190" t="s">
        <v>844</v>
      </c>
      <c r="B365" s="110">
        <v>45037</v>
      </c>
      <c r="C365" s="33" t="s">
        <v>1445</v>
      </c>
      <c r="D365" s="34">
        <v>24828</v>
      </c>
      <c r="E365" s="33">
        <v>1469410</v>
      </c>
      <c r="F365" s="33">
        <f t="shared" ca="1" si="33"/>
        <v>59</v>
      </c>
      <c r="G365" s="33" t="s">
        <v>1446</v>
      </c>
      <c r="H365" s="33"/>
      <c r="I365" s="32" t="s">
        <v>1447</v>
      </c>
      <c r="J365" s="33" t="s">
        <v>1448</v>
      </c>
      <c r="K365" s="33" t="s">
        <v>432</v>
      </c>
      <c r="L365" s="8"/>
      <c r="M365" s="8"/>
      <c r="N365" s="8"/>
      <c r="O365" s="8"/>
      <c r="P365" s="104"/>
      <c r="Q365" s="5"/>
      <c r="R365" s="8"/>
    </row>
    <row r="366" spans="1:18" x14ac:dyDescent="0.3">
      <c r="A366" s="182" t="s">
        <v>1449</v>
      </c>
      <c r="B366" s="115">
        <v>45037</v>
      </c>
      <c r="C366" s="1" t="s">
        <v>337</v>
      </c>
      <c r="D366" s="2">
        <v>29993</v>
      </c>
      <c r="E366" s="1">
        <v>1682734</v>
      </c>
      <c r="F366" s="1">
        <f t="shared" ca="1" si="33"/>
        <v>44</v>
      </c>
      <c r="G366" s="1" t="s">
        <v>1450</v>
      </c>
      <c r="H366" s="1"/>
      <c r="I366" s="8" t="s">
        <v>1451</v>
      </c>
      <c r="J366" s="1"/>
      <c r="K366" s="1"/>
      <c r="L366" s="8"/>
      <c r="M366" s="8"/>
      <c r="N366" s="8"/>
      <c r="O366" s="8"/>
      <c r="P366" s="104"/>
      <c r="Q366" s="5"/>
      <c r="R366" s="8"/>
    </row>
    <row r="367" spans="1:18" x14ac:dyDescent="0.3">
      <c r="A367" s="324"/>
      <c r="B367" s="115">
        <v>45769</v>
      </c>
      <c r="C367" s="325" t="s">
        <v>212</v>
      </c>
      <c r="D367" s="41">
        <v>21353</v>
      </c>
      <c r="E367" s="325">
        <v>1079515</v>
      </c>
      <c r="F367" s="325">
        <f ca="1">YEAR(TODAY())-YEAR(D367)</f>
        <v>68</v>
      </c>
      <c r="G367" s="325" t="s">
        <v>1654</v>
      </c>
      <c r="H367" s="326"/>
      <c r="I367" s="8"/>
      <c r="J367" s="326"/>
      <c r="K367" s="326"/>
      <c r="L367" s="8"/>
      <c r="M367" s="8"/>
      <c r="N367" s="8"/>
      <c r="O367" s="8"/>
      <c r="P367" s="104"/>
      <c r="Q367" s="5"/>
      <c r="R367" s="8"/>
    </row>
    <row r="368" spans="1:18" s="185" customFormat="1" x14ac:dyDescent="0.3">
      <c r="A368" s="390" t="s">
        <v>1452</v>
      </c>
      <c r="B368" s="119">
        <v>45038</v>
      </c>
      <c r="C368" s="36" t="s">
        <v>702</v>
      </c>
      <c r="D368" s="37">
        <v>29937</v>
      </c>
      <c r="E368" s="36">
        <v>1469416</v>
      </c>
      <c r="F368" s="36">
        <f t="shared" ref="F368" ca="1" si="34">YEAR(TODAY())-YEAR(D368)</f>
        <v>45</v>
      </c>
      <c r="G368" s="36"/>
      <c r="H368" s="36"/>
      <c r="I368" s="35" t="s">
        <v>1453</v>
      </c>
      <c r="J368" s="36"/>
      <c r="K368" s="36"/>
      <c r="L368" s="8"/>
      <c r="M368" s="8"/>
      <c r="N368" s="8"/>
      <c r="O368" s="8"/>
      <c r="P368" s="104"/>
      <c r="Q368" s="5"/>
      <c r="R368" s="8"/>
    </row>
    <row r="369" spans="1:18" s="185" customFormat="1" x14ac:dyDescent="0.3">
      <c r="A369" s="413"/>
      <c r="B369" s="120"/>
      <c r="C369" s="36" t="s">
        <v>701</v>
      </c>
      <c r="D369" s="37">
        <v>30622</v>
      </c>
      <c r="E369" s="36">
        <v>2542815</v>
      </c>
      <c r="F369" s="36">
        <f t="shared" ca="1" si="33"/>
        <v>43</v>
      </c>
      <c r="G369" s="36"/>
      <c r="H369" s="36"/>
      <c r="I369" s="35"/>
      <c r="J369" s="36"/>
      <c r="K369" s="36"/>
      <c r="L369" s="8"/>
      <c r="M369" s="8"/>
      <c r="N369" s="8"/>
      <c r="O369" s="8"/>
      <c r="P369" s="104"/>
      <c r="Q369" s="5"/>
      <c r="R369" s="8"/>
    </row>
    <row r="370" spans="1:18" x14ac:dyDescent="0.3">
      <c r="A370" s="381" t="s">
        <v>1454</v>
      </c>
      <c r="B370" s="115">
        <v>44674</v>
      </c>
      <c r="C370" s="1" t="s">
        <v>141</v>
      </c>
      <c r="D370" s="2">
        <v>29984</v>
      </c>
      <c r="E370" s="1">
        <v>1661014</v>
      </c>
      <c r="F370" s="1">
        <f t="shared" ca="1" si="33"/>
        <v>44</v>
      </c>
      <c r="G370" s="1" t="s">
        <v>1455</v>
      </c>
      <c r="H370" s="1"/>
      <c r="I370" s="8" t="s">
        <v>1456</v>
      </c>
      <c r="J370" s="1"/>
      <c r="K370" s="1"/>
      <c r="L370" s="8"/>
      <c r="M370" s="8"/>
      <c r="N370" s="8"/>
      <c r="O370" s="8"/>
      <c r="P370" s="104"/>
      <c r="Q370" s="5"/>
      <c r="R370" s="8"/>
    </row>
    <row r="371" spans="1:18" x14ac:dyDescent="0.3">
      <c r="A371" s="434"/>
      <c r="B371" s="109"/>
      <c r="C371" s="1" t="s">
        <v>142</v>
      </c>
      <c r="D371" s="2">
        <v>32114</v>
      </c>
      <c r="E371" s="1">
        <v>2114731</v>
      </c>
      <c r="F371" s="1">
        <f t="shared" ca="1" si="33"/>
        <v>39</v>
      </c>
      <c r="G371" s="1" t="s">
        <v>1457</v>
      </c>
      <c r="H371" s="1"/>
      <c r="I371" s="8"/>
      <c r="J371" s="1"/>
      <c r="K371" s="1"/>
      <c r="L371" s="8"/>
      <c r="M371" s="8"/>
      <c r="N371" s="8"/>
      <c r="O371" s="8"/>
      <c r="P371" s="104"/>
      <c r="Q371" s="5"/>
      <c r="R371" s="8"/>
    </row>
    <row r="372" spans="1:18" x14ac:dyDescent="0.3">
      <c r="A372" s="414" t="s">
        <v>1458</v>
      </c>
      <c r="B372" s="112">
        <v>44309</v>
      </c>
      <c r="C372" s="30" t="s">
        <v>143</v>
      </c>
      <c r="D372" s="31">
        <v>30569</v>
      </c>
      <c r="E372" s="30">
        <v>1467316</v>
      </c>
      <c r="F372" s="30">
        <f t="shared" ca="1" si="33"/>
        <v>43</v>
      </c>
      <c r="G372" s="30" t="s">
        <v>1459</v>
      </c>
      <c r="H372" s="30"/>
      <c r="I372" s="29" t="s">
        <v>1460</v>
      </c>
      <c r="J372" s="30"/>
      <c r="K372" s="30"/>
      <c r="L372" s="8"/>
      <c r="M372" s="8"/>
      <c r="N372" s="8"/>
      <c r="O372" s="8"/>
      <c r="P372" s="104"/>
      <c r="Q372" s="5"/>
      <c r="R372" s="8"/>
    </row>
    <row r="373" spans="1:18" x14ac:dyDescent="0.3">
      <c r="A373" s="414"/>
      <c r="B373" s="113"/>
      <c r="C373" s="30" t="s">
        <v>144</v>
      </c>
      <c r="D373" s="31">
        <v>31392</v>
      </c>
      <c r="E373" s="30">
        <v>2169314</v>
      </c>
      <c r="F373" s="30">
        <f t="shared" ca="1" si="33"/>
        <v>41</v>
      </c>
      <c r="G373" s="30" t="s">
        <v>1461</v>
      </c>
      <c r="H373" s="30"/>
      <c r="I373" s="29"/>
      <c r="J373" s="30"/>
      <c r="K373" s="30"/>
      <c r="L373" s="8"/>
      <c r="M373" s="8"/>
      <c r="N373" s="8"/>
      <c r="O373" s="8"/>
      <c r="P373" s="104"/>
      <c r="Q373" s="5"/>
      <c r="R373" s="8"/>
    </row>
    <row r="374" spans="1:18" x14ac:dyDescent="0.3">
      <c r="A374" s="414"/>
      <c r="B374" s="113"/>
      <c r="C374" s="30" t="s">
        <v>145</v>
      </c>
      <c r="D374" s="31">
        <v>40842</v>
      </c>
      <c r="E374" s="30">
        <v>4171315</v>
      </c>
      <c r="F374" s="30">
        <f t="shared" ca="1" si="33"/>
        <v>15</v>
      </c>
      <c r="G374" s="30"/>
      <c r="H374" s="30"/>
      <c r="I374" s="29"/>
      <c r="J374" s="30"/>
      <c r="K374" s="30"/>
      <c r="L374" s="8"/>
      <c r="M374" s="8"/>
      <c r="N374" s="8"/>
      <c r="O374" s="8"/>
      <c r="P374" s="104"/>
      <c r="Q374" s="5"/>
      <c r="R374" s="8"/>
    </row>
    <row r="375" spans="1:18" x14ac:dyDescent="0.3">
      <c r="A375" s="414"/>
      <c r="B375" s="113"/>
      <c r="C375" s="30" t="s">
        <v>146</v>
      </c>
      <c r="D375" s="31">
        <v>41263</v>
      </c>
      <c r="E375" s="30">
        <v>4412219</v>
      </c>
      <c r="F375" s="30">
        <f t="shared" ca="1" si="33"/>
        <v>14</v>
      </c>
      <c r="G375" s="30"/>
      <c r="H375" s="30"/>
      <c r="I375" s="29"/>
      <c r="J375" s="30"/>
      <c r="K375" s="30"/>
      <c r="L375" s="8"/>
      <c r="M375" s="8"/>
      <c r="N375" s="8"/>
      <c r="O375" s="8"/>
      <c r="P375" s="104"/>
      <c r="Q375" s="5"/>
      <c r="R375" s="8"/>
    </row>
    <row r="376" spans="1:18" x14ac:dyDescent="0.3">
      <c r="A376" s="414"/>
      <c r="B376" s="113"/>
      <c r="C376" s="30" t="s">
        <v>147</v>
      </c>
      <c r="D376" s="31">
        <v>42787</v>
      </c>
      <c r="E376" s="30">
        <v>3412615</v>
      </c>
      <c r="F376" s="30">
        <f t="shared" ca="1" si="33"/>
        <v>9</v>
      </c>
      <c r="G376" s="30"/>
      <c r="H376" s="30"/>
      <c r="I376" s="29"/>
      <c r="J376" s="30"/>
      <c r="K376" s="30"/>
      <c r="L376" s="8"/>
      <c r="M376" s="8"/>
      <c r="N376" s="8"/>
      <c r="O376" s="8"/>
      <c r="P376" s="104"/>
      <c r="Q376" s="5"/>
      <c r="R376" s="8"/>
    </row>
    <row r="377" spans="1:18" x14ac:dyDescent="0.3">
      <c r="A377" s="182" t="s">
        <v>1462</v>
      </c>
      <c r="B377" s="115">
        <v>45040</v>
      </c>
      <c r="C377" s="1" t="s">
        <v>1463</v>
      </c>
      <c r="D377" s="2">
        <v>19519</v>
      </c>
      <c r="E377" s="1">
        <v>2476018</v>
      </c>
      <c r="F377" s="1">
        <f t="shared" ca="1" si="33"/>
        <v>73</v>
      </c>
      <c r="G377" s="1" t="s">
        <v>1464</v>
      </c>
      <c r="H377" s="1"/>
      <c r="I377" s="8" t="s">
        <v>1465</v>
      </c>
      <c r="J377" s="1"/>
      <c r="K377" s="1"/>
      <c r="L377" s="8"/>
      <c r="M377" s="8"/>
      <c r="N377" s="8"/>
      <c r="O377" s="8"/>
      <c r="P377" s="104"/>
      <c r="Q377" s="5"/>
      <c r="R377" s="8"/>
    </row>
    <row r="378" spans="1:18" x14ac:dyDescent="0.3">
      <c r="A378" s="187" t="s">
        <v>1378</v>
      </c>
      <c r="B378" s="118">
        <v>45041</v>
      </c>
      <c r="C378" s="40" t="s">
        <v>1386</v>
      </c>
      <c r="D378" s="41">
        <v>32186</v>
      </c>
      <c r="E378" s="40">
        <v>1010615</v>
      </c>
      <c r="F378" s="40">
        <f t="shared" ca="1" si="33"/>
        <v>38</v>
      </c>
      <c r="G378" s="40"/>
      <c r="H378" s="40"/>
      <c r="I378" s="39" t="s">
        <v>1466</v>
      </c>
      <c r="J378" s="40"/>
      <c r="K378" s="40"/>
      <c r="L378" s="8"/>
      <c r="M378" s="8"/>
      <c r="N378" s="8"/>
      <c r="O378" s="8"/>
      <c r="P378" s="104"/>
      <c r="Q378" s="5"/>
      <c r="R378" s="8"/>
    </row>
    <row r="379" spans="1:18" s="185" customFormat="1" x14ac:dyDescent="0.3">
      <c r="A379" s="198" t="s">
        <v>1323</v>
      </c>
      <c r="B379" s="119">
        <v>45042</v>
      </c>
      <c r="C379" s="36" t="s">
        <v>709</v>
      </c>
      <c r="D379" s="37">
        <v>19262</v>
      </c>
      <c r="E379" s="36">
        <v>1462513</v>
      </c>
      <c r="F379" s="36">
        <f t="shared" ca="1" si="33"/>
        <v>74</v>
      </c>
      <c r="G379" s="36"/>
      <c r="H379" s="36"/>
      <c r="I379" s="35" t="s">
        <v>1467</v>
      </c>
      <c r="J379" s="36"/>
      <c r="K379" s="36"/>
      <c r="L379" s="8"/>
      <c r="M379" s="8"/>
      <c r="N379" s="8"/>
      <c r="O379" s="8"/>
      <c r="P379" s="104"/>
      <c r="Q379" s="5"/>
      <c r="R379" s="8"/>
    </row>
    <row r="380" spans="1:18" s="193" customFormat="1" x14ac:dyDescent="0.3">
      <c r="A380" s="190" t="s">
        <v>1468</v>
      </c>
      <c r="B380" s="110">
        <v>45043</v>
      </c>
      <c r="C380" s="33" t="s">
        <v>586</v>
      </c>
      <c r="D380" s="34">
        <v>32492</v>
      </c>
      <c r="E380" s="33">
        <v>2634436</v>
      </c>
      <c r="F380" s="33">
        <f t="shared" ca="1" si="33"/>
        <v>38</v>
      </c>
      <c r="G380" s="33" t="s">
        <v>1469</v>
      </c>
      <c r="H380" s="33"/>
      <c r="I380" s="32" t="s">
        <v>1470</v>
      </c>
      <c r="J380" s="33"/>
      <c r="K380" s="33"/>
      <c r="L380" s="8"/>
      <c r="M380" s="8"/>
      <c r="N380" s="8"/>
      <c r="O380" s="8"/>
      <c r="P380" s="104"/>
      <c r="Q380" s="5"/>
      <c r="R380" s="8"/>
    </row>
    <row r="381" spans="1:18" s="185" customFormat="1" x14ac:dyDescent="0.3">
      <c r="A381" s="198" t="s">
        <v>1471</v>
      </c>
      <c r="B381" s="119">
        <v>45043</v>
      </c>
      <c r="C381" s="36" t="s">
        <v>1472</v>
      </c>
      <c r="D381" s="37">
        <v>20092</v>
      </c>
      <c r="E381" s="36">
        <v>1478613</v>
      </c>
      <c r="F381" s="36">
        <f t="shared" ca="1" si="33"/>
        <v>71</v>
      </c>
      <c r="G381" s="36" t="s">
        <v>1473</v>
      </c>
      <c r="H381" s="36"/>
      <c r="I381" s="35" t="s">
        <v>1474</v>
      </c>
      <c r="J381" s="36"/>
      <c r="K381" s="36"/>
      <c r="L381" s="8"/>
      <c r="M381" s="8"/>
      <c r="N381" s="8"/>
      <c r="O381" s="8"/>
      <c r="P381" s="104"/>
      <c r="Q381" s="5"/>
      <c r="R381" s="8"/>
    </row>
    <row r="382" spans="1:18" x14ac:dyDescent="0.3">
      <c r="A382" s="182" t="s">
        <v>1475</v>
      </c>
      <c r="B382" s="115">
        <v>45043</v>
      </c>
      <c r="C382" s="1" t="s">
        <v>1476</v>
      </c>
      <c r="D382" s="2">
        <v>32563</v>
      </c>
      <c r="E382" s="1">
        <v>2383116</v>
      </c>
      <c r="F382" s="1">
        <f t="shared" ca="1" si="33"/>
        <v>37</v>
      </c>
      <c r="G382" s="1" t="s">
        <v>1477</v>
      </c>
      <c r="H382" s="1"/>
      <c r="I382" s="8" t="s">
        <v>1478</v>
      </c>
      <c r="J382" s="1"/>
      <c r="K382" s="1"/>
      <c r="L382" s="8"/>
      <c r="M382" s="8"/>
      <c r="N382" s="8"/>
      <c r="O382" s="8"/>
      <c r="P382" s="104"/>
      <c r="Q382" s="5"/>
      <c r="R382" s="8"/>
    </row>
    <row r="383" spans="1:18" s="8" customFormat="1" x14ac:dyDescent="0.3">
      <c r="A383" s="378" t="s">
        <v>1479</v>
      </c>
      <c r="B383" s="273"/>
      <c r="C383" s="1" t="s">
        <v>1480</v>
      </c>
      <c r="D383" s="2">
        <v>18960</v>
      </c>
      <c r="E383" s="1">
        <v>2411611</v>
      </c>
      <c r="G383" s="8" t="s">
        <v>1481</v>
      </c>
      <c r="J383" s="1"/>
      <c r="K383" s="1"/>
      <c r="L383" s="8" t="s">
        <v>1482</v>
      </c>
      <c r="P383" s="9"/>
      <c r="Q383" s="3"/>
    </row>
    <row r="384" spans="1:18" s="8" customFormat="1" x14ac:dyDescent="0.3">
      <c r="A384" s="384"/>
      <c r="B384" s="273" t="s">
        <v>1483</v>
      </c>
      <c r="C384" s="1" t="s">
        <v>1484</v>
      </c>
      <c r="D384" s="2">
        <v>28765</v>
      </c>
      <c r="E384" s="1">
        <v>1468418</v>
      </c>
      <c r="G384" s="8" t="s">
        <v>1485</v>
      </c>
      <c r="J384" s="1"/>
      <c r="K384" s="1"/>
      <c r="P384" s="9"/>
      <c r="Q384" s="3"/>
    </row>
    <row r="385" spans="1:70" x14ac:dyDescent="0.3">
      <c r="A385" s="379"/>
      <c r="B385" s="278" t="s">
        <v>3483</v>
      </c>
      <c r="C385" s="1" t="s">
        <v>1486</v>
      </c>
      <c r="D385" s="2">
        <v>27595</v>
      </c>
      <c r="E385" s="1">
        <v>1411611</v>
      </c>
      <c r="F385" s="8"/>
      <c r="G385" s="8" t="s">
        <v>1487</v>
      </c>
      <c r="H385" s="8"/>
      <c r="I385" s="8"/>
      <c r="J385" s="1"/>
      <c r="K385" s="1"/>
      <c r="L385" s="8" t="s">
        <v>3482</v>
      </c>
      <c r="M385" s="8"/>
      <c r="N385" s="8"/>
      <c r="O385" s="8"/>
      <c r="P385" s="9"/>
      <c r="Q385" s="3"/>
      <c r="R385" s="8"/>
    </row>
    <row r="386" spans="1:70" x14ac:dyDescent="0.3">
      <c r="A386" s="229" t="s">
        <v>1044</v>
      </c>
      <c r="B386" s="117">
        <v>45044</v>
      </c>
      <c r="C386" s="27" t="s">
        <v>1045</v>
      </c>
      <c r="D386" s="28">
        <v>31497</v>
      </c>
      <c r="E386" s="27">
        <v>2482613</v>
      </c>
      <c r="F386" s="27">
        <f t="shared" ca="1" si="33"/>
        <v>40</v>
      </c>
      <c r="G386" s="27" t="s">
        <v>1046</v>
      </c>
      <c r="H386" s="27"/>
      <c r="I386" s="26" t="s">
        <v>1488</v>
      </c>
      <c r="J386" s="27"/>
      <c r="K386" s="27"/>
      <c r="L386" s="8"/>
      <c r="M386" s="8"/>
      <c r="N386" s="8"/>
      <c r="O386" s="8"/>
      <c r="P386" s="104"/>
      <c r="Q386" s="5"/>
      <c r="R386" s="8"/>
    </row>
    <row r="387" spans="1:70" x14ac:dyDescent="0.3">
      <c r="A387" s="1" t="s">
        <v>1489</v>
      </c>
      <c r="B387" s="168" t="s">
        <v>1490</v>
      </c>
      <c r="C387" s="1" t="s">
        <v>1491</v>
      </c>
      <c r="D387" s="2">
        <v>28112</v>
      </c>
      <c r="E387" s="1">
        <v>1226911</v>
      </c>
      <c r="F387" s="8"/>
      <c r="G387" s="1" t="s">
        <v>1492</v>
      </c>
      <c r="H387" s="8"/>
      <c r="I387" s="8" t="s">
        <v>1175</v>
      </c>
      <c r="J387" s="1"/>
      <c r="K387" s="1"/>
      <c r="L387" s="8" t="s">
        <v>1493</v>
      </c>
      <c r="M387" s="8"/>
      <c r="N387" s="8"/>
      <c r="O387" s="8"/>
      <c r="P387" s="9"/>
      <c r="Q387" s="3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</row>
    <row r="388" spans="1:70" x14ac:dyDescent="0.3">
      <c r="A388" s="182" t="s">
        <v>1494</v>
      </c>
      <c r="B388" s="115">
        <v>45045</v>
      </c>
      <c r="C388" s="1" t="s">
        <v>595</v>
      </c>
      <c r="D388" s="2">
        <v>22157</v>
      </c>
      <c r="E388" s="1">
        <v>2106118</v>
      </c>
      <c r="F388" s="1">
        <f t="shared" ca="1" si="33"/>
        <v>66</v>
      </c>
      <c r="G388" s="1" t="s">
        <v>1495</v>
      </c>
      <c r="H388" s="1"/>
      <c r="I388" s="8" t="s">
        <v>1496</v>
      </c>
      <c r="J388" s="1"/>
      <c r="K388" s="1"/>
      <c r="L388" s="8"/>
      <c r="M388" s="8"/>
      <c r="N388" s="8"/>
      <c r="O388" s="8"/>
      <c r="P388" s="104"/>
      <c r="Q388" s="5"/>
      <c r="R388" s="8"/>
    </row>
    <row r="389" spans="1:70" x14ac:dyDescent="0.3">
      <c r="A389" s="184" t="s">
        <v>1497</v>
      </c>
      <c r="B389" s="117">
        <v>45046</v>
      </c>
      <c r="C389" s="27" t="s">
        <v>1498</v>
      </c>
      <c r="D389" s="28">
        <v>27125</v>
      </c>
      <c r="E389" s="27">
        <v>1475922</v>
      </c>
      <c r="F389" s="27">
        <f t="shared" ca="1" si="33"/>
        <v>52</v>
      </c>
      <c r="G389" s="27" t="s">
        <v>1499</v>
      </c>
      <c r="H389" s="27"/>
      <c r="I389" s="26" t="s">
        <v>1500</v>
      </c>
      <c r="J389" s="27"/>
      <c r="K389" s="27"/>
      <c r="L389" s="8"/>
      <c r="M389" s="8"/>
      <c r="N389" s="8"/>
      <c r="O389" s="8"/>
      <c r="P389" s="104"/>
      <c r="Q389" s="5"/>
      <c r="R389" s="8"/>
    </row>
    <row r="390" spans="1:70" x14ac:dyDescent="0.3">
      <c r="A390" s="183" t="s">
        <v>1323</v>
      </c>
      <c r="B390" s="112">
        <v>45047</v>
      </c>
      <c r="C390" s="30" t="s">
        <v>709</v>
      </c>
      <c r="D390" s="31">
        <v>19262</v>
      </c>
      <c r="E390" s="30">
        <v>1462513</v>
      </c>
      <c r="F390" s="30">
        <f t="shared" ca="1" si="33"/>
        <v>74</v>
      </c>
      <c r="G390" s="30"/>
      <c r="H390" s="30"/>
      <c r="I390" s="29" t="s">
        <v>1501</v>
      </c>
      <c r="J390" s="30"/>
      <c r="K390" s="30"/>
      <c r="L390" s="8"/>
      <c r="M390" s="8"/>
      <c r="N390" s="8"/>
      <c r="O390" s="8"/>
      <c r="P390" s="104"/>
      <c r="Q390" s="5"/>
      <c r="R390" s="8"/>
    </row>
    <row r="391" spans="1:70" x14ac:dyDescent="0.3">
      <c r="A391" s="203" t="s">
        <v>1014</v>
      </c>
      <c r="B391" s="110">
        <v>45048</v>
      </c>
      <c r="C391" s="33" t="s">
        <v>1015</v>
      </c>
      <c r="D391" s="34">
        <v>18733</v>
      </c>
      <c r="E391" s="33">
        <v>2478818</v>
      </c>
      <c r="F391" s="33">
        <f t="shared" ca="1" si="33"/>
        <v>75</v>
      </c>
      <c r="G391" s="33" t="s">
        <v>1016</v>
      </c>
      <c r="H391" s="33"/>
      <c r="I391" s="32" t="s">
        <v>1502</v>
      </c>
      <c r="J391" s="33"/>
      <c r="K391" s="33"/>
      <c r="L391" s="8"/>
      <c r="M391" s="8"/>
      <c r="N391" s="8"/>
      <c r="O391" s="8"/>
      <c r="P391" s="9"/>
      <c r="Q391" s="3"/>
      <c r="R391" s="8"/>
    </row>
    <row r="392" spans="1:70" s="185" customFormat="1" x14ac:dyDescent="0.3">
      <c r="A392" s="394" t="s">
        <v>1503</v>
      </c>
      <c r="B392" s="119">
        <v>45049</v>
      </c>
      <c r="C392" s="36" t="s">
        <v>1504</v>
      </c>
      <c r="D392" s="37">
        <v>24219</v>
      </c>
      <c r="E392" s="36">
        <v>1566812</v>
      </c>
      <c r="F392" s="36">
        <f t="shared" ca="1" si="33"/>
        <v>60</v>
      </c>
      <c r="G392" s="36" t="s">
        <v>1505</v>
      </c>
      <c r="H392" s="36"/>
      <c r="I392" s="35" t="s">
        <v>1506</v>
      </c>
      <c r="J392" s="36"/>
      <c r="K392" s="36"/>
      <c r="L392" s="8"/>
      <c r="M392" s="8"/>
      <c r="N392" s="8"/>
      <c r="O392" s="8"/>
      <c r="P392" s="104"/>
      <c r="Q392" s="5"/>
      <c r="R392" s="8"/>
    </row>
    <row r="393" spans="1:70" s="185" customFormat="1" x14ac:dyDescent="0.3">
      <c r="A393" s="401"/>
      <c r="B393" s="120"/>
      <c r="C393" s="36" t="s">
        <v>1507</v>
      </c>
      <c r="D393" s="37">
        <v>34996</v>
      </c>
      <c r="E393" s="36"/>
      <c r="F393" s="36">
        <f t="shared" ca="1" si="33"/>
        <v>31</v>
      </c>
      <c r="G393" s="36"/>
      <c r="H393" s="36"/>
      <c r="I393" s="35"/>
      <c r="J393" s="36"/>
      <c r="K393" s="36"/>
      <c r="L393" s="8"/>
      <c r="M393" s="8"/>
      <c r="N393" s="8"/>
      <c r="O393" s="8"/>
      <c r="P393" s="104"/>
      <c r="Q393" s="5"/>
      <c r="R393" s="8"/>
    </row>
    <row r="394" spans="1:70" s="185" customFormat="1" x14ac:dyDescent="0.3">
      <c r="A394" s="401"/>
      <c r="B394" s="120"/>
      <c r="C394" s="36" t="s">
        <v>1508</v>
      </c>
      <c r="D394" s="37">
        <v>35435</v>
      </c>
      <c r="E394" s="36"/>
      <c r="F394" s="36">
        <f t="shared" ca="1" si="33"/>
        <v>29</v>
      </c>
      <c r="G394" s="36"/>
      <c r="H394" s="36"/>
      <c r="I394" s="35"/>
      <c r="J394" s="36"/>
      <c r="K394" s="36"/>
      <c r="L394" s="8"/>
      <c r="M394" s="8"/>
      <c r="N394" s="8"/>
      <c r="O394" s="8"/>
      <c r="P394" s="104"/>
      <c r="Q394" s="5"/>
      <c r="R394" s="8"/>
    </row>
    <row r="395" spans="1:70" x14ac:dyDescent="0.3">
      <c r="A395" s="398" t="s">
        <v>777</v>
      </c>
      <c r="B395" s="117">
        <v>44322</v>
      </c>
      <c r="C395" s="27" t="s">
        <v>153</v>
      </c>
      <c r="D395" s="28">
        <v>30284</v>
      </c>
      <c r="E395" s="27">
        <v>2860414</v>
      </c>
      <c r="F395" s="27">
        <f t="shared" ca="1" si="33"/>
        <v>44</v>
      </c>
      <c r="G395" s="27" t="s">
        <v>1509</v>
      </c>
      <c r="H395" s="27"/>
      <c r="I395" s="26" t="s">
        <v>1510</v>
      </c>
      <c r="J395" s="27"/>
      <c r="K395" s="27"/>
      <c r="L395" s="8"/>
      <c r="M395" s="8"/>
      <c r="N395" s="8"/>
      <c r="O395" s="8"/>
      <c r="P395" s="104"/>
      <c r="Q395" s="5"/>
      <c r="R395" s="8"/>
    </row>
    <row r="396" spans="1:70" x14ac:dyDescent="0.3">
      <c r="A396" s="399"/>
      <c r="B396" s="117"/>
      <c r="C396" s="27" t="s">
        <v>30</v>
      </c>
      <c r="D396" s="28">
        <v>28591</v>
      </c>
      <c r="E396" s="27">
        <v>1804712</v>
      </c>
      <c r="F396" s="27">
        <f t="shared" ref="F396:F434" ca="1" si="35">YEAR(TODAY())-YEAR(D396)</f>
        <v>48</v>
      </c>
      <c r="G396" s="27" t="s">
        <v>778</v>
      </c>
      <c r="H396" s="27"/>
      <c r="I396" s="26"/>
      <c r="J396" s="27"/>
      <c r="K396" s="27"/>
      <c r="L396" s="8"/>
      <c r="M396" s="8"/>
      <c r="N396" s="8"/>
      <c r="O396" s="8"/>
      <c r="P396" s="104"/>
      <c r="Q396" s="5"/>
      <c r="R396" s="8"/>
    </row>
    <row r="397" spans="1:70" x14ac:dyDescent="0.3">
      <c r="A397" s="399"/>
      <c r="B397" s="121"/>
      <c r="C397" s="27" t="s">
        <v>155</v>
      </c>
      <c r="D397" s="28">
        <v>40885</v>
      </c>
      <c r="E397" s="27">
        <v>4475917</v>
      </c>
      <c r="F397" s="27">
        <f t="shared" ca="1" si="35"/>
        <v>15</v>
      </c>
      <c r="G397" s="27"/>
      <c r="H397" s="27"/>
      <c r="I397" s="26"/>
      <c r="J397" s="27"/>
      <c r="K397" s="27"/>
      <c r="L397" s="8"/>
      <c r="M397" s="8"/>
      <c r="N397" s="8"/>
      <c r="O397" s="8"/>
      <c r="P397" s="104"/>
      <c r="Q397" s="5"/>
      <c r="R397" s="8"/>
    </row>
    <row r="398" spans="1:70" x14ac:dyDescent="0.3">
      <c r="A398" s="438"/>
      <c r="B398" s="121"/>
      <c r="C398" s="27" t="s">
        <v>156</v>
      </c>
      <c r="D398" s="28">
        <v>41544</v>
      </c>
      <c r="E398" s="27">
        <v>3476037</v>
      </c>
      <c r="F398" s="27">
        <f t="shared" ca="1" si="35"/>
        <v>13</v>
      </c>
      <c r="G398" s="27"/>
      <c r="H398" s="27"/>
      <c r="I398" s="26"/>
      <c r="J398" s="27"/>
      <c r="K398" s="27"/>
      <c r="L398" s="8"/>
      <c r="M398" s="8"/>
      <c r="N398" s="8"/>
      <c r="O398" s="8"/>
      <c r="P398" s="104"/>
      <c r="Q398" s="5"/>
      <c r="R398" s="8"/>
    </row>
    <row r="399" spans="1:70" x14ac:dyDescent="0.3">
      <c r="A399" s="422" t="s">
        <v>1511</v>
      </c>
      <c r="B399" s="115">
        <v>44687</v>
      </c>
      <c r="C399" s="1" t="s">
        <v>157</v>
      </c>
      <c r="D399" s="2">
        <v>24299</v>
      </c>
      <c r="E399" s="1">
        <v>1226417</v>
      </c>
      <c r="F399" s="1">
        <f t="shared" ca="1" si="35"/>
        <v>60</v>
      </c>
      <c r="G399" s="1" t="s">
        <v>1512</v>
      </c>
      <c r="H399" s="1"/>
      <c r="I399" s="8" t="s">
        <v>1513</v>
      </c>
      <c r="J399" s="1"/>
      <c r="K399" s="1"/>
      <c r="L399" s="8"/>
      <c r="M399" s="8"/>
      <c r="N399" s="8"/>
      <c r="O399" s="8"/>
      <c r="P399" s="104"/>
      <c r="Q399" s="5"/>
      <c r="R399" s="8"/>
    </row>
    <row r="400" spans="1:70" x14ac:dyDescent="0.3">
      <c r="A400" s="422"/>
      <c r="B400" s="115"/>
      <c r="C400" s="1" t="s">
        <v>158</v>
      </c>
      <c r="D400" s="2">
        <v>26444</v>
      </c>
      <c r="E400" s="1">
        <v>2475810</v>
      </c>
      <c r="F400" s="1">
        <f t="shared" ca="1" si="35"/>
        <v>54</v>
      </c>
      <c r="G400" s="1" t="s">
        <v>1514</v>
      </c>
      <c r="H400" s="1"/>
      <c r="I400" s="8"/>
      <c r="J400" s="1"/>
      <c r="K400" s="1"/>
      <c r="L400" s="8"/>
      <c r="M400" s="8"/>
      <c r="N400" s="8"/>
      <c r="O400" s="8"/>
      <c r="P400" s="104"/>
      <c r="Q400" s="5"/>
      <c r="R400" s="8"/>
    </row>
    <row r="401" spans="1:18" x14ac:dyDescent="0.3">
      <c r="A401" s="422"/>
      <c r="B401" s="109"/>
      <c r="C401" s="1" t="s">
        <v>159</v>
      </c>
      <c r="D401" s="2">
        <v>36832</v>
      </c>
      <c r="E401" s="1">
        <v>3179819</v>
      </c>
      <c r="F401" s="1">
        <f t="shared" ca="1" si="35"/>
        <v>26</v>
      </c>
      <c r="G401" s="1" t="s">
        <v>1515</v>
      </c>
      <c r="H401" s="1"/>
      <c r="I401" s="8"/>
      <c r="J401" s="1"/>
      <c r="K401" s="1"/>
      <c r="L401" s="8"/>
      <c r="M401" s="8"/>
      <c r="N401" s="8"/>
      <c r="O401" s="8"/>
      <c r="P401" s="104"/>
      <c r="Q401" s="5"/>
      <c r="R401" s="8"/>
    </row>
    <row r="402" spans="1:18" x14ac:dyDescent="0.3">
      <c r="A402" s="422"/>
      <c r="B402" s="109"/>
      <c r="C402" s="1" t="s">
        <v>160</v>
      </c>
      <c r="D402" s="2">
        <v>37434</v>
      </c>
      <c r="E402" s="1">
        <v>3213121</v>
      </c>
      <c r="F402" s="1">
        <f t="shared" ca="1" si="35"/>
        <v>24</v>
      </c>
      <c r="G402" s="1"/>
      <c r="H402" s="1"/>
      <c r="I402" s="8"/>
      <c r="J402" s="1"/>
      <c r="K402" s="1"/>
      <c r="L402" s="8"/>
      <c r="M402" s="8"/>
      <c r="N402" s="8"/>
      <c r="O402" s="8"/>
      <c r="P402" s="104"/>
      <c r="Q402" s="5"/>
      <c r="R402" s="8"/>
    </row>
    <row r="403" spans="1:18" x14ac:dyDescent="0.3">
      <c r="A403" s="408" t="s">
        <v>1516</v>
      </c>
      <c r="B403" s="113"/>
      <c r="C403" s="30" t="s">
        <v>1517</v>
      </c>
      <c r="D403" s="31">
        <v>25877</v>
      </c>
      <c r="E403" s="30">
        <v>1451027</v>
      </c>
      <c r="F403" s="30">
        <f t="shared" ca="1" si="35"/>
        <v>56</v>
      </c>
      <c r="G403" s="30" t="s">
        <v>1518</v>
      </c>
      <c r="H403" s="30"/>
      <c r="I403" s="29"/>
      <c r="J403" s="30"/>
      <c r="K403" s="30"/>
      <c r="L403" s="8"/>
      <c r="M403" s="8"/>
      <c r="N403" s="8"/>
      <c r="O403" s="8"/>
      <c r="P403" s="9"/>
      <c r="Q403" s="3"/>
      <c r="R403" s="8"/>
    </row>
    <row r="404" spans="1:18" x14ac:dyDescent="0.3">
      <c r="A404" s="409"/>
      <c r="B404" s="112">
        <v>45052</v>
      </c>
      <c r="C404" s="30" t="s">
        <v>1519</v>
      </c>
      <c r="D404" s="31">
        <v>27779</v>
      </c>
      <c r="E404" s="30">
        <v>2451028</v>
      </c>
      <c r="F404" s="30">
        <f t="shared" ca="1" si="35"/>
        <v>50</v>
      </c>
      <c r="G404" s="30" t="s">
        <v>1520</v>
      </c>
      <c r="H404" s="30"/>
      <c r="I404" s="29" t="s">
        <v>1521</v>
      </c>
      <c r="J404" s="30"/>
      <c r="K404" s="30"/>
      <c r="L404" s="8"/>
      <c r="M404" s="8"/>
      <c r="N404" s="8"/>
      <c r="O404" s="8"/>
      <c r="P404" s="9"/>
      <c r="Q404" s="3"/>
      <c r="R404" s="8"/>
    </row>
    <row r="405" spans="1:18" x14ac:dyDescent="0.3">
      <c r="A405" s="409"/>
      <c r="B405" s="113"/>
      <c r="C405" s="30" t="s">
        <v>1522</v>
      </c>
      <c r="D405" s="31">
        <v>37916</v>
      </c>
      <c r="E405" s="30">
        <v>4411911</v>
      </c>
      <c r="F405" s="30">
        <f t="shared" ca="1" si="35"/>
        <v>23</v>
      </c>
      <c r="G405" s="30" t="s">
        <v>1523</v>
      </c>
      <c r="H405" s="30"/>
      <c r="I405" s="29"/>
      <c r="J405" s="30"/>
      <c r="K405" s="30"/>
      <c r="L405" s="8"/>
      <c r="M405" s="8"/>
      <c r="N405" s="8"/>
      <c r="O405" s="8"/>
      <c r="P405" s="9"/>
      <c r="Q405" s="3"/>
      <c r="R405" s="8"/>
    </row>
    <row r="406" spans="1:18" x14ac:dyDescent="0.3">
      <c r="A406" s="409"/>
      <c r="B406" s="113"/>
      <c r="C406" s="30" t="s">
        <v>1524</v>
      </c>
      <c r="D406" s="31">
        <v>38670</v>
      </c>
      <c r="E406" s="30">
        <v>3411911</v>
      </c>
      <c r="F406" s="30">
        <f t="shared" ca="1" si="35"/>
        <v>21</v>
      </c>
      <c r="G406" s="30"/>
      <c r="H406" s="30"/>
      <c r="I406" s="29"/>
      <c r="J406" s="30"/>
      <c r="K406" s="30"/>
      <c r="L406" s="8"/>
      <c r="M406" s="8"/>
      <c r="N406" s="8"/>
      <c r="O406" s="8"/>
      <c r="P406" s="9"/>
      <c r="Q406" s="3"/>
      <c r="R406" s="8"/>
    </row>
    <row r="407" spans="1:18" x14ac:dyDescent="0.3">
      <c r="A407" s="410"/>
      <c r="B407" s="113"/>
      <c r="C407" s="30" t="s">
        <v>1525</v>
      </c>
      <c r="D407" s="31">
        <v>39461</v>
      </c>
      <c r="E407" s="30">
        <v>4475923</v>
      </c>
      <c r="F407" s="30">
        <f t="shared" ca="1" si="35"/>
        <v>18</v>
      </c>
      <c r="G407" s="30"/>
      <c r="H407" s="30"/>
      <c r="I407" s="29"/>
      <c r="J407" s="30"/>
      <c r="K407" s="30"/>
      <c r="L407" s="8"/>
      <c r="M407" s="8"/>
      <c r="N407" s="8"/>
      <c r="O407" s="8"/>
      <c r="P407" s="9"/>
      <c r="Q407" s="3"/>
      <c r="R407" s="8"/>
    </row>
    <row r="408" spans="1:18" x14ac:dyDescent="0.3">
      <c r="A408" s="184" t="s">
        <v>1526</v>
      </c>
      <c r="B408" s="117">
        <v>45054</v>
      </c>
      <c r="C408" s="27" t="s">
        <v>582</v>
      </c>
      <c r="D408" s="28">
        <v>20819</v>
      </c>
      <c r="E408" s="27">
        <v>2655816</v>
      </c>
      <c r="F408" s="27">
        <f t="shared" ca="1" si="35"/>
        <v>70</v>
      </c>
      <c r="G408" s="27" t="s">
        <v>1527</v>
      </c>
      <c r="H408" s="27"/>
      <c r="I408" s="26" t="s">
        <v>1528</v>
      </c>
      <c r="J408" s="27"/>
      <c r="K408" s="27"/>
      <c r="L408" s="8"/>
      <c r="M408" s="8"/>
      <c r="N408" s="8"/>
      <c r="O408" s="8"/>
      <c r="P408" s="104"/>
      <c r="Q408" s="5"/>
      <c r="R408" s="8"/>
    </row>
    <row r="409" spans="1:18" x14ac:dyDescent="0.3">
      <c r="A409" s="202"/>
      <c r="B409" s="117"/>
      <c r="C409" s="27" t="s">
        <v>1529</v>
      </c>
      <c r="D409" s="28">
        <v>20612</v>
      </c>
      <c r="E409" s="27">
        <v>1558913</v>
      </c>
      <c r="F409" s="27">
        <f t="shared" ca="1" si="35"/>
        <v>70</v>
      </c>
      <c r="G409" s="27" t="s">
        <v>1530</v>
      </c>
      <c r="H409" s="27"/>
      <c r="I409" s="26"/>
      <c r="J409" s="27"/>
      <c r="K409" s="27"/>
      <c r="L409" s="8"/>
      <c r="M409" s="8"/>
      <c r="N409" s="8"/>
      <c r="O409" s="8"/>
      <c r="P409" s="104"/>
      <c r="Q409" s="5"/>
      <c r="R409" s="8"/>
    </row>
    <row r="410" spans="1:18" x14ac:dyDescent="0.3">
      <c r="A410" s="202"/>
      <c r="B410" s="117"/>
      <c r="C410" s="27" t="s">
        <v>1224</v>
      </c>
      <c r="D410" s="28">
        <v>17997</v>
      </c>
      <c r="E410" s="27">
        <v>2663219</v>
      </c>
      <c r="F410" s="27">
        <f t="shared" ca="1" si="35"/>
        <v>77</v>
      </c>
      <c r="G410" s="27" t="s">
        <v>1225</v>
      </c>
      <c r="H410" s="27"/>
      <c r="I410" s="26"/>
      <c r="J410" s="27"/>
      <c r="K410" s="27"/>
      <c r="L410" s="8"/>
      <c r="M410" s="8"/>
      <c r="N410" s="8"/>
      <c r="O410" s="8"/>
      <c r="P410" s="104"/>
      <c r="Q410" s="5"/>
      <c r="R410" s="8"/>
    </row>
    <row r="411" spans="1:18" x14ac:dyDescent="0.3">
      <c r="A411" s="202"/>
      <c r="B411" s="117"/>
      <c r="C411" s="27" t="s">
        <v>1226</v>
      </c>
      <c r="D411" s="28">
        <v>19161</v>
      </c>
      <c r="E411" s="27">
        <v>2642126</v>
      </c>
      <c r="F411" s="27">
        <f t="shared" ca="1" si="35"/>
        <v>74</v>
      </c>
      <c r="G411" s="27" t="s">
        <v>1227</v>
      </c>
      <c r="H411" s="27"/>
      <c r="I411" s="26"/>
      <c r="J411" s="27"/>
      <c r="K411" s="27"/>
      <c r="L411" s="8"/>
      <c r="M411" s="8"/>
      <c r="N411" s="8"/>
      <c r="O411" s="8"/>
      <c r="P411" s="104"/>
      <c r="Q411" s="5"/>
      <c r="R411" s="8"/>
    </row>
    <row r="412" spans="1:18" x14ac:dyDescent="0.3">
      <c r="A412" s="455" t="s">
        <v>1531</v>
      </c>
      <c r="B412" s="122">
        <v>45054</v>
      </c>
      <c r="C412" s="18" t="s">
        <v>1532</v>
      </c>
      <c r="D412" s="19">
        <v>28182</v>
      </c>
      <c r="E412" s="18">
        <v>2017416</v>
      </c>
      <c r="F412" s="18">
        <f t="shared" ca="1" si="35"/>
        <v>49</v>
      </c>
      <c r="G412" s="18" t="s">
        <v>1533</v>
      </c>
      <c r="H412" s="18"/>
      <c r="I412" s="17" t="s">
        <v>1534</v>
      </c>
      <c r="J412" s="18"/>
      <c r="K412" s="18"/>
      <c r="L412" s="8"/>
      <c r="M412" s="8"/>
      <c r="N412" s="8"/>
      <c r="O412" s="8"/>
      <c r="P412" s="104"/>
      <c r="Q412" s="5"/>
      <c r="R412" s="8"/>
    </row>
    <row r="413" spans="1:18" x14ac:dyDescent="0.3">
      <c r="A413" s="469"/>
      <c r="B413" s="123"/>
      <c r="C413" s="18" t="s">
        <v>1535</v>
      </c>
      <c r="D413" s="19">
        <v>26683</v>
      </c>
      <c r="E413" s="18">
        <v>1249215</v>
      </c>
      <c r="F413" s="18">
        <f t="shared" ca="1" si="35"/>
        <v>53</v>
      </c>
      <c r="G413" s="18"/>
      <c r="H413" s="18"/>
      <c r="I413" s="17"/>
      <c r="J413" s="18"/>
      <c r="K413" s="18"/>
      <c r="L413" s="8"/>
      <c r="M413" s="8"/>
      <c r="N413" s="8"/>
      <c r="O413" s="8"/>
      <c r="P413" s="104"/>
      <c r="Q413" s="5"/>
      <c r="R413" s="8"/>
    </row>
    <row r="414" spans="1:18" x14ac:dyDescent="0.3">
      <c r="A414" s="469"/>
      <c r="B414" s="123"/>
      <c r="C414" s="18" t="s">
        <v>1536</v>
      </c>
      <c r="D414" s="19">
        <v>38824</v>
      </c>
      <c r="E414" s="18">
        <v>3321019</v>
      </c>
      <c r="F414" s="18">
        <f t="shared" ca="1" si="35"/>
        <v>20</v>
      </c>
      <c r="G414" s="18"/>
      <c r="H414" s="18"/>
      <c r="I414" s="17"/>
      <c r="J414" s="18"/>
      <c r="K414" s="18"/>
      <c r="L414" s="8"/>
      <c r="M414" s="8"/>
      <c r="N414" s="8"/>
      <c r="O414" s="8"/>
      <c r="P414" s="104"/>
      <c r="Q414" s="5"/>
      <c r="R414" s="8"/>
    </row>
    <row r="415" spans="1:18" x14ac:dyDescent="0.3">
      <c r="A415" s="469"/>
      <c r="B415" s="123"/>
      <c r="C415" s="18" t="s">
        <v>1537</v>
      </c>
      <c r="D415" s="19">
        <v>39482</v>
      </c>
      <c r="E415" s="18">
        <v>3024718</v>
      </c>
      <c r="F415" s="18">
        <f t="shared" ca="1" si="35"/>
        <v>18</v>
      </c>
      <c r="G415" s="18"/>
      <c r="H415" s="18"/>
      <c r="I415" s="17"/>
      <c r="J415" s="18"/>
      <c r="K415" s="18"/>
      <c r="L415" s="8"/>
      <c r="M415" s="8"/>
      <c r="N415" s="8"/>
      <c r="O415" s="8"/>
      <c r="P415" s="104"/>
      <c r="Q415" s="5"/>
      <c r="R415" s="8"/>
    </row>
    <row r="416" spans="1:18" x14ac:dyDescent="0.3">
      <c r="A416" s="470"/>
      <c r="B416" s="123"/>
      <c r="C416" s="18" t="s">
        <v>1538</v>
      </c>
      <c r="D416" s="19">
        <v>41529</v>
      </c>
      <c r="E416" s="18">
        <v>4412616</v>
      </c>
      <c r="F416" s="18">
        <f t="shared" ca="1" si="35"/>
        <v>13</v>
      </c>
      <c r="G416" s="18"/>
      <c r="H416" s="18"/>
      <c r="I416" s="17"/>
      <c r="J416" s="18"/>
      <c r="K416" s="18"/>
      <c r="L416" s="8"/>
      <c r="M416" s="8"/>
      <c r="N416" s="8"/>
      <c r="O416" s="8"/>
      <c r="P416" s="104"/>
      <c r="Q416" s="5"/>
      <c r="R416" s="8"/>
    </row>
    <row r="417" spans="1:18" x14ac:dyDescent="0.3">
      <c r="A417" s="200" t="s">
        <v>1539</v>
      </c>
      <c r="B417" s="112">
        <v>45054</v>
      </c>
      <c r="C417" s="30" t="s">
        <v>106</v>
      </c>
      <c r="D417" s="31">
        <v>30625</v>
      </c>
      <c r="E417" s="30">
        <v>1852518</v>
      </c>
      <c r="F417" s="30">
        <f t="shared" ca="1" si="35"/>
        <v>43</v>
      </c>
      <c r="G417" s="30" t="s">
        <v>1351</v>
      </c>
      <c r="H417" s="30"/>
      <c r="I417" s="29" t="s">
        <v>1540</v>
      </c>
      <c r="J417" s="30"/>
      <c r="K417" s="30"/>
      <c r="L417" s="8"/>
      <c r="M417" s="8" t="s">
        <v>196</v>
      </c>
      <c r="N417" s="8"/>
      <c r="O417" s="8"/>
      <c r="P417" s="104"/>
      <c r="Q417" s="5"/>
      <c r="R417" s="8"/>
    </row>
    <row r="418" spans="1:18" x14ac:dyDescent="0.3">
      <c r="A418" s="182" t="s">
        <v>1541</v>
      </c>
      <c r="B418" s="115">
        <v>45055</v>
      </c>
      <c r="C418" s="1" t="s">
        <v>1542</v>
      </c>
      <c r="D418" s="2">
        <v>29438</v>
      </c>
      <c r="E418" s="1">
        <v>1454632</v>
      </c>
      <c r="F418" s="1">
        <f t="shared" ca="1" si="35"/>
        <v>46</v>
      </c>
      <c r="G418" s="1" t="s">
        <v>1543</v>
      </c>
      <c r="H418" s="1"/>
      <c r="I418" s="8" t="s">
        <v>1544</v>
      </c>
      <c r="J418" s="1"/>
      <c r="K418" s="1"/>
      <c r="L418" s="8"/>
      <c r="M418" s="8"/>
      <c r="N418" s="8"/>
      <c r="O418" s="8"/>
      <c r="P418" s="104"/>
      <c r="Q418" s="5"/>
      <c r="R418" s="8"/>
    </row>
    <row r="419" spans="1:18" x14ac:dyDescent="0.3">
      <c r="A419" s="187" t="s">
        <v>1545</v>
      </c>
      <c r="B419" s="118">
        <v>45055</v>
      </c>
      <c r="C419" s="40" t="s">
        <v>578</v>
      </c>
      <c r="D419" s="41">
        <v>27131</v>
      </c>
      <c r="E419" s="40">
        <v>1405813</v>
      </c>
      <c r="F419" s="40">
        <f t="shared" ca="1" si="35"/>
        <v>52</v>
      </c>
      <c r="G419" s="40" t="s">
        <v>1546</v>
      </c>
      <c r="H419" s="40"/>
      <c r="I419" s="39" t="s">
        <v>1547</v>
      </c>
      <c r="J419" s="40"/>
      <c r="K419" s="40"/>
      <c r="L419" s="8"/>
      <c r="M419" s="8"/>
      <c r="N419" s="8"/>
      <c r="O419" s="8"/>
      <c r="P419" s="104"/>
      <c r="Q419" s="5"/>
      <c r="R419" s="8"/>
    </row>
    <row r="420" spans="1:18" x14ac:dyDescent="0.3">
      <c r="A420" s="230" t="s">
        <v>1031</v>
      </c>
      <c r="B420" s="118">
        <v>45055</v>
      </c>
      <c r="C420" s="40" t="s">
        <v>1032</v>
      </c>
      <c r="D420" s="41">
        <v>28079</v>
      </c>
      <c r="E420" s="40">
        <v>1475912</v>
      </c>
      <c r="F420" s="40">
        <f t="shared" ca="1" si="35"/>
        <v>50</v>
      </c>
      <c r="G420" s="40"/>
      <c r="H420" s="40"/>
      <c r="I420" s="39" t="s">
        <v>1548</v>
      </c>
      <c r="J420" s="40"/>
      <c r="K420" s="40"/>
      <c r="L420" s="8"/>
      <c r="M420" s="8"/>
      <c r="N420" s="8"/>
      <c r="O420" s="8"/>
      <c r="P420" s="104"/>
      <c r="Q420" s="5"/>
      <c r="R420" s="8"/>
    </row>
    <row r="421" spans="1:18" s="212" customFormat="1" x14ac:dyDescent="0.3">
      <c r="A421" s="400" t="s">
        <v>1549</v>
      </c>
      <c r="B421" s="122">
        <v>45055</v>
      </c>
      <c r="C421" s="18" t="s">
        <v>558</v>
      </c>
      <c r="D421" s="19">
        <v>31542</v>
      </c>
      <c r="E421" s="18">
        <v>1247316</v>
      </c>
      <c r="F421" s="18">
        <f t="shared" ca="1" si="35"/>
        <v>40</v>
      </c>
      <c r="G421" s="18" t="s">
        <v>1550</v>
      </c>
      <c r="H421" s="18"/>
      <c r="I421" s="17" t="s">
        <v>1551</v>
      </c>
      <c r="J421" s="18"/>
      <c r="K421" s="18"/>
      <c r="L421" s="8"/>
      <c r="M421" s="8"/>
      <c r="N421" s="8"/>
      <c r="O421" s="8"/>
      <c r="P421" s="104"/>
      <c r="Q421" s="5"/>
      <c r="R421" s="8"/>
    </row>
    <row r="422" spans="1:18" s="212" customFormat="1" x14ac:dyDescent="0.3">
      <c r="A422" s="468"/>
      <c r="B422" s="123"/>
      <c r="C422" s="18" t="s">
        <v>559</v>
      </c>
      <c r="D422" s="19">
        <v>33693</v>
      </c>
      <c r="E422" s="18">
        <v>2906116</v>
      </c>
      <c r="F422" s="18">
        <f t="shared" ca="1" si="35"/>
        <v>34</v>
      </c>
      <c r="G422" s="18" t="s">
        <v>1552</v>
      </c>
      <c r="H422" s="18"/>
      <c r="I422" s="17"/>
      <c r="J422" s="18"/>
      <c r="K422" s="18"/>
      <c r="L422" s="8"/>
      <c r="M422" s="8"/>
      <c r="N422" s="8"/>
      <c r="O422" s="8"/>
      <c r="P422" s="104"/>
      <c r="Q422" s="5"/>
      <c r="R422" s="8"/>
    </row>
    <row r="423" spans="1:18" s="212" customFormat="1" x14ac:dyDescent="0.3">
      <c r="A423" s="468"/>
      <c r="B423" s="123"/>
      <c r="C423" s="18" t="s">
        <v>560</v>
      </c>
      <c r="D423" s="19">
        <v>43638</v>
      </c>
      <c r="E423" s="18">
        <v>3475915</v>
      </c>
      <c r="F423" s="18">
        <f t="shared" ca="1" si="35"/>
        <v>7</v>
      </c>
      <c r="G423" s="18"/>
      <c r="H423" s="18"/>
      <c r="I423" s="17"/>
      <c r="J423" s="18"/>
      <c r="K423" s="18"/>
      <c r="L423" s="8"/>
      <c r="M423" s="8"/>
      <c r="N423" s="8"/>
      <c r="O423" s="8"/>
      <c r="P423" s="104"/>
      <c r="Q423" s="5"/>
      <c r="R423" s="8"/>
    </row>
    <row r="424" spans="1:18" x14ac:dyDescent="0.3">
      <c r="A424" s="422" t="s">
        <v>1553</v>
      </c>
      <c r="B424" s="115">
        <v>45055</v>
      </c>
      <c r="C424" s="1" t="s">
        <v>398</v>
      </c>
      <c r="D424" s="2">
        <v>25810</v>
      </c>
      <c r="E424" s="1">
        <v>1788319</v>
      </c>
      <c r="F424" s="1">
        <f t="shared" ca="1" si="35"/>
        <v>56</v>
      </c>
      <c r="G424" s="1" t="s">
        <v>1554</v>
      </c>
      <c r="H424" s="1"/>
      <c r="I424" s="231" t="s">
        <v>1555</v>
      </c>
      <c r="J424" s="55"/>
      <c r="K424" s="55"/>
      <c r="L424" s="8"/>
      <c r="M424" s="8"/>
      <c r="N424" s="8"/>
      <c r="O424" s="8"/>
      <c r="P424" s="104"/>
      <c r="Q424" s="5"/>
      <c r="R424" s="8"/>
    </row>
    <row r="425" spans="1:18" x14ac:dyDescent="0.3">
      <c r="A425" s="423"/>
      <c r="B425" s="109"/>
      <c r="C425" s="1" t="s">
        <v>399</v>
      </c>
      <c r="D425" s="2">
        <v>25766</v>
      </c>
      <c r="E425" s="1">
        <v>2251227</v>
      </c>
      <c r="F425" s="1">
        <f t="shared" ca="1" si="35"/>
        <v>56</v>
      </c>
      <c r="G425" s="1" t="s">
        <v>1556</v>
      </c>
      <c r="H425" s="1"/>
      <c r="I425" s="8"/>
      <c r="J425" s="1"/>
      <c r="K425" s="1"/>
      <c r="L425" s="8"/>
      <c r="M425" s="8"/>
      <c r="N425" s="8"/>
      <c r="O425" s="8"/>
      <c r="P425" s="104"/>
      <c r="Q425" s="5"/>
      <c r="R425" s="8"/>
    </row>
    <row r="426" spans="1:18" x14ac:dyDescent="0.3">
      <c r="A426" s="423"/>
      <c r="B426" s="109"/>
      <c r="C426" s="1" t="s">
        <v>400</v>
      </c>
      <c r="D426" s="2">
        <v>36275</v>
      </c>
      <c r="E426" s="1">
        <v>1735117</v>
      </c>
      <c r="F426" s="1">
        <f t="shared" ca="1" si="35"/>
        <v>27</v>
      </c>
      <c r="G426" s="1"/>
      <c r="H426" s="1"/>
      <c r="I426" s="8"/>
      <c r="J426" s="1"/>
      <c r="K426" s="1"/>
      <c r="L426" s="8"/>
      <c r="M426" s="8"/>
      <c r="N426" s="8"/>
      <c r="O426" s="8"/>
      <c r="P426" s="104"/>
      <c r="Q426" s="5"/>
      <c r="R426" s="8"/>
    </row>
    <row r="427" spans="1:18" x14ac:dyDescent="0.3">
      <c r="A427" s="423"/>
      <c r="B427" s="109"/>
      <c r="C427" s="1" t="s">
        <v>401</v>
      </c>
      <c r="D427" s="2">
        <v>37284</v>
      </c>
      <c r="E427" s="1">
        <v>3735219</v>
      </c>
      <c r="F427" s="1">
        <f t="shared" ca="1" si="35"/>
        <v>24</v>
      </c>
      <c r="G427" s="1"/>
      <c r="H427" s="1"/>
      <c r="I427" s="8"/>
      <c r="J427" s="1"/>
      <c r="K427" s="1"/>
      <c r="L427" s="8"/>
      <c r="M427" s="8"/>
      <c r="N427" s="8"/>
      <c r="O427" s="8"/>
      <c r="P427" s="104"/>
      <c r="Q427" s="5"/>
      <c r="R427" s="8"/>
    </row>
    <row r="428" spans="1:18" x14ac:dyDescent="0.3">
      <c r="A428" s="398" t="s">
        <v>1557</v>
      </c>
      <c r="B428" s="117">
        <v>45056</v>
      </c>
      <c r="C428" s="27" t="s">
        <v>1558</v>
      </c>
      <c r="D428" s="28">
        <v>28361</v>
      </c>
      <c r="E428" s="27">
        <v>1247812</v>
      </c>
      <c r="F428" s="27">
        <f t="shared" ca="1" si="35"/>
        <v>49</v>
      </c>
      <c r="G428" s="27" t="s">
        <v>1559</v>
      </c>
      <c r="H428" s="27"/>
      <c r="I428" s="26" t="s">
        <v>1560</v>
      </c>
      <c r="J428" s="27"/>
      <c r="K428" s="27"/>
      <c r="L428" s="8"/>
      <c r="M428" s="8"/>
      <c r="N428" s="8"/>
      <c r="O428" s="8"/>
      <c r="P428" s="9"/>
      <c r="Q428" s="3"/>
      <c r="R428" s="8"/>
    </row>
    <row r="429" spans="1:18" x14ac:dyDescent="0.3">
      <c r="A429" s="438"/>
      <c r="B429" s="121"/>
      <c r="C429" s="27" t="s">
        <v>1561</v>
      </c>
      <c r="D429" s="28">
        <v>28380</v>
      </c>
      <c r="E429" s="27">
        <v>2451016</v>
      </c>
      <c r="F429" s="27">
        <f t="shared" ca="1" si="35"/>
        <v>49</v>
      </c>
      <c r="G429" s="27" t="s">
        <v>1562</v>
      </c>
      <c r="H429" s="27"/>
      <c r="I429" s="26"/>
      <c r="J429" s="27"/>
      <c r="K429" s="27"/>
      <c r="L429" s="8"/>
      <c r="M429" s="8"/>
      <c r="N429" s="8"/>
      <c r="O429" s="8"/>
      <c r="P429" s="9"/>
      <c r="Q429" s="3"/>
      <c r="R429" s="8"/>
    </row>
    <row r="430" spans="1:18" ht="17.25" customHeight="1" x14ac:dyDescent="0.3">
      <c r="A430" s="198" t="s">
        <v>1563</v>
      </c>
      <c r="B430" s="119">
        <v>44326</v>
      </c>
      <c r="C430" s="36" t="s">
        <v>161</v>
      </c>
      <c r="D430" s="37">
        <v>24046</v>
      </c>
      <c r="E430" s="36">
        <v>1155412</v>
      </c>
      <c r="F430" s="36">
        <f t="shared" ca="1" si="35"/>
        <v>61</v>
      </c>
      <c r="G430" s="36" t="s">
        <v>1564</v>
      </c>
      <c r="H430" s="36"/>
      <c r="I430" s="35" t="s">
        <v>1565</v>
      </c>
      <c r="J430" s="36"/>
      <c r="K430" s="36"/>
      <c r="L430" s="8"/>
      <c r="M430" s="8"/>
      <c r="N430" s="8"/>
      <c r="O430" s="8"/>
      <c r="P430" s="104"/>
      <c r="Q430" s="5"/>
      <c r="R430" s="8"/>
    </row>
    <row r="431" spans="1:18" ht="17.25" customHeight="1" x14ac:dyDescent="0.3">
      <c r="A431" s="181" t="s">
        <v>880</v>
      </c>
      <c r="B431" s="116">
        <v>44326</v>
      </c>
      <c r="C431" s="22" t="s">
        <v>162</v>
      </c>
      <c r="D431" s="25">
        <v>28357</v>
      </c>
      <c r="E431" s="22">
        <v>1478012</v>
      </c>
      <c r="F431" s="22">
        <f t="shared" ca="1" si="35"/>
        <v>49</v>
      </c>
      <c r="G431" s="22" t="s">
        <v>1566</v>
      </c>
      <c r="H431" s="22"/>
      <c r="I431" s="21" t="s">
        <v>1567</v>
      </c>
      <c r="J431" s="22"/>
      <c r="K431" s="22"/>
      <c r="L431" s="8"/>
      <c r="M431" s="8"/>
      <c r="N431" s="8"/>
      <c r="O431" s="8"/>
      <c r="P431" s="104"/>
      <c r="Q431" s="5"/>
      <c r="R431" s="8"/>
    </row>
    <row r="432" spans="1:18" x14ac:dyDescent="0.3">
      <c r="A432" s="402" t="s">
        <v>1568</v>
      </c>
      <c r="B432" s="124"/>
      <c r="C432" s="40" t="s">
        <v>163</v>
      </c>
      <c r="D432" s="41">
        <v>29175</v>
      </c>
      <c r="E432" s="40">
        <v>2182521</v>
      </c>
      <c r="F432" s="40">
        <f t="shared" ca="1" si="35"/>
        <v>47</v>
      </c>
      <c r="G432" s="40" t="s">
        <v>1569</v>
      </c>
      <c r="H432" s="40"/>
      <c r="I432" s="39"/>
      <c r="J432" s="40"/>
      <c r="K432" s="40"/>
      <c r="L432" s="8"/>
      <c r="M432" s="8"/>
      <c r="N432" s="8"/>
      <c r="O432" s="8"/>
      <c r="P432" s="104"/>
      <c r="Q432" s="5"/>
      <c r="R432" s="8"/>
    </row>
    <row r="433" spans="1:96" x14ac:dyDescent="0.3">
      <c r="A433" s="424"/>
      <c r="B433" s="124"/>
      <c r="C433" s="40" t="s">
        <v>164</v>
      </c>
      <c r="D433" s="41">
        <v>39062</v>
      </c>
      <c r="E433" s="40">
        <v>4216011</v>
      </c>
      <c r="F433" s="40">
        <f t="shared" ca="1" si="35"/>
        <v>20</v>
      </c>
      <c r="G433" s="40"/>
      <c r="H433" s="40"/>
      <c r="I433" s="39"/>
      <c r="J433" s="40"/>
      <c r="K433" s="40"/>
      <c r="L433" s="8"/>
      <c r="M433" s="8"/>
      <c r="N433" s="8"/>
      <c r="O433" s="8"/>
      <c r="P433" s="104"/>
      <c r="Q433" s="5"/>
      <c r="R433" s="8"/>
    </row>
    <row r="434" spans="1:96" x14ac:dyDescent="0.3">
      <c r="A434" s="425"/>
      <c r="B434" s="124"/>
      <c r="C434" s="40" t="s">
        <v>165</v>
      </c>
      <c r="D434" s="41">
        <v>39664</v>
      </c>
      <c r="E434" s="40">
        <v>4216019</v>
      </c>
      <c r="F434" s="40">
        <f t="shared" ca="1" si="35"/>
        <v>18</v>
      </c>
      <c r="G434" s="40"/>
      <c r="H434" s="40"/>
      <c r="I434" s="39"/>
      <c r="J434" s="40"/>
      <c r="K434" s="40"/>
      <c r="L434" s="8"/>
      <c r="M434" s="8"/>
      <c r="N434" s="8"/>
      <c r="O434" s="8"/>
      <c r="P434" s="104"/>
      <c r="Q434" s="5"/>
      <c r="R434" s="8"/>
    </row>
    <row r="435" spans="1:96" s="189" customFormat="1" x14ac:dyDescent="0.3">
      <c r="A435" s="183" t="s">
        <v>1570</v>
      </c>
      <c r="B435" s="113"/>
      <c r="C435" s="30" t="s">
        <v>166</v>
      </c>
      <c r="D435" s="31">
        <v>29367</v>
      </c>
      <c r="E435" s="30">
        <v>2670312</v>
      </c>
      <c r="F435" s="30">
        <f t="shared" ref="F435:F450" ca="1" si="36">YEAR(TODAY())-YEAR(D435)</f>
        <v>46</v>
      </c>
      <c r="G435" s="30" t="s">
        <v>1571</v>
      </c>
      <c r="H435" s="30"/>
      <c r="I435" s="29"/>
      <c r="J435" s="30"/>
      <c r="K435" s="30"/>
      <c r="L435" s="8"/>
      <c r="M435" s="8"/>
      <c r="N435" s="8"/>
      <c r="O435" s="8"/>
      <c r="P435" s="104"/>
      <c r="Q435" s="5"/>
      <c r="R435" s="8"/>
    </row>
    <row r="436" spans="1:96" x14ac:dyDescent="0.3">
      <c r="A436" s="1" t="s">
        <v>1570</v>
      </c>
      <c r="B436" s="115">
        <v>44692</v>
      </c>
      <c r="C436" s="1" t="s">
        <v>167</v>
      </c>
      <c r="D436" s="2">
        <v>29146</v>
      </c>
      <c r="E436" s="1">
        <v>1011129</v>
      </c>
      <c r="F436" s="1">
        <f t="shared" ca="1" si="36"/>
        <v>47</v>
      </c>
      <c r="G436" s="1" t="s">
        <v>1572</v>
      </c>
      <c r="H436" s="1"/>
      <c r="I436" s="8" t="s">
        <v>1573</v>
      </c>
      <c r="J436" s="1" t="s">
        <v>1574</v>
      </c>
      <c r="K436" s="1"/>
      <c r="L436" s="8"/>
      <c r="M436" s="8"/>
      <c r="N436" s="8"/>
      <c r="O436" s="8"/>
      <c r="P436" s="104"/>
      <c r="Q436" s="5"/>
      <c r="R436" s="8"/>
    </row>
    <row r="437" spans="1:96" x14ac:dyDescent="0.3">
      <c r="A437" s="420" t="s">
        <v>1575</v>
      </c>
      <c r="B437" s="117">
        <v>45057</v>
      </c>
      <c r="C437" s="27" t="s">
        <v>639</v>
      </c>
      <c r="D437" s="28">
        <v>20718</v>
      </c>
      <c r="E437" s="27">
        <v>2912611</v>
      </c>
      <c r="F437" s="27">
        <f t="shared" ca="1" si="36"/>
        <v>70</v>
      </c>
      <c r="G437" s="27" t="s">
        <v>1576</v>
      </c>
      <c r="H437" s="27"/>
      <c r="I437" s="26" t="s">
        <v>1577</v>
      </c>
      <c r="J437" s="27"/>
      <c r="K437" s="27"/>
      <c r="L437" s="8"/>
      <c r="M437" s="8"/>
      <c r="N437" s="8"/>
      <c r="O437" s="8"/>
      <c r="P437" s="104"/>
      <c r="Q437" s="5"/>
      <c r="R437" s="8"/>
    </row>
    <row r="438" spans="1:96" x14ac:dyDescent="0.3">
      <c r="A438" s="420"/>
      <c r="B438" s="121"/>
      <c r="C438" s="27" t="s">
        <v>640</v>
      </c>
      <c r="D438" s="28">
        <v>17259</v>
      </c>
      <c r="E438" s="27">
        <v>1011316</v>
      </c>
      <c r="F438" s="27">
        <f t="shared" ca="1" si="36"/>
        <v>79</v>
      </c>
      <c r="G438" s="27" t="s">
        <v>1578</v>
      </c>
      <c r="H438" s="27"/>
      <c r="I438" s="26"/>
      <c r="J438" s="27"/>
      <c r="K438" s="27"/>
      <c r="L438" s="8" t="s">
        <v>3563</v>
      </c>
      <c r="M438" s="8"/>
      <c r="N438" s="8"/>
      <c r="O438" s="8"/>
      <c r="P438" s="104"/>
      <c r="Q438" s="5"/>
      <c r="R438" s="8"/>
    </row>
    <row r="439" spans="1:96" x14ac:dyDescent="0.3">
      <c r="A439" s="422" t="s">
        <v>876</v>
      </c>
      <c r="B439" s="115">
        <v>44692</v>
      </c>
      <c r="C439" s="1" t="s">
        <v>168</v>
      </c>
      <c r="D439" s="2">
        <v>29699</v>
      </c>
      <c r="E439" s="1">
        <v>1790212</v>
      </c>
      <c r="F439" s="1">
        <f ca="1">YEAR(TODAY())-YEAR(D439)</f>
        <v>45</v>
      </c>
      <c r="G439" s="1" t="s">
        <v>877</v>
      </c>
      <c r="H439" s="1"/>
      <c r="I439" s="8" t="s">
        <v>1579</v>
      </c>
      <c r="J439" s="1" t="s">
        <v>879</v>
      </c>
      <c r="K439" s="1"/>
      <c r="L439" s="8"/>
      <c r="M439" s="8"/>
      <c r="N439" s="8"/>
      <c r="O439" s="8"/>
      <c r="P439" s="104"/>
      <c r="Q439" s="5"/>
      <c r="R439" s="8"/>
    </row>
    <row r="440" spans="1:96" x14ac:dyDescent="0.3">
      <c r="A440" s="422"/>
      <c r="B440" s="109" t="s">
        <v>169</v>
      </c>
      <c r="C440" s="1" t="s">
        <v>170</v>
      </c>
      <c r="D440" s="2">
        <v>29743</v>
      </c>
      <c r="E440" s="1">
        <v>2682618</v>
      </c>
      <c r="F440" s="1">
        <f ca="1">YEAR(TODAY())-YEAR(D440)</f>
        <v>45</v>
      </c>
      <c r="G440" s="1" t="s">
        <v>1580</v>
      </c>
      <c r="H440" s="1"/>
      <c r="I440" s="8"/>
      <c r="J440" s="1"/>
      <c r="K440" s="1"/>
      <c r="L440" s="8"/>
      <c r="M440" s="8"/>
      <c r="N440" s="8"/>
      <c r="O440" s="8"/>
      <c r="P440" s="104"/>
      <c r="Q440" s="5"/>
      <c r="R440" s="8"/>
    </row>
    <row r="441" spans="1:96" x14ac:dyDescent="0.3">
      <c r="A441" s="422"/>
      <c r="B441" s="109"/>
      <c r="C441" s="1" t="s">
        <v>171</v>
      </c>
      <c r="D441" s="2">
        <v>40203</v>
      </c>
      <c r="E441" s="1">
        <v>3476221</v>
      </c>
      <c r="F441" s="1">
        <f ca="1">YEAR(TODAY())-YEAR(D441)</f>
        <v>16</v>
      </c>
      <c r="G441" s="1"/>
      <c r="H441" s="1"/>
      <c r="I441" s="8"/>
      <c r="J441" s="1"/>
      <c r="K441" s="1"/>
      <c r="L441" s="8"/>
      <c r="M441" s="8"/>
      <c r="N441" s="8"/>
      <c r="O441" s="8"/>
      <c r="P441" s="104"/>
      <c r="Q441" s="5"/>
      <c r="R441" s="8"/>
    </row>
    <row r="442" spans="1:96" x14ac:dyDescent="0.3">
      <c r="A442" s="422"/>
      <c r="B442" s="109"/>
      <c r="C442" s="1" t="s">
        <v>172</v>
      </c>
      <c r="D442" s="2">
        <v>40630</v>
      </c>
      <c r="E442" s="1">
        <v>3476215</v>
      </c>
      <c r="F442" s="1">
        <f ca="1">YEAR(TODAY())-YEAR(D442)</f>
        <v>15</v>
      </c>
      <c r="G442" s="1"/>
      <c r="H442" s="1"/>
      <c r="I442" s="8"/>
      <c r="J442" s="1"/>
      <c r="K442" s="1"/>
      <c r="L442" s="8"/>
      <c r="M442" s="8"/>
      <c r="N442" s="8"/>
      <c r="O442" s="8"/>
      <c r="P442" s="104"/>
      <c r="Q442" s="5"/>
      <c r="R442" s="8"/>
    </row>
    <row r="443" spans="1:96" x14ac:dyDescent="0.3">
      <c r="A443" s="422"/>
      <c r="B443" s="109"/>
      <c r="C443" s="1" t="s">
        <v>173</v>
      </c>
      <c r="D443" s="2">
        <v>42076</v>
      </c>
      <c r="E443" s="1">
        <v>3768310</v>
      </c>
      <c r="F443" s="1">
        <f ca="1">YEAR(TODAY())-YEAR(D443)</f>
        <v>11</v>
      </c>
      <c r="G443" s="1"/>
      <c r="H443" s="1"/>
      <c r="I443" s="8"/>
      <c r="J443" s="1"/>
      <c r="K443" s="1"/>
      <c r="L443" s="8"/>
      <c r="M443" s="8"/>
      <c r="N443" s="8"/>
      <c r="O443" s="8"/>
      <c r="P443" s="104"/>
      <c r="Q443" s="5"/>
      <c r="R443" s="8"/>
    </row>
    <row r="444" spans="1:96" x14ac:dyDescent="0.3">
      <c r="A444" s="378" t="s">
        <v>1581</v>
      </c>
      <c r="B444" s="154"/>
      <c r="C444" s="265" t="s">
        <v>1582</v>
      </c>
      <c r="D444" s="266">
        <v>25977</v>
      </c>
      <c r="E444" s="265">
        <v>1551316</v>
      </c>
      <c r="F444" s="267"/>
      <c r="G444" s="265" t="s">
        <v>1583</v>
      </c>
      <c r="H444" s="267"/>
      <c r="I444" s="267"/>
      <c r="J444" s="265"/>
      <c r="K444" s="265"/>
      <c r="L444" s="267" t="s">
        <v>1584</v>
      </c>
      <c r="M444" s="267"/>
      <c r="N444" s="267"/>
      <c r="O444" s="267"/>
      <c r="P444" s="166"/>
      <c r="Q444" s="167"/>
      <c r="R444" s="267"/>
      <c r="S444" s="267"/>
      <c r="T444" s="267"/>
      <c r="U444" s="267"/>
      <c r="V444" s="267"/>
      <c r="W444" s="267"/>
      <c r="X444" s="267"/>
      <c r="Y444" s="267"/>
      <c r="Z444" s="267"/>
      <c r="AA444" s="267"/>
      <c r="AB444" s="267"/>
      <c r="AC444" s="267"/>
      <c r="AD444" s="267"/>
      <c r="AE444" s="267"/>
      <c r="AF444" s="267"/>
      <c r="AG444" s="267"/>
      <c r="AH444" s="267"/>
      <c r="AI444" s="267"/>
      <c r="AJ444" s="267"/>
      <c r="AK444" s="267"/>
      <c r="AL444" s="267"/>
      <c r="AM444" s="267"/>
      <c r="AN444" s="267"/>
      <c r="AO444" s="267"/>
      <c r="AP444" s="267"/>
      <c r="AQ444" s="267"/>
      <c r="AR444" s="267"/>
      <c r="AS444" s="267"/>
      <c r="AT444" s="267"/>
      <c r="AU444" s="267"/>
      <c r="AV444" s="267"/>
      <c r="AW444" s="267"/>
      <c r="AX444" s="267"/>
      <c r="AY444" s="267"/>
      <c r="AZ444" s="267"/>
      <c r="BA444" s="267"/>
      <c r="BB444" s="267"/>
      <c r="BC444" s="267"/>
      <c r="BD444" s="267"/>
      <c r="BE444" s="267"/>
      <c r="BF444" s="267"/>
      <c r="BG444" s="267"/>
      <c r="BH444" s="267"/>
      <c r="BI444" s="267"/>
      <c r="BJ444" s="267"/>
      <c r="BK444" s="267"/>
      <c r="BL444" s="267"/>
      <c r="BM444" s="267"/>
      <c r="BN444" s="267"/>
      <c r="BO444" s="267"/>
      <c r="BP444" s="267"/>
      <c r="BQ444" s="267"/>
      <c r="BR444" s="267"/>
    </row>
    <row r="445" spans="1:96" x14ac:dyDescent="0.3">
      <c r="A445" s="379"/>
      <c r="B445" s="169" t="s">
        <v>1585</v>
      </c>
      <c r="C445" s="176" t="s">
        <v>1586</v>
      </c>
      <c r="D445" s="269">
        <v>24803</v>
      </c>
      <c r="E445" s="176">
        <v>2025310</v>
      </c>
      <c r="F445" s="270"/>
      <c r="G445" s="176"/>
      <c r="H445" s="270"/>
      <c r="I445" s="270"/>
      <c r="J445" s="176"/>
      <c r="K445" s="176"/>
      <c r="L445" s="270"/>
      <c r="M445" s="270"/>
      <c r="N445" s="270"/>
      <c r="O445" s="270"/>
      <c r="P445" s="170"/>
      <c r="Q445" s="171"/>
      <c r="R445" s="270"/>
      <c r="S445" s="270"/>
      <c r="T445" s="270"/>
      <c r="U445" s="270"/>
      <c r="V445" s="270"/>
      <c r="W445" s="270"/>
      <c r="X445" s="270"/>
      <c r="Y445" s="270"/>
      <c r="Z445" s="270"/>
      <c r="AA445" s="270"/>
      <c r="AB445" s="270"/>
      <c r="AC445" s="270"/>
      <c r="AD445" s="270"/>
      <c r="AE445" s="270"/>
      <c r="AF445" s="270"/>
      <c r="AG445" s="270"/>
      <c r="AH445" s="270"/>
      <c r="AI445" s="270"/>
      <c r="AJ445" s="270"/>
      <c r="AK445" s="270"/>
      <c r="AL445" s="270"/>
      <c r="AM445" s="270"/>
      <c r="AN445" s="270"/>
      <c r="AO445" s="270"/>
      <c r="AP445" s="270"/>
      <c r="AQ445" s="270"/>
      <c r="AR445" s="270"/>
      <c r="AS445" s="270"/>
      <c r="AT445" s="270"/>
      <c r="AU445" s="270"/>
      <c r="AV445" s="270"/>
      <c r="AW445" s="270"/>
      <c r="AX445" s="270"/>
      <c r="AY445" s="270"/>
      <c r="AZ445" s="270"/>
      <c r="BA445" s="270"/>
      <c r="BB445" s="270"/>
      <c r="BC445" s="270"/>
      <c r="BD445" s="270"/>
      <c r="BE445" s="270"/>
      <c r="BF445" s="270"/>
      <c r="BG445" s="270"/>
      <c r="BH445" s="270"/>
      <c r="BI445" s="270"/>
      <c r="BJ445" s="270"/>
      <c r="BK445" s="270"/>
      <c r="BL445" s="270"/>
      <c r="BM445" s="270"/>
      <c r="BN445" s="270"/>
      <c r="BO445" s="270"/>
      <c r="BP445" s="270"/>
      <c r="BQ445" s="270"/>
      <c r="BR445" s="270"/>
      <c r="BS445" s="270"/>
      <c r="BT445" s="270"/>
      <c r="BU445" s="270"/>
      <c r="BV445" s="270"/>
      <c r="BW445" s="270"/>
      <c r="BX445" s="270"/>
      <c r="BY445" s="270"/>
      <c r="BZ445" s="270"/>
      <c r="CA445" s="270"/>
      <c r="CB445" s="270"/>
      <c r="CC445" s="270"/>
      <c r="CD445" s="270"/>
      <c r="CE445" s="270"/>
      <c r="CF445" s="270"/>
      <c r="CG445" s="270"/>
      <c r="CH445" s="270"/>
      <c r="CI445" s="270"/>
      <c r="CJ445" s="270"/>
      <c r="CK445" s="270"/>
      <c r="CL445" s="270"/>
      <c r="CM445" s="270"/>
      <c r="CN445" s="270"/>
      <c r="CO445" s="270"/>
      <c r="CP445" s="270"/>
      <c r="CQ445" s="270"/>
      <c r="CR445" s="270"/>
    </row>
    <row r="446" spans="1:96" s="204" customFormat="1" x14ac:dyDescent="0.3">
      <c r="A446" s="420" t="s">
        <v>1587</v>
      </c>
      <c r="B446" s="117">
        <v>44693</v>
      </c>
      <c r="C446" s="27" t="s">
        <v>174</v>
      </c>
      <c r="D446" s="28">
        <v>28521</v>
      </c>
      <c r="E446" s="27">
        <v>1822829</v>
      </c>
      <c r="F446" s="27">
        <f t="shared" ca="1" si="36"/>
        <v>48</v>
      </c>
      <c r="G446" s="27" t="s">
        <v>1588</v>
      </c>
      <c r="H446" s="27"/>
      <c r="I446" s="26" t="s">
        <v>1589</v>
      </c>
      <c r="J446" s="27"/>
      <c r="K446" s="27"/>
      <c r="L446" s="8"/>
      <c r="M446" s="8"/>
      <c r="N446" s="8"/>
      <c r="O446" s="8"/>
      <c r="P446" s="104"/>
      <c r="Q446" s="5"/>
      <c r="R446" s="8"/>
    </row>
    <row r="447" spans="1:96" s="204" customFormat="1" x14ac:dyDescent="0.3">
      <c r="A447" s="420"/>
      <c r="B447" s="121"/>
      <c r="C447" s="27" t="s">
        <v>176</v>
      </c>
      <c r="D447" s="28">
        <v>28323</v>
      </c>
      <c r="E447" s="27">
        <v>2822814</v>
      </c>
      <c r="F447" s="27">
        <f t="shared" ca="1" si="36"/>
        <v>49</v>
      </c>
      <c r="G447" s="27" t="s">
        <v>1590</v>
      </c>
      <c r="H447" s="27"/>
      <c r="I447" s="26"/>
      <c r="J447" s="27"/>
      <c r="K447" s="27"/>
      <c r="L447" s="8"/>
      <c r="M447" s="8"/>
      <c r="N447" s="8"/>
      <c r="O447" s="8"/>
      <c r="P447" s="104"/>
      <c r="Q447" s="5"/>
      <c r="R447" s="8"/>
    </row>
    <row r="448" spans="1:96" s="204" customFormat="1" x14ac:dyDescent="0.3">
      <c r="A448" s="420"/>
      <c r="B448" s="121"/>
      <c r="C448" s="27" t="s">
        <v>1591</v>
      </c>
      <c r="D448" s="28">
        <v>26207</v>
      </c>
      <c r="E448" s="27">
        <v>1221234</v>
      </c>
      <c r="F448" s="27">
        <f t="shared" ref="F448" ca="1" si="37">YEAR(TODAY())-YEAR(D448)</f>
        <v>55</v>
      </c>
      <c r="G448" s="27" t="s">
        <v>1592</v>
      </c>
      <c r="H448" s="27"/>
      <c r="I448" s="26"/>
      <c r="J448" s="27"/>
      <c r="K448" s="27"/>
      <c r="L448" s="8"/>
      <c r="M448" s="8"/>
      <c r="N448" s="8"/>
      <c r="O448" s="8"/>
      <c r="P448" s="104"/>
      <c r="Q448" s="5"/>
      <c r="R448" s="8"/>
    </row>
    <row r="449" spans="1:18" s="204" customFormat="1" x14ac:dyDescent="0.3">
      <c r="A449" s="420"/>
      <c r="B449" s="121"/>
      <c r="C449" s="27" t="s">
        <v>177</v>
      </c>
      <c r="D449" s="28">
        <v>38789</v>
      </c>
      <c r="E449" s="27">
        <v>4861911</v>
      </c>
      <c r="F449" s="27">
        <f t="shared" ca="1" si="36"/>
        <v>20</v>
      </c>
      <c r="G449" s="27"/>
      <c r="H449" s="27"/>
      <c r="I449" s="26"/>
      <c r="J449" s="27"/>
      <c r="K449" s="27"/>
      <c r="L449" s="8"/>
      <c r="M449" s="8"/>
      <c r="N449" s="8"/>
      <c r="O449" s="8"/>
      <c r="P449" s="104"/>
      <c r="Q449" s="5"/>
      <c r="R449" s="8"/>
    </row>
    <row r="450" spans="1:18" s="204" customFormat="1" x14ac:dyDescent="0.3">
      <c r="A450" s="420"/>
      <c r="B450" s="121"/>
      <c r="C450" s="27" t="s">
        <v>178</v>
      </c>
      <c r="D450" s="28">
        <v>39448</v>
      </c>
      <c r="E450" s="27">
        <v>4861912</v>
      </c>
      <c r="F450" s="27">
        <f t="shared" ca="1" si="36"/>
        <v>18</v>
      </c>
      <c r="G450" s="27"/>
      <c r="H450" s="27"/>
      <c r="I450" s="26"/>
      <c r="J450" s="27"/>
      <c r="K450" s="27"/>
      <c r="L450" s="8"/>
      <c r="M450" s="8"/>
      <c r="N450" s="8"/>
      <c r="O450" s="8"/>
      <c r="P450" s="104"/>
      <c r="Q450" s="5"/>
      <c r="R450" s="8"/>
    </row>
    <row r="451" spans="1:18" x14ac:dyDescent="0.3">
      <c r="A451" s="394" t="s">
        <v>1593</v>
      </c>
      <c r="B451" s="119">
        <v>44331</v>
      </c>
      <c r="C451" s="36" t="s">
        <v>179</v>
      </c>
      <c r="D451" s="37">
        <v>27251</v>
      </c>
      <c r="E451" s="36">
        <v>1468525</v>
      </c>
      <c r="F451" s="36">
        <f ca="1">YEAR(TODAY())-YEAR(D451)</f>
        <v>52</v>
      </c>
      <c r="G451" s="36" t="s">
        <v>1594</v>
      </c>
      <c r="H451" s="36"/>
      <c r="I451" s="35" t="s">
        <v>1595</v>
      </c>
      <c r="J451" s="36"/>
      <c r="K451" s="36"/>
      <c r="L451" s="8"/>
      <c r="M451" s="8"/>
      <c r="N451" s="8"/>
      <c r="O451" s="8"/>
      <c r="P451" s="104"/>
      <c r="Q451" s="5"/>
      <c r="R451" s="8"/>
    </row>
    <row r="452" spans="1:18" x14ac:dyDescent="0.3">
      <c r="A452" s="394"/>
      <c r="B452" s="120"/>
      <c r="C452" s="36" t="s">
        <v>180</v>
      </c>
      <c r="D452" s="37">
        <v>29803</v>
      </c>
      <c r="E452" s="36">
        <v>2411511</v>
      </c>
      <c r="F452" s="36">
        <f ca="1">YEAR(TODAY())-YEAR(D452)</f>
        <v>45</v>
      </c>
      <c r="G452" s="36" t="s">
        <v>1596</v>
      </c>
      <c r="H452" s="36"/>
      <c r="I452" s="35"/>
      <c r="J452" s="36"/>
      <c r="K452" s="36"/>
      <c r="L452" s="8"/>
      <c r="M452" s="8"/>
      <c r="N452" s="8"/>
      <c r="O452" s="8"/>
      <c r="P452" s="104"/>
      <c r="Q452" s="5"/>
      <c r="R452" s="8"/>
    </row>
    <row r="453" spans="1:18" x14ac:dyDescent="0.3">
      <c r="A453" s="394"/>
      <c r="B453" s="120"/>
      <c r="C453" s="36" t="s">
        <v>181</v>
      </c>
      <c r="D453" s="37">
        <v>40262</v>
      </c>
      <c r="E453" s="36">
        <v>3476014</v>
      </c>
      <c r="F453" s="36">
        <f ca="1">YEAR(TODAY())-YEAR(D453)</f>
        <v>16</v>
      </c>
      <c r="G453" s="36"/>
      <c r="H453" s="36"/>
      <c r="I453" s="35"/>
      <c r="J453" s="36"/>
      <c r="K453" s="36"/>
      <c r="L453" s="8"/>
      <c r="M453" s="8"/>
      <c r="N453" s="8"/>
      <c r="O453" s="8"/>
      <c r="P453" s="104"/>
      <c r="Q453" s="5"/>
      <c r="R453" s="8"/>
    </row>
    <row r="454" spans="1:18" x14ac:dyDescent="0.3">
      <c r="A454" s="394"/>
      <c r="B454" s="120"/>
      <c r="C454" s="36" t="s">
        <v>182</v>
      </c>
      <c r="D454" s="37">
        <v>41338</v>
      </c>
      <c r="E454" s="36">
        <v>4476025</v>
      </c>
      <c r="F454" s="36">
        <f ca="1">YEAR(TODAY())-YEAR(D454)</f>
        <v>13</v>
      </c>
      <c r="G454" s="36"/>
      <c r="H454" s="36"/>
      <c r="I454" s="35"/>
      <c r="J454" s="36"/>
      <c r="K454" s="36"/>
      <c r="L454" s="8"/>
      <c r="M454" s="8"/>
      <c r="N454" s="8"/>
      <c r="O454" s="8"/>
      <c r="P454" s="104"/>
      <c r="Q454" s="5"/>
      <c r="R454" s="8"/>
    </row>
    <row r="455" spans="1:18" x14ac:dyDescent="0.3">
      <c r="A455" s="394"/>
      <c r="B455" s="120"/>
      <c r="C455" s="36" t="s">
        <v>183</v>
      </c>
      <c r="D455" s="37">
        <v>24980</v>
      </c>
      <c r="E455" s="36">
        <v>4476025</v>
      </c>
      <c r="F455" s="36">
        <f ca="1">YEAR(TODAY())-YEAR(D455)</f>
        <v>58</v>
      </c>
      <c r="G455" s="36"/>
      <c r="H455" s="36"/>
      <c r="I455" s="35"/>
      <c r="J455" s="36"/>
      <c r="K455" s="36"/>
      <c r="L455" s="8"/>
      <c r="M455" s="8"/>
      <c r="N455" s="8"/>
      <c r="O455" s="8"/>
      <c r="P455" s="104"/>
      <c r="Q455" s="5"/>
      <c r="R455" s="8"/>
    </row>
    <row r="456" spans="1:18" s="204" customFormat="1" x14ac:dyDescent="0.3">
      <c r="A456" s="243"/>
      <c r="B456" s="118">
        <v>45429</v>
      </c>
      <c r="C456" s="40" t="s">
        <v>1345</v>
      </c>
      <c r="D456" s="41" t="s">
        <v>1346</v>
      </c>
      <c r="E456" s="40"/>
      <c r="F456" s="40"/>
      <c r="G456" s="40"/>
      <c r="H456" s="40"/>
      <c r="I456" s="39" t="s">
        <v>1597</v>
      </c>
      <c r="J456" s="1"/>
      <c r="K456" s="1"/>
      <c r="L456" s="8"/>
      <c r="M456" s="8"/>
      <c r="N456" s="8"/>
      <c r="O456" s="8"/>
      <c r="P456" s="104"/>
      <c r="Q456" s="5"/>
      <c r="R456" s="8"/>
    </row>
    <row r="457" spans="1:18" ht="33" x14ac:dyDescent="0.3">
      <c r="A457" s="213" t="s">
        <v>1189</v>
      </c>
      <c r="B457" s="122">
        <v>45064</v>
      </c>
      <c r="C457" s="18" t="s">
        <v>1598</v>
      </c>
      <c r="D457" s="19">
        <v>29014</v>
      </c>
      <c r="E457" s="18">
        <v>2227519</v>
      </c>
      <c r="F457" s="18">
        <f t="shared" ref="F457:F473" ca="1" si="38">YEAR(TODAY())-YEAR(D457)</f>
        <v>47</v>
      </c>
      <c r="G457" s="18" t="s">
        <v>1599</v>
      </c>
      <c r="H457" s="18"/>
      <c r="I457" s="227" t="s">
        <v>1600</v>
      </c>
      <c r="J457" s="228"/>
      <c r="K457" s="228"/>
      <c r="L457" s="8"/>
      <c r="M457" s="8"/>
      <c r="N457" s="8"/>
      <c r="O457" s="8"/>
      <c r="P457" s="104"/>
      <c r="Q457" s="5"/>
      <c r="R457" s="8"/>
    </row>
    <row r="458" spans="1:18" x14ac:dyDescent="0.3">
      <c r="A458" s="408" t="s">
        <v>1601</v>
      </c>
      <c r="B458" s="112">
        <v>45064</v>
      </c>
      <c r="C458" s="30" t="s">
        <v>1602</v>
      </c>
      <c r="D458" s="31">
        <v>29307</v>
      </c>
      <c r="E458" s="30">
        <v>1005812</v>
      </c>
      <c r="F458" s="30">
        <f t="shared" ca="1" si="38"/>
        <v>46</v>
      </c>
      <c r="G458" s="30" t="s">
        <v>1603</v>
      </c>
      <c r="H458" s="30"/>
      <c r="I458" s="29" t="s">
        <v>1604</v>
      </c>
      <c r="J458" s="30"/>
      <c r="K458" s="30"/>
      <c r="L458" s="8"/>
      <c r="M458" s="8"/>
      <c r="N458" s="8"/>
      <c r="O458" s="8"/>
      <c r="P458" s="9"/>
      <c r="Q458" s="3"/>
      <c r="R458" s="8"/>
    </row>
    <row r="459" spans="1:18" x14ac:dyDescent="0.3">
      <c r="A459" s="409"/>
      <c r="B459" s="112"/>
      <c r="C459" s="30" t="s">
        <v>1605</v>
      </c>
      <c r="D459" s="31">
        <v>30640</v>
      </c>
      <c r="E459" s="30">
        <v>6200592</v>
      </c>
      <c r="F459" s="30">
        <f t="shared" ref="F459" ca="1" si="39">YEAR(TODAY())-YEAR(D459)</f>
        <v>43</v>
      </c>
      <c r="G459" s="30" t="s">
        <v>1606</v>
      </c>
      <c r="H459" s="30"/>
      <c r="I459" s="29"/>
      <c r="J459" s="30"/>
      <c r="K459" s="30"/>
      <c r="L459" s="8"/>
      <c r="M459" s="8"/>
      <c r="N459" s="8"/>
      <c r="O459" s="8"/>
      <c r="P459" s="9"/>
      <c r="Q459" s="3"/>
      <c r="R459" s="8"/>
    </row>
    <row r="460" spans="1:18" x14ac:dyDescent="0.3">
      <c r="A460" s="409"/>
      <c r="B460" s="113"/>
      <c r="C460" s="30" t="s">
        <v>1607</v>
      </c>
      <c r="D460" s="31">
        <v>39954</v>
      </c>
      <c r="E460" s="30">
        <v>3006312</v>
      </c>
      <c r="F460" s="30">
        <f t="shared" ca="1" si="38"/>
        <v>17</v>
      </c>
      <c r="G460" s="30"/>
      <c r="H460" s="30"/>
      <c r="I460" s="29"/>
      <c r="J460" s="30"/>
      <c r="K460" s="30"/>
      <c r="L460" s="8"/>
      <c r="M460" s="8"/>
      <c r="N460" s="8"/>
      <c r="O460" s="8"/>
      <c r="P460" s="9"/>
      <c r="Q460" s="3"/>
      <c r="R460" s="8"/>
    </row>
    <row r="461" spans="1:18" x14ac:dyDescent="0.3">
      <c r="A461" s="409"/>
      <c r="B461" s="113"/>
      <c r="C461" s="30" t="s">
        <v>1608</v>
      </c>
      <c r="D461" s="31">
        <v>40807</v>
      </c>
      <c r="E461" s="30">
        <v>4006317</v>
      </c>
      <c r="F461" s="30">
        <f t="shared" ca="1" si="38"/>
        <v>15</v>
      </c>
      <c r="G461" s="30"/>
      <c r="H461" s="30"/>
      <c r="I461" s="29"/>
      <c r="J461" s="30"/>
      <c r="K461" s="30"/>
      <c r="L461" s="8"/>
      <c r="M461" s="8"/>
      <c r="N461" s="8"/>
      <c r="O461" s="8"/>
      <c r="P461" s="9"/>
      <c r="Q461" s="3"/>
      <c r="R461" s="8"/>
    </row>
    <row r="462" spans="1:18" x14ac:dyDescent="0.3">
      <c r="A462" s="410"/>
      <c r="B462" s="113"/>
      <c r="C462" s="30" t="s">
        <v>1609</v>
      </c>
      <c r="D462" s="31">
        <v>43288</v>
      </c>
      <c r="E462" s="30">
        <v>4026113</v>
      </c>
      <c r="F462" s="30">
        <f t="shared" ca="1" si="38"/>
        <v>8</v>
      </c>
      <c r="G462" s="30"/>
      <c r="H462" s="30"/>
      <c r="I462" s="29"/>
      <c r="J462" s="30"/>
      <c r="K462" s="30"/>
      <c r="L462" s="8"/>
      <c r="M462" s="8"/>
      <c r="N462" s="8"/>
      <c r="O462" s="8"/>
      <c r="P462" s="9"/>
      <c r="Q462" s="3"/>
      <c r="R462" s="8"/>
    </row>
    <row r="463" spans="1:18" x14ac:dyDescent="0.3">
      <c r="A463" s="431" t="s">
        <v>1610</v>
      </c>
      <c r="B463" s="116">
        <v>45064</v>
      </c>
      <c r="C463" s="22" t="s">
        <v>331</v>
      </c>
      <c r="D463" s="25">
        <v>29028</v>
      </c>
      <c r="E463" s="22">
        <v>1334917</v>
      </c>
      <c r="F463" s="22">
        <f t="shared" ca="1" si="38"/>
        <v>47</v>
      </c>
      <c r="G463" s="22" t="s">
        <v>1611</v>
      </c>
      <c r="H463" s="22"/>
      <c r="I463" s="21" t="s">
        <v>1612</v>
      </c>
      <c r="J463" s="22" t="s">
        <v>1613</v>
      </c>
      <c r="K463" s="22" t="s">
        <v>432</v>
      </c>
      <c r="L463" s="8" t="s">
        <v>1614</v>
      </c>
      <c r="M463" s="8"/>
      <c r="N463" s="8"/>
      <c r="O463" s="8"/>
      <c r="P463" s="104"/>
      <c r="Q463" s="5"/>
      <c r="R463" s="8"/>
    </row>
    <row r="464" spans="1:18" x14ac:dyDescent="0.3">
      <c r="A464" s="435"/>
      <c r="B464" s="127"/>
      <c r="C464" s="22" t="s">
        <v>332</v>
      </c>
      <c r="D464" s="25">
        <v>30916</v>
      </c>
      <c r="E464" s="22">
        <v>2223510</v>
      </c>
      <c r="F464" s="22">
        <f t="shared" ca="1" si="38"/>
        <v>42</v>
      </c>
      <c r="G464" s="22" t="s">
        <v>1615</v>
      </c>
      <c r="H464" s="22"/>
      <c r="I464" s="21"/>
      <c r="J464" s="22"/>
      <c r="K464" s="22"/>
      <c r="L464" s="8"/>
      <c r="M464" s="8"/>
      <c r="N464" s="8"/>
      <c r="O464" s="8"/>
      <c r="P464" s="104"/>
      <c r="Q464" s="5"/>
      <c r="R464" s="8"/>
    </row>
    <row r="465" spans="1:18" x14ac:dyDescent="0.3">
      <c r="A465" s="435"/>
      <c r="B465" s="127"/>
      <c r="C465" s="22" t="s">
        <v>333</v>
      </c>
      <c r="D465" s="25">
        <v>39278</v>
      </c>
      <c r="E465" s="22">
        <v>4408911</v>
      </c>
      <c r="F465" s="22">
        <f t="shared" ca="1" si="38"/>
        <v>19</v>
      </c>
      <c r="G465" s="22"/>
      <c r="H465" s="22"/>
      <c r="I465" s="21"/>
      <c r="J465" s="22"/>
      <c r="K465" s="22"/>
      <c r="L465" s="8"/>
      <c r="M465" s="8"/>
      <c r="N465" s="8"/>
      <c r="O465" s="8"/>
      <c r="P465" s="104"/>
      <c r="Q465" s="5"/>
      <c r="R465" s="8"/>
    </row>
    <row r="466" spans="1:18" x14ac:dyDescent="0.3">
      <c r="A466" s="435"/>
      <c r="B466" s="127"/>
      <c r="C466" s="22" t="s">
        <v>1616</v>
      </c>
      <c r="D466" s="25">
        <v>40656</v>
      </c>
      <c r="E466" s="22">
        <v>4475933</v>
      </c>
      <c r="F466" s="22">
        <f t="shared" ca="1" si="38"/>
        <v>15</v>
      </c>
      <c r="G466" s="22"/>
      <c r="H466" s="22"/>
      <c r="I466" s="21"/>
      <c r="J466" s="22"/>
      <c r="K466" s="22"/>
      <c r="L466" s="8"/>
      <c r="M466" s="8"/>
      <c r="N466" s="8"/>
      <c r="O466" s="8"/>
      <c r="P466" s="104"/>
      <c r="Q466" s="5"/>
      <c r="R466" s="8"/>
    </row>
    <row r="467" spans="1:18" x14ac:dyDescent="0.3">
      <c r="A467" s="432"/>
      <c r="B467" s="127"/>
      <c r="C467" s="22" t="s">
        <v>1617</v>
      </c>
      <c r="D467" s="25">
        <v>41351</v>
      </c>
      <c r="E467" s="22">
        <v>3475933</v>
      </c>
      <c r="F467" s="22">
        <f t="shared" ca="1" si="38"/>
        <v>13</v>
      </c>
      <c r="G467" s="22"/>
      <c r="H467" s="22"/>
      <c r="I467" s="21"/>
      <c r="J467" s="22"/>
      <c r="K467" s="22"/>
      <c r="L467" s="8"/>
      <c r="M467" s="8"/>
      <c r="N467" s="8"/>
      <c r="O467" s="8"/>
      <c r="P467" s="104"/>
      <c r="Q467" s="5"/>
      <c r="R467" s="8"/>
    </row>
    <row r="468" spans="1:18" x14ac:dyDescent="0.3">
      <c r="A468" s="378" t="s">
        <v>1618</v>
      </c>
      <c r="B468" s="109"/>
      <c r="C468" s="1" t="s">
        <v>1619</v>
      </c>
      <c r="D468" s="2">
        <v>15234</v>
      </c>
      <c r="E468" s="1">
        <v>2657021</v>
      </c>
      <c r="F468" s="1">
        <f ca="1">YEAR(TODAY())-YEAR(D468)</f>
        <v>85</v>
      </c>
      <c r="G468" s="1" t="s">
        <v>1620</v>
      </c>
      <c r="H468" s="1"/>
      <c r="I468" s="8"/>
      <c r="J468" s="1"/>
      <c r="K468" s="1"/>
      <c r="L468" s="8" t="s">
        <v>1621</v>
      </c>
      <c r="M468" s="8"/>
      <c r="N468" s="8"/>
      <c r="O468" s="8"/>
      <c r="P468" s="9"/>
      <c r="Q468" s="3"/>
      <c r="R468" s="8"/>
    </row>
    <row r="469" spans="1:18" x14ac:dyDescent="0.3">
      <c r="A469" s="384"/>
      <c r="B469" s="109" t="s">
        <v>1622</v>
      </c>
      <c r="C469" s="1" t="s">
        <v>1623</v>
      </c>
      <c r="D469" s="2">
        <v>25101</v>
      </c>
      <c r="E469" s="1">
        <v>2477910</v>
      </c>
      <c r="F469" s="1">
        <f ca="1">YEAR(TODAY())-YEAR(D469)</f>
        <v>58</v>
      </c>
      <c r="G469" s="1" t="s">
        <v>1624</v>
      </c>
      <c r="H469" s="1"/>
      <c r="I469" s="8" t="s">
        <v>924</v>
      </c>
      <c r="J469" s="1"/>
      <c r="K469" s="1"/>
      <c r="L469" s="146" t="s">
        <v>1625</v>
      </c>
      <c r="M469" s="8"/>
      <c r="N469" s="8"/>
      <c r="O469" s="8"/>
      <c r="P469" s="9"/>
      <c r="Q469" s="3"/>
      <c r="R469" s="8"/>
    </row>
    <row r="470" spans="1:18" x14ac:dyDescent="0.3">
      <c r="A470" s="384"/>
      <c r="B470" s="109"/>
      <c r="C470" s="1" t="s">
        <v>1626</v>
      </c>
      <c r="D470" s="2">
        <v>34466</v>
      </c>
      <c r="E470" s="1">
        <v>1411835</v>
      </c>
      <c r="F470" s="1">
        <f ca="1">YEAR(TODAY())-YEAR(D470)</f>
        <v>32</v>
      </c>
      <c r="G470" s="1" t="s">
        <v>1627</v>
      </c>
      <c r="H470" s="1"/>
      <c r="I470" s="8"/>
      <c r="J470" s="1"/>
      <c r="K470" s="1"/>
      <c r="L470" s="146" t="s">
        <v>1625</v>
      </c>
      <c r="M470" s="8"/>
      <c r="N470" s="8"/>
      <c r="O470" s="8"/>
      <c r="P470" s="9"/>
      <c r="Q470" s="3"/>
      <c r="R470" s="8"/>
    </row>
    <row r="471" spans="1:18" x14ac:dyDescent="0.3">
      <c r="A471" s="384"/>
      <c r="B471" s="109"/>
      <c r="C471" s="1" t="s">
        <v>1628</v>
      </c>
      <c r="D471" s="2">
        <v>24329</v>
      </c>
      <c r="E471" s="1">
        <v>1657012</v>
      </c>
      <c r="F471" s="1">
        <f ca="1">YEAR(TODAY())-YEAR(D471)</f>
        <v>60</v>
      </c>
      <c r="G471" s="1" t="s">
        <v>1629</v>
      </c>
      <c r="H471" s="1"/>
      <c r="I471" s="8"/>
      <c r="J471" s="1"/>
      <c r="K471" s="1"/>
      <c r="L471" s="146" t="s">
        <v>1625</v>
      </c>
      <c r="M471" s="8"/>
      <c r="N471" s="8"/>
      <c r="O471" s="8"/>
      <c r="P471" s="9"/>
      <c r="Q471" s="3"/>
      <c r="R471" s="8"/>
    </row>
    <row r="472" spans="1:18" x14ac:dyDescent="0.3">
      <c r="A472" s="379"/>
      <c r="B472" s="109"/>
      <c r="C472" s="1" t="s">
        <v>1630</v>
      </c>
      <c r="D472" s="2">
        <v>33975</v>
      </c>
      <c r="E472" s="1">
        <v>2411818</v>
      </c>
      <c r="F472" s="1">
        <f ca="1">YEAR(TODAY())-YEAR(D472)</f>
        <v>33</v>
      </c>
      <c r="G472" s="1" t="s">
        <v>1631</v>
      </c>
      <c r="H472" s="1"/>
      <c r="I472" s="8"/>
      <c r="J472" s="1"/>
      <c r="K472" s="1"/>
      <c r="L472" s="147" t="s">
        <v>1632</v>
      </c>
      <c r="M472" s="8"/>
      <c r="N472" s="8"/>
      <c r="O472" s="8"/>
      <c r="P472" s="9"/>
      <c r="Q472" s="3"/>
      <c r="R472" s="8"/>
    </row>
    <row r="473" spans="1:18" x14ac:dyDescent="0.3">
      <c r="A473" s="402" t="s">
        <v>1633</v>
      </c>
      <c r="B473" s="118">
        <v>44338</v>
      </c>
      <c r="C473" s="40" t="s">
        <v>186</v>
      </c>
      <c r="D473" s="41">
        <v>28014</v>
      </c>
      <c r="E473" s="40">
        <v>1109410</v>
      </c>
      <c r="F473" s="40">
        <f t="shared" ca="1" si="38"/>
        <v>50</v>
      </c>
      <c r="G473" s="40" t="s">
        <v>1634</v>
      </c>
      <c r="H473" s="40"/>
      <c r="I473" s="39" t="s">
        <v>1635</v>
      </c>
      <c r="J473" s="22"/>
      <c r="K473" s="22"/>
      <c r="L473" s="1"/>
      <c r="M473" s="1"/>
      <c r="N473" s="1"/>
      <c r="O473" s="1"/>
      <c r="P473" s="5"/>
      <c r="Q473" s="5"/>
      <c r="R473" s="1"/>
    </row>
    <row r="474" spans="1:18" ht="49.5" x14ac:dyDescent="0.3">
      <c r="A474" s="437"/>
      <c r="B474" s="118"/>
      <c r="C474" s="40" t="s">
        <v>184</v>
      </c>
      <c r="D474" s="41">
        <v>28870</v>
      </c>
      <c r="E474" s="40">
        <v>2804315</v>
      </c>
      <c r="F474" s="54">
        <f t="shared" ref="F474:F508" ca="1" si="40">YEAR(TODAY())-YEAR(D474)</f>
        <v>47</v>
      </c>
      <c r="G474" s="40" t="s">
        <v>1636</v>
      </c>
      <c r="H474" s="54"/>
      <c r="I474" s="232"/>
      <c r="J474" s="22"/>
      <c r="K474" s="22"/>
      <c r="L474" s="55" t="s">
        <v>185</v>
      </c>
      <c r="M474" s="1"/>
      <c r="N474" s="1"/>
      <c r="O474" s="1"/>
      <c r="P474" s="5"/>
      <c r="Q474" s="5"/>
      <c r="R474" s="1"/>
    </row>
    <row r="475" spans="1:18" x14ac:dyDescent="0.3">
      <c r="A475" s="437"/>
      <c r="B475" s="124"/>
      <c r="C475" s="40" t="s">
        <v>187</v>
      </c>
      <c r="D475" s="41">
        <v>39282</v>
      </c>
      <c r="E475" s="40">
        <v>3412512</v>
      </c>
      <c r="F475" s="40">
        <f t="shared" ca="1" si="40"/>
        <v>19</v>
      </c>
      <c r="G475" s="40"/>
      <c r="H475" s="40"/>
      <c r="I475" s="39"/>
      <c r="J475" s="22"/>
      <c r="K475" s="22"/>
      <c r="L475" s="1"/>
      <c r="M475" s="1"/>
      <c r="N475" s="1"/>
      <c r="O475" s="1"/>
      <c r="P475" s="5"/>
      <c r="Q475" s="5"/>
      <c r="R475" s="1"/>
    </row>
    <row r="476" spans="1:18" x14ac:dyDescent="0.3">
      <c r="A476" s="403"/>
      <c r="B476" s="124"/>
      <c r="C476" s="40" t="s">
        <v>188</v>
      </c>
      <c r="D476" s="41">
        <v>41178</v>
      </c>
      <c r="E476" s="40">
        <v>4412527</v>
      </c>
      <c r="F476" s="40">
        <f t="shared" ca="1" si="40"/>
        <v>14</v>
      </c>
      <c r="G476" s="40"/>
      <c r="H476" s="40"/>
      <c r="I476" s="39"/>
      <c r="J476" s="22"/>
      <c r="K476" s="22"/>
      <c r="L476" s="1"/>
      <c r="M476" s="1"/>
      <c r="N476" s="1"/>
      <c r="O476" s="1"/>
      <c r="P476" s="5"/>
      <c r="Q476" s="5"/>
      <c r="R476" s="1"/>
    </row>
    <row r="477" spans="1:18" x14ac:dyDescent="0.3">
      <c r="A477" s="390" t="s">
        <v>978</v>
      </c>
      <c r="B477" s="119">
        <v>45070</v>
      </c>
      <c r="C477" s="36" t="s">
        <v>979</v>
      </c>
      <c r="D477" s="37">
        <v>27122</v>
      </c>
      <c r="E477" s="36">
        <v>2468517</v>
      </c>
      <c r="F477" s="36">
        <f t="shared" ca="1" si="40"/>
        <v>52</v>
      </c>
      <c r="G477" s="36"/>
      <c r="H477" s="36"/>
      <c r="I477" s="35" t="s">
        <v>1637</v>
      </c>
      <c r="J477" s="22"/>
      <c r="K477" s="22"/>
      <c r="L477" s="8"/>
      <c r="M477" s="8"/>
      <c r="N477" s="8"/>
      <c r="O477" s="8"/>
      <c r="P477" s="104"/>
      <c r="Q477" s="5"/>
      <c r="R477" s="8"/>
    </row>
    <row r="478" spans="1:18" x14ac:dyDescent="0.3">
      <c r="A478" s="412"/>
      <c r="B478" s="120"/>
      <c r="C478" s="36" t="s">
        <v>1638</v>
      </c>
      <c r="D478" s="37">
        <v>27973</v>
      </c>
      <c r="E478" s="36">
        <v>1149210</v>
      </c>
      <c r="F478" s="36">
        <f t="shared" ca="1" si="40"/>
        <v>50</v>
      </c>
      <c r="G478" s="36" t="s">
        <v>1639</v>
      </c>
      <c r="H478" s="36"/>
      <c r="I478" s="35"/>
      <c r="J478" s="22"/>
      <c r="K478" s="22"/>
      <c r="L478" s="8"/>
      <c r="M478" s="8"/>
      <c r="N478" s="8"/>
      <c r="O478" s="8"/>
      <c r="P478" s="104"/>
      <c r="Q478" s="5"/>
      <c r="R478" s="8"/>
    </row>
    <row r="479" spans="1:18" x14ac:dyDescent="0.3">
      <c r="A479" s="398" t="s">
        <v>1640</v>
      </c>
      <c r="B479" s="117">
        <v>45071</v>
      </c>
      <c r="C479" s="27" t="s">
        <v>681</v>
      </c>
      <c r="D479" s="28">
        <v>30357</v>
      </c>
      <c r="E479" s="27">
        <v>1231225</v>
      </c>
      <c r="F479" s="27">
        <f t="shared" ca="1" si="40"/>
        <v>43</v>
      </c>
      <c r="G479" s="27" t="s">
        <v>1641</v>
      </c>
      <c r="H479" s="27"/>
      <c r="I479" s="26" t="s">
        <v>1642</v>
      </c>
      <c r="J479" s="22"/>
      <c r="K479" s="22"/>
      <c r="L479" s="8"/>
      <c r="M479" s="8"/>
      <c r="N479" s="8"/>
      <c r="O479" s="8"/>
      <c r="P479" s="104"/>
      <c r="Q479" s="5"/>
      <c r="R479" s="8"/>
    </row>
    <row r="480" spans="1:18" x14ac:dyDescent="0.3">
      <c r="A480" s="433"/>
      <c r="B480" s="121"/>
      <c r="C480" s="27" t="s">
        <v>682</v>
      </c>
      <c r="D480" s="28">
        <v>29743</v>
      </c>
      <c r="E480" s="27">
        <v>2478011</v>
      </c>
      <c r="F480" s="27">
        <f t="shared" ca="1" si="40"/>
        <v>45</v>
      </c>
      <c r="G480" s="27" t="s">
        <v>1643</v>
      </c>
      <c r="H480" s="27"/>
      <c r="I480" s="26"/>
      <c r="J480" s="22"/>
      <c r="K480" s="22"/>
      <c r="L480" s="8"/>
      <c r="M480" s="8"/>
      <c r="N480" s="8"/>
      <c r="O480" s="8"/>
      <c r="P480" s="104"/>
      <c r="Q480" s="5"/>
      <c r="R480" s="8"/>
    </row>
    <row r="481" spans="1:18" x14ac:dyDescent="0.3">
      <c r="A481" s="433"/>
      <c r="B481" s="121"/>
      <c r="C481" s="27" t="s">
        <v>683</v>
      </c>
      <c r="D481" s="28">
        <v>40486</v>
      </c>
      <c r="E481" s="27">
        <v>3476210</v>
      </c>
      <c r="F481" s="27">
        <f t="shared" ca="1" si="40"/>
        <v>16</v>
      </c>
      <c r="G481" s="27"/>
      <c r="H481" s="27"/>
      <c r="I481" s="26"/>
      <c r="J481" s="22"/>
      <c r="K481" s="22"/>
      <c r="L481" s="8"/>
      <c r="M481" s="8"/>
      <c r="N481" s="8"/>
      <c r="O481" s="8"/>
      <c r="P481" s="104"/>
      <c r="Q481" s="5"/>
      <c r="R481" s="8"/>
    </row>
    <row r="482" spans="1:18" x14ac:dyDescent="0.3">
      <c r="A482" s="433"/>
      <c r="B482" s="121"/>
      <c r="C482" s="27" t="s">
        <v>684</v>
      </c>
      <c r="D482" s="28">
        <v>41083</v>
      </c>
      <c r="E482" s="27">
        <v>4476213</v>
      </c>
      <c r="F482" s="27">
        <f t="shared" ca="1" si="40"/>
        <v>14</v>
      </c>
      <c r="G482" s="27"/>
      <c r="H482" s="27"/>
      <c r="I482" s="26"/>
      <c r="J482" s="22"/>
      <c r="K482" s="22"/>
      <c r="L482" s="8"/>
      <c r="M482" s="8"/>
      <c r="N482" s="8"/>
      <c r="O482" s="8"/>
      <c r="P482" s="104"/>
      <c r="Q482" s="5"/>
      <c r="R482" s="8"/>
    </row>
    <row r="483" spans="1:18" x14ac:dyDescent="0.3">
      <c r="A483" s="433"/>
      <c r="B483" s="121"/>
      <c r="C483" s="27" t="s">
        <v>685</v>
      </c>
      <c r="D483" s="28">
        <v>42044</v>
      </c>
      <c r="E483" s="27">
        <v>3476213</v>
      </c>
      <c r="F483" s="27">
        <f t="shared" ca="1" si="40"/>
        <v>11</v>
      </c>
      <c r="G483" s="27"/>
      <c r="H483" s="27"/>
      <c r="I483" s="26"/>
      <c r="J483" s="22"/>
      <c r="K483" s="22"/>
      <c r="L483" s="8"/>
      <c r="M483" s="8"/>
      <c r="N483" s="8"/>
      <c r="O483" s="8"/>
      <c r="P483" s="104"/>
      <c r="Q483" s="5"/>
      <c r="R483" s="8"/>
    </row>
    <row r="484" spans="1:18" x14ac:dyDescent="0.3">
      <c r="A484" s="419"/>
      <c r="B484" s="121"/>
      <c r="C484" s="27" t="s">
        <v>686</v>
      </c>
      <c r="D484" s="28">
        <v>42424</v>
      </c>
      <c r="E484" s="27">
        <v>3476211</v>
      </c>
      <c r="F484" s="27">
        <f t="shared" ca="1" si="40"/>
        <v>10</v>
      </c>
      <c r="G484" s="27"/>
      <c r="H484" s="27"/>
      <c r="I484" s="26"/>
      <c r="J484" s="22"/>
      <c r="K484" s="22"/>
      <c r="L484" s="8"/>
      <c r="M484" s="8"/>
      <c r="N484" s="8"/>
      <c r="O484" s="8"/>
      <c r="P484" s="104"/>
      <c r="Q484" s="5"/>
      <c r="R484" s="8"/>
    </row>
    <row r="485" spans="1:18" x14ac:dyDescent="0.3">
      <c r="A485" s="30"/>
      <c r="B485" s="112">
        <v>45071</v>
      </c>
      <c r="C485" s="30" t="s">
        <v>1644</v>
      </c>
      <c r="D485" s="31">
        <v>25066</v>
      </c>
      <c r="E485" s="30">
        <v>1631825</v>
      </c>
      <c r="F485" s="30">
        <f t="shared" ca="1" si="40"/>
        <v>58</v>
      </c>
      <c r="G485" s="30" t="s">
        <v>1645</v>
      </c>
      <c r="H485" s="30" t="s">
        <v>1218</v>
      </c>
      <c r="I485" s="29" t="s">
        <v>1646</v>
      </c>
      <c r="J485" s="22"/>
      <c r="K485" s="22"/>
      <c r="L485" s="1"/>
      <c r="M485" s="1"/>
      <c r="N485" s="1"/>
      <c r="O485" s="1"/>
      <c r="P485" s="5"/>
      <c r="Q485" s="5"/>
      <c r="R485" s="1"/>
    </row>
    <row r="486" spans="1:18" x14ac:dyDescent="0.3">
      <c r="A486" s="398" t="s">
        <v>1647</v>
      </c>
      <c r="B486" s="117">
        <v>45072</v>
      </c>
      <c r="C486" s="27" t="s">
        <v>1648</v>
      </c>
      <c r="D486" s="28">
        <v>24793</v>
      </c>
      <c r="E486" s="27">
        <v>2823016</v>
      </c>
      <c r="F486" s="27">
        <f t="shared" ca="1" si="40"/>
        <v>59</v>
      </c>
      <c r="G486" s="27" t="s">
        <v>1649</v>
      </c>
      <c r="H486" s="27"/>
      <c r="I486" s="26" t="s">
        <v>1650</v>
      </c>
      <c r="J486" s="22"/>
      <c r="K486" s="22"/>
      <c r="L486" s="8"/>
      <c r="M486" s="8"/>
      <c r="N486" s="8"/>
      <c r="O486" s="8"/>
      <c r="P486" s="104"/>
      <c r="Q486" s="5"/>
      <c r="R486" s="8"/>
    </row>
    <row r="487" spans="1:18" x14ac:dyDescent="0.3">
      <c r="A487" s="399"/>
      <c r="B487" s="121"/>
      <c r="C487" s="27" t="s">
        <v>1651</v>
      </c>
      <c r="D487" s="28">
        <v>17070</v>
      </c>
      <c r="E487" s="27">
        <v>2823038</v>
      </c>
      <c r="F487" s="27">
        <f t="shared" ca="1" si="40"/>
        <v>80</v>
      </c>
      <c r="G487" s="27" t="s">
        <v>1652</v>
      </c>
      <c r="H487" s="27"/>
      <c r="I487" s="26"/>
      <c r="J487" s="27"/>
      <c r="K487" s="27"/>
      <c r="L487" s="8"/>
      <c r="M487" s="8"/>
      <c r="N487" s="8"/>
      <c r="O487" s="8"/>
      <c r="P487" s="104"/>
      <c r="Q487" s="5"/>
      <c r="R487" s="8"/>
    </row>
    <row r="488" spans="1:18" x14ac:dyDescent="0.3">
      <c r="A488" s="402" t="s">
        <v>1653</v>
      </c>
      <c r="B488" s="118">
        <v>45072</v>
      </c>
      <c r="C488" s="40" t="s">
        <v>212</v>
      </c>
      <c r="D488" s="41">
        <v>21353</v>
      </c>
      <c r="E488" s="40">
        <v>1079515</v>
      </c>
      <c r="F488" s="40">
        <f ca="1">YEAR(TODAY())-YEAR(D488)</f>
        <v>68</v>
      </c>
      <c r="G488" s="40" t="s">
        <v>1654</v>
      </c>
      <c r="H488" s="40"/>
      <c r="I488" s="39"/>
      <c r="J488" s="1"/>
      <c r="K488" s="1"/>
      <c r="L488" s="8"/>
      <c r="M488" s="8"/>
      <c r="N488" s="8"/>
      <c r="O488" s="8"/>
      <c r="P488" s="104"/>
      <c r="Q488" s="5"/>
      <c r="R488" s="8"/>
    </row>
    <row r="489" spans="1:18" x14ac:dyDescent="0.3">
      <c r="A489" s="437"/>
      <c r="B489" s="124"/>
      <c r="C489" s="40" t="s">
        <v>213</v>
      </c>
      <c r="D489" s="41">
        <v>24793</v>
      </c>
      <c r="E489" s="40">
        <v>2173425</v>
      </c>
      <c r="F489" s="40">
        <f ca="1">YEAR(TODAY())-YEAR(D489)</f>
        <v>59</v>
      </c>
      <c r="G489" s="40" t="s">
        <v>1655</v>
      </c>
      <c r="H489" s="40"/>
      <c r="I489" s="39" t="s">
        <v>1656</v>
      </c>
      <c r="J489" s="1">
        <v>202006</v>
      </c>
      <c r="K489" s="1"/>
      <c r="L489" s="8" t="s">
        <v>3474</v>
      </c>
      <c r="M489" s="8"/>
      <c r="N489" s="8"/>
      <c r="O489" s="8"/>
      <c r="P489" s="104"/>
      <c r="Q489" s="5"/>
      <c r="R489" s="8"/>
    </row>
    <row r="490" spans="1:18" x14ac:dyDescent="0.3">
      <c r="A490" s="437"/>
      <c r="B490" s="124"/>
      <c r="C490" s="40" t="s">
        <v>214</v>
      </c>
      <c r="D490" s="41">
        <v>33526</v>
      </c>
      <c r="E490" s="40">
        <v>2083211</v>
      </c>
      <c r="F490" s="40">
        <f ca="1">YEAR(TODAY())-YEAR(D490)</f>
        <v>35</v>
      </c>
      <c r="G490" s="40" t="s">
        <v>1657</v>
      </c>
      <c r="H490" s="40"/>
      <c r="I490" s="39"/>
      <c r="J490" s="1"/>
      <c r="K490" s="1"/>
      <c r="L490" s="8"/>
      <c r="M490" s="8"/>
      <c r="N490" s="8"/>
      <c r="O490" s="8"/>
      <c r="P490" s="104"/>
      <c r="Q490" s="5"/>
      <c r="R490" s="8"/>
    </row>
    <row r="491" spans="1:18" x14ac:dyDescent="0.3">
      <c r="A491" s="403"/>
      <c r="B491" s="124"/>
      <c r="C491" s="40" t="s">
        <v>215</v>
      </c>
      <c r="D491" s="41">
        <v>34295</v>
      </c>
      <c r="E491" s="40">
        <v>1083212</v>
      </c>
      <c r="F491" s="40">
        <f ca="1">YEAR(TODAY())-YEAR(D491)</f>
        <v>33</v>
      </c>
      <c r="G491" s="40" t="s">
        <v>1658</v>
      </c>
      <c r="H491" s="40"/>
      <c r="I491" s="39"/>
      <c r="J491" s="1"/>
      <c r="K491" s="1"/>
      <c r="L491" s="8"/>
      <c r="M491" s="8"/>
      <c r="N491" s="8"/>
      <c r="O491" s="8"/>
      <c r="P491" s="104"/>
      <c r="Q491" s="5"/>
      <c r="R491" s="8"/>
    </row>
    <row r="492" spans="1:18" x14ac:dyDescent="0.3">
      <c r="A492" s="30"/>
      <c r="B492" s="112">
        <v>45073</v>
      </c>
      <c r="C492" s="30" t="s">
        <v>1659</v>
      </c>
      <c r="D492" s="31">
        <v>32361</v>
      </c>
      <c r="E492" s="30">
        <v>2473727</v>
      </c>
      <c r="F492" s="30">
        <f t="shared" ca="1" si="40"/>
        <v>38</v>
      </c>
      <c r="G492" s="30" t="s">
        <v>1660</v>
      </c>
      <c r="H492" s="30" t="s">
        <v>1218</v>
      </c>
      <c r="I492" s="29" t="s">
        <v>1661</v>
      </c>
      <c r="J492" s="1"/>
      <c r="K492" s="1"/>
      <c r="L492" s="1"/>
      <c r="M492" s="1"/>
      <c r="N492" s="1"/>
      <c r="O492" s="1"/>
      <c r="P492" s="5"/>
      <c r="Q492" s="5"/>
      <c r="R492" s="1"/>
    </row>
    <row r="493" spans="1:18" x14ac:dyDescent="0.3">
      <c r="A493" s="395" t="s">
        <v>1494</v>
      </c>
      <c r="B493" s="116">
        <v>44343</v>
      </c>
      <c r="C493" s="22" t="s">
        <v>189</v>
      </c>
      <c r="D493" s="25">
        <v>31376</v>
      </c>
      <c r="E493" s="22">
        <v>2053111</v>
      </c>
      <c r="F493" s="22">
        <f t="shared" ca="1" si="40"/>
        <v>41</v>
      </c>
      <c r="G493" s="22" t="s">
        <v>1662</v>
      </c>
      <c r="H493" s="22"/>
      <c r="I493" s="21" t="s">
        <v>1663</v>
      </c>
      <c r="J493" s="1"/>
      <c r="K493" s="1"/>
      <c r="L493" s="8"/>
      <c r="M493" s="8"/>
      <c r="N493" s="8"/>
      <c r="O493" s="8"/>
      <c r="P493" s="104"/>
      <c r="Q493" s="5"/>
      <c r="R493" s="8"/>
    </row>
    <row r="494" spans="1:18" x14ac:dyDescent="0.3">
      <c r="A494" s="396"/>
      <c r="B494" s="116"/>
      <c r="C494" s="22" t="s">
        <v>190</v>
      </c>
      <c r="D494" s="25">
        <v>30654</v>
      </c>
      <c r="E494" s="22">
        <v>1122715</v>
      </c>
      <c r="F494" s="22">
        <f t="shared" ca="1" si="40"/>
        <v>43</v>
      </c>
      <c r="G494" s="22" t="s">
        <v>1664</v>
      </c>
      <c r="H494" s="22"/>
      <c r="I494" s="21"/>
      <c r="J494" s="1"/>
      <c r="K494" s="1"/>
      <c r="L494" s="8"/>
      <c r="M494" s="8"/>
      <c r="N494" s="8"/>
      <c r="O494" s="8"/>
      <c r="P494" s="104"/>
      <c r="Q494" s="5"/>
      <c r="R494" s="8"/>
    </row>
    <row r="495" spans="1:18" x14ac:dyDescent="0.3">
      <c r="A495" s="396"/>
      <c r="B495" s="127"/>
      <c r="C495" s="22" t="s">
        <v>191</v>
      </c>
      <c r="D495" s="25">
        <v>42850</v>
      </c>
      <c r="E495" s="22">
        <v>3047112</v>
      </c>
      <c r="F495" s="22">
        <f t="shared" ca="1" si="40"/>
        <v>9</v>
      </c>
      <c r="G495" s="22"/>
      <c r="H495" s="22"/>
      <c r="I495" s="21"/>
      <c r="J495" s="1"/>
      <c r="K495" s="1"/>
      <c r="L495" s="8"/>
      <c r="M495" s="8"/>
      <c r="N495" s="8"/>
      <c r="O495" s="8"/>
      <c r="P495" s="104"/>
      <c r="Q495" s="5"/>
      <c r="R495" s="8"/>
    </row>
    <row r="496" spans="1:18" s="76" customFormat="1" x14ac:dyDescent="0.3">
      <c r="A496" s="439" t="s">
        <v>1665</v>
      </c>
      <c r="B496" s="118">
        <v>45073</v>
      </c>
      <c r="C496" s="40" t="s">
        <v>1666</v>
      </c>
      <c r="D496" s="41">
        <v>26092</v>
      </c>
      <c r="E496" s="40">
        <v>1951511</v>
      </c>
      <c r="F496" s="40">
        <f t="shared" ca="1" si="40"/>
        <v>55</v>
      </c>
      <c r="G496" s="40" t="s">
        <v>1667</v>
      </c>
      <c r="H496" s="40"/>
      <c r="I496" s="39" t="s">
        <v>1668</v>
      </c>
      <c r="J496" s="1"/>
      <c r="K496" s="1"/>
      <c r="L496" s="8"/>
      <c r="M496" s="8"/>
      <c r="N496" s="8"/>
      <c r="O496" s="8"/>
      <c r="P496" s="104"/>
      <c r="Q496" s="5"/>
      <c r="R496" s="8"/>
    </row>
    <row r="497" spans="1:18" s="76" customFormat="1" x14ac:dyDescent="0.3">
      <c r="A497" s="440"/>
      <c r="B497" s="124"/>
      <c r="C497" s="40" t="s">
        <v>1669</v>
      </c>
      <c r="D497" s="41">
        <v>35846</v>
      </c>
      <c r="E497" s="40">
        <v>1951517</v>
      </c>
      <c r="F497" s="40">
        <f t="shared" ca="1" si="40"/>
        <v>28</v>
      </c>
      <c r="G497" s="40"/>
      <c r="H497" s="40"/>
      <c r="I497" s="39"/>
      <c r="J497" s="1"/>
      <c r="K497" s="1"/>
      <c r="L497" s="8"/>
      <c r="M497" s="8"/>
      <c r="N497" s="8"/>
      <c r="O497" s="8"/>
      <c r="P497" s="104"/>
      <c r="Q497" s="5"/>
      <c r="R497" s="8"/>
    </row>
    <row r="498" spans="1:18" s="76" customFormat="1" x14ac:dyDescent="0.3">
      <c r="A498" s="440"/>
      <c r="B498" s="124"/>
      <c r="C498" s="40" t="s">
        <v>1670</v>
      </c>
      <c r="D498" s="41">
        <v>36562</v>
      </c>
      <c r="E498" s="40">
        <v>3951513</v>
      </c>
      <c r="F498" s="40">
        <f t="shared" ca="1" si="40"/>
        <v>26</v>
      </c>
      <c r="G498" s="40"/>
      <c r="H498" s="40"/>
      <c r="I498" s="39"/>
      <c r="J498" s="1"/>
      <c r="K498" s="1"/>
      <c r="L498" s="8"/>
      <c r="M498" s="8"/>
      <c r="N498" s="8"/>
      <c r="O498" s="8"/>
      <c r="P498" s="104"/>
      <c r="Q498" s="5"/>
      <c r="R498" s="8"/>
    </row>
    <row r="499" spans="1:18" x14ac:dyDescent="0.3">
      <c r="A499" s="201" t="s">
        <v>739</v>
      </c>
      <c r="B499" s="114">
        <v>45073</v>
      </c>
      <c r="C499" s="57" t="s">
        <v>26</v>
      </c>
      <c r="D499" s="58">
        <v>29900</v>
      </c>
      <c r="E499" s="57">
        <v>1918416</v>
      </c>
      <c r="F499" s="57">
        <f t="shared" ca="1" si="40"/>
        <v>45</v>
      </c>
      <c r="G499" s="57" t="s">
        <v>740</v>
      </c>
      <c r="H499" s="57"/>
      <c r="I499" s="179" t="s">
        <v>1671</v>
      </c>
      <c r="J499" s="1"/>
      <c r="K499" s="1"/>
      <c r="L499" s="8"/>
      <c r="M499" s="8"/>
      <c r="N499" s="8"/>
      <c r="O499" s="8"/>
      <c r="P499" s="104"/>
      <c r="Q499" s="5"/>
      <c r="R499" s="8"/>
    </row>
    <row r="500" spans="1:18" s="189" customFormat="1" x14ac:dyDescent="0.3">
      <c r="A500" s="183" t="s">
        <v>1435</v>
      </c>
      <c r="B500" s="112">
        <v>45074</v>
      </c>
      <c r="C500" s="30" t="s">
        <v>1436</v>
      </c>
      <c r="D500" s="31">
        <v>22470</v>
      </c>
      <c r="E500" s="30">
        <v>1567513</v>
      </c>
      <c r="F500" s="30">
        <f t="shared" ca="1" si="40"/>
        <v>65</v>
      </c>
      <c r="G500" s="30" t="s">
        <v>1437</v>
      </c>
      <c r="H500" s="30"/>
      <c r="I500" s="29" t="s">
        <v>1672</v>
      </c>
      <c r="J500" s="1"/>
      <c r="K500" s="1"/>
      <c r="L500" s="8"/>
      <c r="M500" s="8"/>
      <c r="N500" s="8"/>
      <c r="O500" s="8"/>
      <c r="P500" s="104"/>
      <c r="Q500" s="5"/>
      <c r="R500" s="8"/>
    </row>
    <row r="501" spans="1:18" x14ac:dyDescent="0.3">
      <c r="A501" s="394" t="s">
        <v>1673</v>
      </c>
      <c r="B501" s="120"/>
      <c r="C501" s="36" t="s">
        <v>653</v>
      </c>
      <c r="D501" s="37">
        <v>25934</v>
      </c>
      <c r="E501" s="36">
        <v>2478621</v>
      </c>
      <c r="F501" s="36">
        <f t="shared" ca="1" si="40"/>
        <v>55</v>
      </c>
      <c r="G501" s="36" t="s">
        <v>1674</v>
      </c>
      <c r="H501" s="36"/>
      <c r="I501" s="35"/>
      <c r="J501" s="1"/>
      <c r="K501" s="1"/>
      <c r="L501" s="8"/>
      <c r="M501" s="8"/>
      <c r="N501" s="8"/>
      <c r="O501" s="8"/>
      <c r="P501" s="104"/>
      <c r="Q501" s="5"/>
      <c r="R501" s="8"/>
    </row>
    <row r="502" spans="1:18" x14ac:dyDescent="0.3">
      <c r="A502" s="401"/>
      <c r="B502" s="119">
        <v>45074</v>
      </c>
      <c r="C502" s="36" t="s">
        <v>654</v>
      </c>
      <c r="D502" s="37">
        <v>35319</v>
      </c>
      <c r="E502" s="36">
        <v>1233814</v>
      </c>
      <c r="F502" s="36">
        <f t="shared" ca="1" si="40"/>
        <v>30</v>
      </c>
      <c r="G502" s="36" t="s">
        <v>1675</v>
      </c>
      <c r="H502" s="36"/>
      <c r="I502" s="35" t="s">
        <v>1676</v>
      </c>
      <c r="J502" s="1"/>
      <c r="K502" s="1"/>
      <c r="L502" s="8"/>
      <c r="M502" s="8"/>
      <c r="N502" s="8"/>
      <c r="O502" s="8"/>
      <c r="P502" s="104"/>
      <c r="Q502" s="5"/>
      <c r="R502" s="8"/>
    </row>
    <row r="503" spans="1:18" x14ac:dyDescent="0.3">
      <c r="A503" s="401"/>
      <c r="B503" s="119"/>
      <c r="C503" s="36" t="s">
        <v>1677</v>
      </c>
      <c r="D503" s="37">
        <v>33492</v>
      </c>
      <c r="E503" s="36">
        <v>2590514</v>
      </c>
      <c r="F503" s="36"/>
      <c r="G503" s="36" t="s">
        <v>1678</v>
      </c>
      <c r="H503" s="36"/>
      <c r="I503" s="35"/>
      <c r="J503" s="1"/>
      <c r="K503" s="1"/>
      <c r="L503" s="8"/>
      <c r="M503" s="8"/>
      <c r="N503" s="8"/>
      <c r="O503" s="8"/>
      <c r="P503" s="104"/>
      <c r="Q503" s="5"/>
      <c r="R503" s="8"/>
    </row>
    <row r="504" spans="1:18" x14ac:dyDescent="0.3">
      <c r="A504" s="401"/>
      <c r="B504" s="120"/>
      <c r="C504" s="36" t="s">
        <v>655</v>
      </c>
      <c r="D504" s="37">
        <v>36812</v>
      </c>
      <c r="E504" s="36">
        <v>4233810</v>
      </c>
      <c r="F504" s="36">
        <f t="shared" ca="1" si="40"/>
        <v>26</v>
      </c>
      <c r="G504" s="36" t="s">
        <v>1679</v>
      </c>
      <c r="H504" s="36"/>
      <c r="I504" s="35"/>
      <c r="J504" s="1"/>
      <c r="K504" s="1"/>
      <c r="L504" s="8"/>
      <c r="M504" s="8"/>
      <c r="N504" s="8"/>
      <c r="O504" s="8"/>
      <c r="P504" s="104"/>
      <c r="Q504" s="5"/>
      <c r="R504" s="8"/>
    </row>
    <row r="505" spans="1:18" s="189" customFormat="1" x14ac:dyDescent="0.3">
      <c r="A505" s="414" t="s">
        <v>1680</v>
      </c>
      <c r="B505" s="112">
        <v>45075</v>
      </c>
      <c r="C505" s="30" t="s">
        <v>1681</v>
      </c>
      <c r="D505" s="31">
        <v>22761</v>
      </c>
      <c r="E505" s="30">
        <v>2412014</v>
      </c>
      <c r="F505" s="30">
        <f t="shared" ca="1" si="40"/>
        <v>64</v>
      </c>
      <c r="G505" s="30" t="s">
        <v>1682</v>
      </c>
      <c r="H505" s="30"/>
      <c r="I505" s="29" t="s">
        <v>1683</v>
      </c>
      <c r="J505" s="1"/>
      <c r="K505" s="1"/>
      <c r="L505" s="8"/>
      <c r="M505" s="8"/>
      <c r="N505" s="8"/>
      <c r="O505" s="8"/>
      <c r="P505" s="104"/>
      <c r="Q505" s="5"/>
      <c r="R505" s="8"/>
    </row>
    <row r="506" spans="1:18" s="189" customFormat="1" x14ac:dyDescent="0.3">
      <c r="A506" s="415"/>
      <c r="B506" s="113"/>
      <c r="C506" s="30" t="s">
        <v>1684</v>
      </c>
      <c r="D506" s="31">
        <v>21948</v>
      </c>
      <c r="E506" s="30">
        <v>1249712</v>
      </c>
      <c r="F506" s="30">
        <f t="shared" ca="1" si="40"/>
        <v>66</v>
      </c>
      <c r="G506" s="30" t="s">
        <v>1685</v>
      </c>
      <c r="H506" s="30"/>
      <c r="I506" s="29"/>
      <c r="J506" s="1"/>
      <c r="K506" s="1"/>
      <c r="L506" s="8"/>
      <c r="M506" s="8"/>
      <c r="N506" s="8"/>
      <c r="O506" s="8"/>
      <c r="P506" s="104"/>
      <c r="Q506" s="5"/>
      <c r="R506" s="8"/>
    </row>
    <row r="507" spans="1:18" ht="33" x14ac:dyDescent="0.3">
      <c r="A507" s="33"/>
      <c r="B507" s="110">
        <v>45075</v>
      </c>
      <c r="C507" s="33" t="s">
        <v>1686</v>
      </c>
      <c r="D507" s="34">
        <v>21591</v>
      </c>
      <c r="E507" s="33">
        <v>1783827</v>
      </c>
      <c r="F507" s="33">
        <f t="shared" ca="1" si="40"/>
        <v>67</v>
      </c>
      <c r="G507" s="33"/>
      <c r="H507" s="33" t="s">
        <v>1687</v>
      </c>
      <c r="I507" s="233" t="s">
        <v>1688</v>
      </c>
      <c r="J507" s="1"/>
      <c r="K507" s="1"/>
      <c r="L507" s="8"/>
      <c r="M507" s="8"/>
      <c r="N507" s="8"/>
      <c r="O507" s="8"/>
      <c r="P507" s="104"/>
      <c r="Q507" s="5"/>
      <c r="R507" s="8"/>
    </row>
    <row r="508" spans="1:18" x14ac:dyDescent="0.3">
      <c r="A508" s="398" t="s">
        <v>1689</v>
      </c>
      <c r="B508" s="117">
        <v>44347</v>
      </c>
      <c r="C508" s="27" t="s">
        <v>193</v>
      </c>
      <c r="D508" s="28">
        <v>30011</v>
      </c>
      <c r="E508" s="27">
        <v>2457213</v>
      </c>
      <c r="F508" s="27">
        <f t="shared" ca="1" si="40"/>
        <v>44</v>
      </c>
      <c r="G508" s="27" t="s">
        <v>1690</v>
      </c>
      <c r="H508" s="27"/>
      <c r="I508" s="26" t="s">
        <v>1691</v>
      </c>
      <c r="J508" s="1"/>
      <c r="K508" s="1"/>
      <c r="L508" s="8"/>
      <c r="M508" s="8"/>
      <c r="N508" s="8"/>
      <c r="O508" s="8"/>
      <c r="P508" s="104"/>
      <c r="Q508" s="5"/>
      <c r="R508" s="8"/>
    </row>
    <row r="509" spans="1:18" x14ac:dyDescent="0.3">
      <c r="A509" s="399"/>
      <c r="B509" s="121"/>
      <c r="C509" s="27" t="s">
        <v>192</v>
      </c>
      <c r="D509" s="28">
        <v>29496</v>
      </c>
      <c r="E509" s="27">
        <v>1457316</v>
      </c>
      <c r="F509" s="27">
        <f t="shared" ref="F509:F519" ca="1" si="41">YEAR(TODAY())-YEAR(D509)</f>
        <v>46</v>
      </c>
      <c r="G509" s="27" t="s">
        <v>1692</v>
      </c>
      <c r="H509" s="27"/>
      <c r="I509" s="26"/>
      <c r="J509" s="1"/>
      <c r="K509" s="1"/>
      <c r="L509" s="8"/>
      <c r="M509" s="8"/>
      <c r="N509" s="8"/>
      <c r="O509" s="8"/>
      <c r="P509" s="104"/>
      <c r="Q509" s="5"/>
      <c r="R509" s="8"/>
    </row>
    <row r="510" spans="1:18" x14ac:dyDescent="0.3">
      <c r="A510" s="399"/>
      <c r="B510" s="121"/>
      <c r="C510" s="27" t="s">
        <v>194</v>
      </c>
      <c r="D510" s="28">
        <v>40505</v>
      </c>
      <c r="E510" s="27">
        <v>4412017</v>
      </c>
      <c r="F510" s="27">
        <f t="shared" ca="1" si="41"/>
        <v>16</v>
      </c>
      <c r="G510" s="27"/>
      <c r="H510" s="27"/>
      <c r="I510" s="26"/>
      <c r="J510" s="1"/>
      <c r="K510" s="1"/>
      <c r="L510" s="8"/>
      <c r="M510" s="8"/>
      <c r="N510" s="8"/>
      <c r="O510" s="8"/>
      <c r="P510" s="104"/>
      <c r="Q510" s="5"/>
      <c r="R510" s="8"/>
    </row>
    <row r="511" spans="1:18" x14ac:dyDescent="0.3">
      <c r="A511" s="438"/>
      <c r="B511" s="121"/>
      <c r="C511" s="27" t="s">
        <v>195</v>
      </c>
      <c r="D511" s="28">
        <v>42219</v>
      </c>
      <c r="E511" s="27">
        <v>4412016</v>
      </c>
      <c r="F511" s="27">
        <f t="shared" ca="1" si="41"/>
        <v>11</v>
      </c>
      <c r="G511" s="27"/>
      <c r="H511" s="27"/>
      <c r="I511" s="26"/>
      <c r="J511" s="1"/>
      <c r="K511" s="1"/>
      <c r="L511" s="8"/>
      <c r="M511" s="8"/>
      <c r="N511" s="8"/>
      <c r="O511" s="8"/>
      <c r="P511" s="104"/>
      <c r="Q511" s="5"/>
      <c r="R511" s="8"/>
    </row>
    <row r="512" spans="1:18" x14ac:dyDescent="0.3">
      <c r="A512" s="414" t="s">
        <v>1539</v>
      </c>
      <c r="B512" s="112">
        <v>44347</v>
      </c>
      <c r="C512" s="30" t="s">
        <v>106</v>
      </c>
      <c r="D512" s="31">
        <v>30625</v>
      </c>
      <c r="E512" s="30">
        <v>1852518</v>
      </c>
      <c r="F512" s="30">
        <f t="shared" ca="1" si="41"/>
        <v>43</v>
      </c>
      <c r="G512" s="30" t="s">
        <v>1351</v>
      </c>
      <c r="H512" s="30"/>
      <c r="I512" s="29" t="s">
        <v>1693</v>
      </c>
      <c r="J512" s="1"/>
      <c r="K512" s="1"/>
      <c r="L512" s="8"/>
      <c r="M512" s="8" t="s">
        <v>196</v>
      </c>
      <c r="N512" s="8"/>
      <c r="O512" s="8"/>
      <c r="P512" s="104"/>
      <c r="Q512" s="5"/>
      <c r="R512" s="8"/>
    </row>
    <row r="513" spans="1:18" x14ac:dyDescent="0.3">
      <c r="A513" s="414"/>
      <c r="B513" s="113"/>
      <c r="C513" s="30" t="s">
        <v>197</v>
      </c>
      <c r="D513" s="31">
        <v>32114</v>
      </c>
      <c r="E513" s="30">
        <v>2114725</v>
      </c>
      <c r="F513" s="30">
        <f t="shared" ca="1" si="41"/>
        <v>39</v>
      </c>
      <c r="G513" s="30" t="s">
        <v>1694</v>
      </c>
      <c r="H513" s="30"/>
      <c r="I513" s="29"/>
      <c r="J513" s="1"/>
      <c r="K513" s="1"/>
      <c r="L513" s="8" t="s">
        <v>1695</v>
      </c>
      <c r="M513" s="8" t="s">
        <v>70</v>
      </c>
      <c r="N513" s="8"/>
      <c r="O513" s="8"/>
      <c r="P513" s="104"/>
      <c r="Q513" s="5"/>
      <c r="R513" s="8"/>
    </row>
    <row r="514" spans="1:18" x14ac:dyDescent="0.3">
      <c r="A514" s="414"/>
      <c r="B514" s="113"/>
      <c r="C514" s="30" t="s">
        <v>198</v>
      </c>
      <c r="D514" s="31">
        <v>41590</v>
      </c>
      <c r="E514" s="30">
        <v>4853413</v>
      </c>
      <c r="F514" s="30">
        <f t="shared" ca="1" si="41"/>
        <v>13</v>
      </c>
      <c r="G514" s="30"/>
      <c r="H514" s="30"/>
      <c r="I514" s="29"/>
      <c r="J514" s="1"/>
      <c r="K514" s="1"/>
      <c r="L514" s="8"/>
      <c r="M514" s="8" t="s">
        <v>199</v>
      </c>
      <c r="N514" s="8"/>
      <c r="O514" s="8"/>
      <c r="P514" s="104"/>
      <c r="Q514" s="5"/>
      <c r="R514" s="8"/>
    </row>
    <row r="515" spans="1:18" x14ac:dyDescent="0.3">
      <c r="A515" s="414"/>
      <c r="B515" s="113"/>
      <c r="C515" s="30" t="s">
        <v>200</v>
      </c>
      <c r="D515" s="31">
        <v>42241</v>
      </c>
      <c r="E515" s="30">
        <v>4853421</v>
      </c>
      <c r="F515" s="30">
        <f t="shared" ca="1" si="41"/>
        <v>11</v>
      </c>
      <c r="G515" s="30"/>
      <c r="H515" s="30"/>
      <c r="I515" s="29"/>
      <c r="J515" s="1"/>
      <c r="K515" s="1"/>
      <c r="L515" s="8"/>
      <c r="M515" s="8" t="s">
        <v>61</v>
      </c>
      <c r="N515" s="8"/>
      <c r="O515" s="8"/>
      <c r="P515" s="104"/>
      <c r="Q515" s="5"/>
      <c r="R515" s="8"/>
    </row>
    <row r="516" spans="1:18" x14ac:dyDescent="0.3">
      <c r="A516" s="36"/>
      <c r="B516" s="119">
        <v>45078</v>
      </c>
      <c r="C516" s="36" t="s">
        <v>1216</v>
      </c>
      <c r="D516" s="37">
        <v>34136</v>
      </c>
      <c r="E516" s="36">
        <v>1446711</v>
      </c>
      <c r="F516" s="36">
        <f t="shared" ca="1" si="41"/>
        <v>33</v>
      </c>
      <c r="G516" s="36" t="s">
        <v>1217</v>
      </c>
      <c r="H516" s="36" t="s">
        <v>1218</v>
      </c>
      <c r="I516" s="35" t="s">
        <v>1696</v>
      </c>
      <c r="J516" s="1"/>
      <c r="K516" s="1"/>
      <c r="L516" s="8"/>
      <c r="M516" s="8"/>
      <c r="N516" s="8"/>
      <c r="O516" s="8"/>
      <c r="P516" s="104"/>
      <c r="Q516" s="5"/>
      <c r="R516" s="8"/>
    </row>
    <row r="517" spans="1:18" x14ac:dyDescent="0.3">
      <c r="A517" s="404" t="s">
        <v>1697</v>
      </c>
      <c r="B517" s="110">
        <v>45078</v>
      </c>
      <c r="C517" s="33" t="s">
        <v>678</v>
      </c>
      <c r="D517" s="34">
        <v>21040</v>
      </c>
      <c r="E517" s="33">
        <v>2462433</v>
      </c>
      <c r="F517" s="33">
        <f t="shared" ca="1" si="41"/>
        <v>69</v>
      </c>
      <c r="G517" s="33" t="s">
        <v>1698</v>
      </c>
      <c r="H517" s="33"/>
      <c r="I517" s="32" t="s">
        <v>1699</v>
      </c>
      <c r="J517" s="1"/>
      <c r="K517" s="1"/>
      <c r="L517" s="8"/>
      <c r="M517" s="8"/>
      <c r="N517" s="8"/>
      <c r="O517" s="8"/>
      <c r="P517" s="104"/>
      <c r="Q517" s="5"/>
      <c r="R517" s="8"/>
    </row>
    <row r="518" spans="1:18" x14ac:dyDescent="0.3">
      <c r="A518" s="405"/>
      <c r="B518" s="111"/>
      <c r="C518" s="33" t="s">
        <v>679</v>
      </c>
      <c r="D518" s="34">
        <v>21823</v>
      </c>
      <c r="E518" s="33">
        <v>2411911</v>
      </c>
      <c r="F518" s="33">
        <f t="shared" ca="1" si="41"/>
        <v>67</v>
      </c>
      <c r="G518" s="33"/>
      <c r="H518" s="33"/>
      <c r="I518" s="32"/>
      <c r="J518" s="1"/>
      <c r="K518" s="1"/>
      <c r="L518" s="8"/>
      <c r="M518" s="8"/>
      <c r="N518" s="8"/>
      <c r="O518" s="8"/>
      <c r="P518" s="104"/>
      <c r="Q518" s="5"/>
      <c r="R518" s="8"/>
    </row>
    <row r="519" spans="1:18" x14ac:dyDescent="0.3">
      <c r="A519" s="406"/>
      <c r="B519" s="110"/>
      <c r="C519" s="33" t="s">
        <v>680</v>
      </c>
      <c r="D519" s="34">
        <v>19952</v>
      </c>
      <c r="E519" s="33">
        <v>1640124</v>
      </c>
      <c r="F519" s="33">
        <f t="shared" ca="1" si="41"/>
        <v>72</v>
      </c>
      <c r="G519" s="33"/>
      <c r="H519" s="33"/>
      <c r="I519" s="32"/>
      <c r="J519" s="1"/>
      <c r="K519" s="1"/>
      <c r="L519" s="8"/>
      <c r="M519" s="8"/>
      <c r="N519" s="8"/>
      <c r="O519" s="8"/>
      <c r="P519" s="104"/>
      <c r="Q519" s="5"/>
      <c r="R519" s="8"/>
    </row>
    <row r="520" spans="1:18" x14ac:dyDescent="0.3">
      <c r="A520" s="182" t="s">
        <v>1526</v>
      </c>
      <c r="B520" s="115">
        <v>44715</v>
      </c>
      <c r="C520" s="1" t="s">
        <v>201</v>
      </c>
      <c r="D520" s="2">
        <v>21148</v>
      </c>
      <c r="E520" s="1">
        <v>2655818</v>
      </c>
      <c r="F520" s="1">
        <f t="shared" ref="F520:F531" ca="1" si="42">YEAR(TODAY())-YEAR(D520)</f>
        <v>69</v>
      </c>
      <c r="G520" s="1" t="s">
        <v>1700</v>
      </c>
      <c r="H520" s="1"/>
      <c r="I520" s="8" t="s">
        <v>1701</v>
      </c>
      <c r="J520" s="1" t="s">
        <v>1702</v>
      </c>
      <c r="K520" s="1"/>
      <c r="L520" s="8"/>
      <c r="M520" s="8"/>
      <c r="N520" s="8"/>
      <c r="O520" s="8"/>
      <c r="P520" s="104"/>
      <c r="Q520" s="5"/>
      <c r="R520" s="8"/>
    </row>
    <row r="521" spans="1:18" x14ac:dyDescent="0.3">
      <c r="A521" s="441" t="s">
        <v>1703</v>
      </c>
      <c r="B521" s="124"/>
      <c r="C521" s="40" t="s">
        <v>1704</v>
      </c>
      <c r="D521" s="41">
        <v>29574</v>
      </c>
      <c r="E521" s="40">
        <v>2631719</v>
      </c>
      <c r="F521" s="40">
        <f ca="1">YEAR(TODAY())-YEAR(D521)</f>
        <v>46</v>
      </c>
      <c r="G521" s="40" t="s">
        <v>1705</v>
      </c>
      <c r="H521" s="40"/>
      <c r="I521" s="39"/>
      <c r="J521" s="1"/>
      <c r="K521" s="1"/>
      <c r="L521" s="8" t="s">
        <v>1706</v>
      </c>
      <c r="M521" s="8"/>
      <c r="N521" s="8"/>
      <c r="O521" s="8"/>
      <c r="P521" s="9"/>
      <c r="Q521" s="3"/>
      <c r="R521" s="8"/>
    </row>
    <row r="522" spans="1:18" x14ac:dyDescent="0.3">
      <c r="A522" s="424"/>
      <c r="B522" s="124"/>
      <c r="C522" s="40" t="s">
        <v>1707</v>
      </c>
      <c r="D522" s="41">
        <v>39649</v>
      </c>
      <c r="E522" s="40">
        <v>4412012</v>
      </c>
      <c r="F522" s="40">
        <f ca="1">YEAR(TODAY())-YEAR(D522)</f>
        <v>18</v>
      </c>
      <c r="G522" s="40" t="s">
        <v>1705</v>
      </c>
      <c r="H522" s="40"/>
      <c r="I522" s="39"/>
      <c r="J522" s="1"/>
      <c r="K522" s="1"/>
      <c r="L522" s="8"/>
      <c r="M522" s="8"/>
      <c r="N522" s="8"/>
      <c r="O522" s="8"/>
      <c r="P522" s="9"/>
      <c r="Q522" s="3"/>
      <c r="R522" s="8"/>
    </row>
    <row r="523" spans="1:18" x14ac:dyDescent="0.3">
      <c r="A523" s="425"/>
      <c r="B523" s="124" t="s">
        <v>1708</v>
      </c>
      <c r="C523" s="40" t="s">
        <v>1709</v>
      </c>
      <c r="D523" s="41">
        <v>29459</v>
      </c>
      <c r="E523" s="40">
        <v>1631737</v>
      </c>
      <c r="F523" s="40">
        <f ca="1">YEAR(TODAY())-YEAR(D523)</f>
        <v>46</v>
      </c>
      <c r="G523" s="40" t="s">
        <v>1710</v>
      </c>
      <c r="H523" s="40"/>
      <c r="I523" s="39"/>
      <c r="J523" s="1"/>
      <c r="K523" s="1"/>
      <c r="L523" s="8"/>
      <c r="M523" s="8"/>
      <c r="N523" s="8"/>
      <c r="O523" s="8"/>
      <c r="P523" s="9"/>
      <c r="Q523" s="3"/>
      <c r="R523" s="8"/>
    </row>
    <row r="524" spans="1:18" x14ac:dyDescent="0.3">
      <c r="A524" s="181" t="s">
        <v>1711</v>
      </c>
      <c r="B524" s="116">
        <v>44351</v>
      </c>
      <c r="C524" s="22" t="s">
        <v>203</v>
      </c>
      <c r="D524" s="25">
        <v>28731</v>
      </c>
      <c r="E524" s="22">
        <v>1124017</v>
      </c>
      <c r="F524" s="22">
        <f t="shared" ca="1" si="42"/>
        <v>48</v>
      </c>
      <c r="G524" s="22" t="s">
        <v>1712</v>
      </c>
      <c r="H524" s="22"/>
      <c r="I524" s="21"/>
      <c r="J524" s="1"/>
      <c r="K524" s="1"/>
      <c r="L524" s="8"/>
      <c r="M524" s="8"/>
      <c r="N524" s="8"/>
      <c r="O524" s="8"/>
      <c r="P524" s="104"/>
      <c r="Q524" s="5"/>
      <c r="R524" s="8"/>
    </row>
    <row r="525" spans="1:18" s="189" customFormat="1" x14ac:dyDescent="0.3">
      <c r="A525" s="30"/>
      <c r="B525" s="112">
        <v>45081</v>
      </c>
      <c r="C525" s="30" t="s">
        <v>262</v>
      </c>
      <c r="D525" s="31">
        <v>35628</v>
      </c>
      <c r="E525" s="30">
        <v>2149131</v>
      </c>
      <c r="F525" s="30">
        <f t="shared" ca="1" si="42"/>
        <v>29</v>
      </c>
      <c r="G525" s="30"/>
      <c r="H525" s="30"/>
      <c r="I525" s="29" t="s">
        <v>1713</v>
      </c>
      <c r="J525" s="1"/>
      <c r="K525" s="1"/>
      <c r="L525" s="8"/>
      <c r="M525" s="8"/>
      <c r="N525" s="8"/>
      <c r="O525" s="8"/>
      <c r="P525" s="104"/>
      <c r="Q525" s="5"/>
      <c r="R525" s="8"/>
    </row>
    <row r="526" spans="1:18" x14ac:dyDescent="0.3">
      <c r="A526" s="388" t="s">
        <v>1714</v>
      </c>
      <c r="B526" s="110">
        <v>45081</v>
      </c>
      <c r="C526" s="33" t="s">
        <v>648</v>
      </c>
      <c r="D526" s="34">
        <v>29784</v>
      </c>
      <c r="E526" s="33">
        <v>2124811</v>
      </c>
      <c r="F526" s="33">
        <f ca="1">YEAR(TODAY())-YEAR(D526)</f>
        <v>45</v>
      </c>
      <c r="G526" s="33" t="s">
        <v>1715</v>
      </c>
      <c r="H526" s="33"/>
      <c r="I526" s="32" t="s">
        <v>1716</v>
      </c>
      <c r="J526" s="1"/>
      <c r="K526" s="1"/>
      <c r="L526" s="8"/>
      <c r="M526" s="8"/>
      <c r="N526" s="8"/>
      <c r="O526" s="8"/>
      <c r="P526" s="104"/>
      <c r="Q526" s="5"/>
      <c r="R526" s="8"/>
    </row>
    <row r="527" spans="1:18" x14ac:dyDescent="0.3">
      <c r="A527" s="388"/>
      <c r="B527" s="111"/>
      <c r="C527" s="33" t="s">
        <v>647</v>
      </c>
      <c r="D527" s="34">
        <v>28635</v>
      </c>
      <c r="E527" s="33">
        <v>1113939</v>
      </c>
      <c r="F527" s="33">
        <f ca="1">YEAR(TODAY())-YEAR(D527)</f>
        <v>48</v>
      </c>
      <c r="G527" s="33" t="s">
        <v>1717</v>
      </c>
      <c r="H527" s="33"/>
      <c r="I527" s="32"/>
      <c r="J527" s="1"/>
      <c r="K527" s="1"/>
      <c r="L527" s="8"/>
      <c r="M527" s="8"/>
      <c r="N527" s="8"/>
      <c r="O527" s="8"/>
      <c r="P527" s="104"/>
      <c r="Q527" s="5"/>
      <c r="R527" s="8"/>
    </row>
    <row r="528" spans="1:18" s="185" customFormat="1" x14ac:dyDescent="0.3">
      <c r="A528" s="394" t="s">
        <v>1718</v>
      </c>
      <c r="B528" s="119">
        <v>45084</v>
      </c>
      <c r="C528" s="36" t="s">
        <v>564</v>
      </c>
      <c r="D528" s="37">
        <v>29653</v>
      </c>
      <c r="E528" s="36">
        <v>1478511</v>
      </c>
      <c r="F528" s="36">
        <f ca="1">YEAR(TODAY())-YEAR(D528)</f>
        <v>45</v>
      </c>
      <c r="G528" s="36" t="s">
        <v>1719</v>
      </c>
      <c r="H528" s="36"/>
      <c r="I528" s="35" t="s">
        <v>1720</v>
      </c>
      <c r="J528" s="1"/>
      <c r="K528" s="1"/>
      <c r="L528" s="8"/>
      <c r="M528" s="8"/>
      <c r="N528" s="8"/>
      <c r="O528" s="8"/>
      <c r="P528" s="104"/>
      <c r="Q528" s="5"/>
      <c r="R528" s="8"/>
    </row>
    <row r="529" spans="1:18" s="185" customFormat="1" x14ac:dyDescent="0.3">
      <c r="A529" s="394"/>
      <c r="B529" s="120"/>
      <c r="C529" s="36" t="s">
        <v>563</v>
      </c>
      <c r="D529" s="37">
        <v>32874</v>
      </c>
      <c r="E529" s="36">
        <v>2169310</v>
      </c>
      <c r="F529" s="36">
        <f ca="1">YEAR(TODAY())-YEAR(D529)</f>
        <v>36</v>
      </c>
      <c r="G529" s="36" t="s">
        <v>1721</v>
      </c>
      <c r="H529" s="36"/>
      <c r="I529" s="35"/>
      <c r="J529" s="1"/>
      <c r="K529" s="1"/>
      <c r="L529" s="8"/>
      <c r="M529" s="8"/>
      <c r="N529" s="8"/>
      <c r="O529" s="8"/>
      <c r="P529" s="104"/>
      <c r="Q529" s="5"/>
      <c r="R529" s="8"/>
    </row>
    <row r="530" spans="1:18" s="185" customFormat="1" x14ac:dyDescent="0.3">
      <c r="A530" s="401"/>
      <c r="B530" s="120"/>
      <c r="C530" s="36" t="s">
        <v>565</v>
      </c>
      <c r="D530" s="37">
        <v>42588</v>
      </c>
      <c r="E530" s="36">
        <v>3051212</v>
      </c>
      <c r="F530" s="36">
        <f t="shared" ca="1" si="42"/>
        <v>10</v>
      </c>
      <c r="G530" s="36"/>
      <c r="H530" s="36"/>
      <c r="I530" s="35"/>
      <c r="J530" s="1"/>
      <c r="K530" s="1"/>
      <c r="L530" s="8"/>
      <c r="M530" s="8"/>
      <c r="N530" s="8"/>
      <c r="O530" s="8"/>
      <c r="P530" s="104"/>
      <c r="Q530" s="5"/>
      <c r="R530" s="8"/>
    </row>
    <row r="531" spans="1:18" s="185" customFormat="1" x14ac:dyDescent="0.3">
      <c r="A531" s="401"/>
      <c r="B531" s="120"/>
      <c r="C531" s="36" t="s">
        <v>566</v>
      </c>
      <c r="D531" s="37">
        <v>23887</v>
      </c>
      <c r="E531" s="36">
        <v>2241517</v>
      </c>
      <c r="F531" s="36">
        <f t="shared" ca="1" si="42"/>
        <v>61</v>
      </c>
      <c r="G531" s="36" t="s">
        <v>1722</v>
      </c>
      <c r="H531" s="36"/>
      <c r="I531" s="35"/>
      <c r="J531" s="1"/>
      <c r="K531" s="1"/>
      <c r="L531" s="8"/>
      <c r="M531" s="8"/>
      <c r="N531" s="8"/>
      <c r="O531" s="8"/>
      <c r="P531" s="104"/>
      <c r="Q531" s="5"/>
      <c r="R531" s="8"/>
    </row>
    <row r="532" spans="1:18" x14ac:dyDescent="0.3">
      <c r="A532" s="439" t="s">
        <v>1723</v>
      </c>
      <c r="B532" s="118">
        <v>45085</v>
      </c>
      <c r="C532" s="40" t="s">
        <v>604</v>
      </c>
      <c r="D532" s="41">
        <v>25419</v>
      </c>
      <c r="E532" s="40">
        <v>2167518</v>
      </c>
      <c r="F532" s="40">
        <f ca="1">YEAR(TODAY())-YEAR(D532)</f>
        <v>57</v>
      </c>
      <c r="G532" s="40" t="s">
        <v>1724</v>
      </c>
      <c r="H532" s="40"/>
      <c r="I532" s="39" t="s">
        <v>1725</v>
      </c>
      <c r="J532" s="1"/>
      <c r="K532" s="1"/>
      <c r="L532" s="8"/>
      <c r="M532" s="8"/>
      <c r="N532" s="8"/>
      <c r="O532" s="8"/>
      <c r="P532" s="104"/>
      <c r="Q532" s="5"/>
      <c r="R532" s="8"/>
    </row>
    <row r="533" spans="1:18" x14ac:dyDescent="0.3">
      <c r="A533" s="440"/>
      <c r="B533" s="124"/>
      <c r="C533" s="40" t="s">
        <v>603</v>
      </c>
      <c r="D533" s="41">
        <v>25063</v>
      </c>
      <c r="E533" s="40">
        <v>1476814</v>
      </c>
      <c r="F533" s="40">
        <f ca="1">YEAR(TODAY())-YEAR(D533)</f>
        <v>58</v>
      </c>
      <c r="G533" s="40" t="s">
        <v>1726</v>
      </c>
      <c r="H533" s="40"/>
      <c r="I533" s="39"/>
      <c r="J533" s="1"/>
      <c r="K533" s="1"/>
      <c r="L533" s="8"/>
      <c r="M533" s="8"/>
      <c r="N533" s="8"/>
      <c r="O533" s="8"/>
      <c r="P533" s="104"/>
      <c r="Q533" s="5"/>
      <c r="R533" s="8"/>
    </row>
    <row r="534" spans="1:18" x14ac:dyDescent="0.3">
      <c r="A534" s="440"/>
      <c r="B534" s="124"/>
      <c r="C534" s="40" t="s">
        <v>605</v>
      </c>
      <c r="D534" s="41">
        <v>35265</v>
      </c>
      <c r="E534" s="40">
        <v>1476811</v>
      </c>
      <c r="F534" s="40">
        <f t="shared" ref="F534:F538" ca="1" si="43">YEAR(TODAY())-YEAR(D534)</f>
        <v>30</v>
      </c>
      <c r="G534" s="40" t="s">
        <v>1727</v>
      </c>
      <c r="H534" s="40"/>
      <c r="I534" s="39"/>
      <c r="J534" s="1"/>
      <c r="K534" s="1"/>
      <c r="L534" s="8"/>
      <c r="M534" s="8"/>
      <c r="N534" s="8"/>
      <c r="O534" s="8"/>
      <c r="P534" s="104"/>
      <c r="Q534" s="5"/>
      <c r="R534" s="8"/>
    </row>
    <row r="535" spans="1:18" x14ac:dyDescent="0.3">
      <c r="A535" s="440"/>
      <c r="B535" s="124"/>
      <c r="C535" s="40" t="s">
        <v>606</v>
      </c>
      <c r="D535" s="41">
        <v>35884</v>
      </c>
      <c r="E535" s="40">
        <v>2419313</v>
      </c>
      <c r="F535" s="40">
        <f t="shared" ca="1" si="43"/>
        <v>28</v>
      </c>
      <c r="G535" s="40" t="s">
        <v>1728</v>
      </c>
      <c r="H535" s="40"/>
      <c r="I535" s="39"/>
      <c r="J535" s="1"/>
      <c r="K535" s="1"/>
      <c r="L535" s="8"/>
      <c r="M535" s="8"/>
      <c r="N535" s="8"/>
      <c r="O535" s="8"/>
      <c r="P535" s="104"/>
      <c r="Q535" s="5"/>
      <c r="R535" s="8"/>
    </row>
    <row r="536" spans="1:18" x14ac:dyDescent="0.3">
      <c r="A536" s="398" t="s">
        <v>1729</v>
      </c>
      <c r="B536" s="117">
        <v>45086</v>
      </c>
      <c r="C536" s="27" t="s">
        <v>896</v>
      </c>
      <c r="D536" s="28">
        <v>32496</v>
      </c>
      <c r="E536" s="27">
        <v>1458515</v>
      </c>
      <c r="F536" s="27">
        <f t="shared" ca="1" si="43"/>
        <v>38</v>
      </c>
      <c r="G536" s="27" t="s">
        <v>1730</v>
      </c>
      <c r="H536" s="27"/>
      <c r="I536" s="26" t="s">
        <v>1731</v>
      </c>
      <c r="J536" s="1"/>
      <c r="K536" s="1"/>
      <c r="L536" s="8"/>
      <c r="M536" s="8"/>
      <c r="N536" s="8"/>
      <c r="O536" s="8"/>
      <c r="P536" s="104"/>
      <c r="Q536" s="5"/>
      <c r="R536" s="8"/>
    </row>
    <row r="537" spans="1:18" x14ac:dyDescent="0.3">
      <c r="A537" s="419"/>
      <c r="B537" s="121"/>
      <c r="C537" s="27" t="s">
        <v>1732</v>
      </c>
      <c r="D537" s="28">
        <v>32331</v>
      </c>
      <c r="E537" s="27">
        <v>2458517</v>
      </c>
      <c r="F537" s="27">
        <f t="shared" ca="1" si="43"/>
        <v>38</v>
      </c>
      <c r="G537" s="27" t="s">
        <v>1733</v>
      </c>
      <c r="H537" s="27"/>
      <c r="I537" s="26"/>
      <c r="J537" s="1"/>
      <c r="K537" s="1"/>
      <c r="L537" s="8"/>
      <c r="M537" s="8"/>
      <c r="N537" s="8"/>
      <c r="O537" s="8"/>
      <c r="P537" s="104"/>
      <c r="Q537" s="5"/>
      <c r="R537" s="8"/>
    </row>
    <row r="538" spans="1:18" ht="33" x14ac:dyDescent="0.3">
      <c r="A538" s="190" t="s">
        <v>858</v>
      </c>
      <c r="B538" s="110">
        <v>45086</v>
      </c>
      <c r="C538" s="33" t="s">
        <v>859</v>
      </c>
      <c r="D538" s="34">
        <v>22248</v>
      </c>
      <c r="E538" s="33">
        <v>2535213</v>
      </c>
      <c r="F538" s="33">
        <f t="shared" ca="1" si="43"/>
        <v>66</v>
      </c>
      <c r="G538" s="33"/>
      <c r="H538" s="33"/>
      <c r="I538" s="32" t="s">
        <v>1734</v>
      </c>
      <c r="J538" s="191" t="s">
        <v>861</v>
      </c>
      <c r="K538" s="33" t="s">
        <v>862</v>
      </c>
      <c r="L538" s="8"/>
      <c r="M538" s="8"/>
      <c r="N538" s="8"/>
      <c r="O538" s="8"/>
      <c r="P538" s="104"/>
      <c r="Q538" s="5"/>
      <c r="R538" s="8"/>
    </row>
    <row r="539" spans="1:18" s="8" customFormat="1" x14ac:dyDescent="0.3">
      <c r="A539" s="378" t="s">
        <v>1735</v>
      </c>
      <c r="B539" s="273"/>
      <c r="C539" s="1" t="s">
        <v>1736</v>
      </c>
      <c r="D539" s="2">
        <v>26891</v>
      </c>
      <c r="E539" s="1">
        <v>2479017</v>
      </c>
      <c r="G539" s="1" t="s">
        <v>1737</v>
      </c>
      <c r="J539" s="1"/>
      <c r="K539" s="1"/>
      <c r="L539" s="147" t="s">
        <v>1738</v>
      </c>
      <c r="P539" s="9"/>
      <c r="Q539" s="3"/>
    </row>
    <row r="540" spans="1:18" s="8" customFormat="1" x14ac:dyDescent="0.3">
      <c r="A540" s="379"/>
      <c r="B540" s="276">
        <v>45454</v>
      </c>
      <c r="C540" s="1" t="s">
        <v>1739</v>
      </c>
      <c r="D540" s="2">
        <v>26507</v>
      </c>
      <c r="E540" s="1">
        <v>1683610</v>
      </c>
      <c r="G540" s="1" t="s">
        <v>1740</v>
      </c>
      <c r="J540" s="1"/>
      <c r="K540" s="1"/>
      <c r="P540" s="9"/>
      <c r="Q540" s="3"/>
    </row>
    <row r="541" spans="1:18" x14ac:dyDescent="0.3">
      <c r="A541" s="431" t="s">
        <v>1697</v>
      </c>
      <c r="B541" s="116">
        <v>44360</v>
      </c>
      <c r="C541" s="22" t="s">
        <v>216</v>
      </c>
      <c r="D541" s="25">
        <v>30591</v>
      </c>
      <c r="E541" s="22">
        <v>2451211</v>
      </c>
      <c r="F541" s="22">
        <f t="shared" ref="F541:F574" ca="1" si="44">YEAR(TODAY())-YEAR(D541)</f>
        <v>43</v>
      </c>
      <c r="G541" s="22" t="s">
        <v>1741</v>
      </c>
      <c r="H541" s="22"/>
      <c r="I541" s="21" t="s">
        <v>1742</v>
      </c>
      <c r="J541" s="1"/>
      <c r="K541" s="1"/>
      <c r="L541" s="8"/>
      <c r="M541" s="8"/>
      <c r="N541" s="8"/>
      <c r="O541" s="8"/>
      <c r="P541" s="104"/>
      <c r="Q541" s="5"/>
      <c r="R541" s="8"/>
    </row>
    <row r="542" spans="1:18" x14ac:dyDescent="0.3">
      <c r="A542" s="442"/>
      <c r="B542" s="127"/>
      <c r="C542" s="22" t="s">
        <v>218</v>
      </c>
      <c r="D542" s="25">
        <v>29689</v>
      </c>
      <c r="E542" s="22">
        <v>1462415</v>
      </c>
      <c r="F542" s="22">
        <f t="shared" ca="1" si="44"/>
        <v>45</v>
      </c>
      <c r="G542" s="22" t="s">
        <v>1743</v>
      </c>
      <c r="H542" s="22"/>
      <c r="I542" s="21"/>
      <c r="J542" s="1"/>
      <c r="K542" s="1"/>
      <c r="L542" s="8"/>
      <c r="M542" s="8"/>
      <c r="N542" s="8"/>
      <c r="O542" s="8"/>
      <c r="P542" s="104"/>
      <c r="Q542" s="5"/>
      <c r="R542" s="8"/>
    </row>
    <row r="543" spans="1:18" x14ac:dyDescent="0.3">
      <c r="A543" s="442"/>
      <c r="B543" s="127"/>
      <c r="C543" s="22" t="s">
        <v>219</v>
      </c>
      <c r="D543" s="25">
        <v>42350</v>
      </c>
      <c r="E543" s="22">
        <v>3475921</v>
      </c>
      <c r="F543" s="22">
        <f t="shared" ca="1" si="44"/>
        <v>11</v>
      </c>
      <c r="G543" s="22"/>
      <c r="H543" s="22"/>
      <c r="I543" s="21"/>
      <c r="J543" s="1"/>
      <c r="K543" s="1"/>
      <c r="L543" s="8"/>
      <c r="M543" s="8"/>
      <c r="N543" s="8"/>
      <c r="O543" s="8"/>
      <c r="P543" s="104"/>
      <c r="Q543" s="5"/>
      <c r="R543" s="8"/>
    </row>
    <row r="544" spans="1:18" x14ac:dyDescent="0.3">
      <c r="A544" s="443"/>
      <c r="B544" s="127"/>
      <c r="C544" s="22" t="s">
        <v>220</v>
      </c>
      <c r="D544" s="25">
        <v>43028</v>
      </c>
      <c r="E544" s="22">
        <v>4412417</v>
      </c>
      <c r="F544" s="22">
        <f t="shared" ca="1" si="44"/>
        <v>9</v>
      </c>
      <c r="G544" s="22"/>
      <c r="H544" s="22"/>
      <c r="I544" s="21"/>
      <c r="J544" s="1"/>
      <c r="K544" s="1"/>
      <c r="L544" s="8"/>
      <c r="M544" s="8"/>
      <c r="N544" s="8"/>
      <c r="O544" s="8"/>
      <c r="P544" s="104"/>
      <c r="Q544" s="5"/>
      <c r="R544" s="8"/>
    </row>
    <row r="545" spans="1:18" x14ac:dyDescent="0.3">
      <c r="A545" s="390" t="s">
        <v>1744</v>
      </c>
      <c r="B545" s="119">
        <v>45091</v>
      </c>
      <c r="C545" s="36" t="s">
        <v>1745</v>
      </c>
      <c r="D545" s="37">
        <v>27601</v>
      </c>
      <c r="E545" s="36">
        <v>2537121</v>
      </c>
      <c r="F545" s="36">
        <f t="shared" ca="1" si="44"/>
        <v>51</v>
      </c>
      <c r="G545" s="36" t="s">
        <v>1746</v>
      </c>
      <c r="H545" s="36"/>
      <c r="I545" s="35" t="s">
        <v>1747</v>
      </c>
      <c r="J545" s="1"/>
      <c r="K545" s="1"/>
      <c r="L545" s="8"/>
      <c r="M545" s="8"/>
      <c r="N545" s="8"/>
      <c r="O545" s="8"/>
      <c r="P545" s="104"/>
      <c r="Q545" s="5"/>
      <c r="R545" s="8"/>
    </row>
    <row r="546" spans="1:18" x14ac:dyDescent="0.3">
      <c r="A546" s="412"/>
      <c r="B546" s="120"/>
      <c r="C546" s="36" t="s">
        <v>1748</v>
      </c>
      <c r="D546" s="37">
        <v>27130</v>
      </c>
      <c r="E546" s="36">
        <v>1476515</v>
      </c>
      <c r="F546" s="36">
        <f t="shared" ca="1" si="44"/>
        <v>52</v>
      </c>
      <c r="G546" s="36" t="s">
        <v>1749</v>
      </c>
      <c r="H546" s="36"/>
      <c r="I546" s="35"/>
      <c r="J546" s="1"/>
      <c r="K546" s="1"/>
      <c r="L546" s="8"/>
      <c r="M546" s="8"/>
      <c r="N546" s="8"/>
      <c r="O546" s="8"/>
      <c r="P546" s="104"/>
      <c r="Q546" s="5"/>
      <c r="R546" s="8"/>
    </row>
    <row r="547" spans="1:18" x14ac:dyDescent="0.3">
      <c r="A547" s="412"/>
      <c r="B547" s="120"/>
      <c r="C547" s="36" t="s">
        <v>1750</v>
      </c>
      <c r="D547" s="37">
        <v>39407</v>
      </c>
      <c r="E547" s="36">
        <v>4476827</v>
      </c>
      <c r="F547" s="36">
        <f t="shared" ca="1" si="44"/>
        <v>19</v>
      </c>
      <c r="G547" s="36"/>
      <c r="H547" s="36"/>
      <c r="I547" s="35"/>
      <c r="J547" s="1"/>
      <c r="K547" s="1"/>
      <c r="L547" s="8"/>
      <c r="M547" s="8"/>
      <c r="N547" s="8"/>
      <c r="O547" s="8"/>
      <c r="P547" s="104"/>
      <c r="Q547" s="5"/>
      <c r="R547" s="8"/>
    </row>
    <row r="548" spans="1:18" x14ac:dyDescent="0.3">
      <c r="A548" s="413"/>
      <c r="B548" s="120"/>
      <c r="C548" s="36" t="s">
        <v>1751</v>
      </c>
      <c r="D548" s="37">
        <v>38082</v>
      </c>
      <c r="E548" s="36">
        <v>3476417</v>
      </c>
      <c r="F548" s="36">
        <f t="shared" ca="1" si="44"/>
        <v>22</v>
      </c>
      <c r="G548" s="36"/>
      <c r="H548" s="36"/>
      <c r="I548" s="35"/>
      <c r="J548" s="1"/>
      <c r="K548" s="1"/>
      <c r="L548" s="8"/>
      <c r="M548" s="8"/>
      <c r="N548" s="8"/>
      <c r="O548" s="8"/>
      <c r="P548" s="104"/>
      <c r="Q548" s="5"/>
      <c r="R548" s="8"/>
    </row>
    <row r="549" spans="1:18" x14ac:dyDescent="0.3">
      <c r="A549" s="195" t="s">
        <v>946</v>
      </c>
      <c r="B549" s="115">
        <v>45091</v>
      </c>
      <c r="C549" s="1" t="s">
        <v>650</v>
      </c>
      <c r="D549" s="2">
        <v>26983</v>
      </c>
      <c r="E549" s="1">
        <v>1328215</v>
      </c>
      <c r="F549" s="1">
        <f t="shared" ca="1" si="44"/>
        <v>53</v>
      </c>
      <c r="G549" s="1"/>
      <c r="H549" s="1"/>
      <c r="I549" s="8" t="s">
        <v>1752</v>
      </c>
      <c r="J549" s="1"/>
      <c r="K549" s="1"/>
      <c r="L549" s="8"/>
      <c r="M549" s="8"/>
      <c r="N549" s="8"/>
      <c r="O549" s="8"/>
      <c r="P549" s="104"/>
      <c r="Q549" s="5"/>
      <c r="R549" s="8"/>
    </row>
    <row r="550" spans="1:18" x14ac:dyDescent="0.3">
      <c r="A550" s="183" t="s">
        <v>1753</v>
      </c>
      <c r="B550" s="112">
        <v>45091</v>
      </c>
      <c r="C550" s="30" t="s">
        <v>1754</v>
      </c>
      <c r="D550" s="31">
        <v>32345</v>
      </c>
      <c r="E550" s="30">
        <v>1109117</v>
      </c>
      <c r="F550" s="30">
        <f t="shared" ca="1" si="44"/>
        <v>38</v>
      </c>
      <c r="G550" s="30" t="s">
        <v>1755</v>
      </c>
      <c r="H550" s="30"/>
      <c r="I550" s="29" t="s">
        <v>1756</v>
      </c>
      <c r="J550" s="1"/>
      <c r="K550" s="1"/>
      <c r="L550" s="8"/>
      <c r="M550" s="8"/>
      <c r="N550" s="8"/>
      <c r="O550" s="8"/>
      <c r="P550" s="104"/>
      <c r="Q550" s="5"/>
      <c r="R550" s="8"/>
    </row>
    <row r="551" spans="1:18" x14ac:dyDescent="0.3">
      <c r="A551" s="27"/>
      <c r="B551" s="117">
        <v>45091</v>
      </c>
      <c r="C551" s="27" t="s">
        <v>1757</v>
      </c>
      <c r="D551" s="28">
        <v>27454</v>
      </c>
      <c r="E551" s="27">
        <v>1921119</v>
      </c>
      <c r="F551" s="27">
        <f t="shared" ca="1" si="44"/>
        <v>51</v>
      </c>
      <c r="G551" s="27"/>
      <c r="H551" s="27" t="s">
        <v>1758</v>
      </c>
      <c r="I551" s="26" t="s">
        <v>1759</v>
      </c>
      <c r="J551" s="1"/>
      <c r="K551" s="1"/>
      <c r="L551" s="8"/>
      <c r="M551" s="8"/>
      <c r="N551" s="8"/>
      <c r="O551" s="8"/>
      <c r="P551" s="104"/>
      <c r="Q551" s="5"/>
      <c r="R551" s="8"/>
    </row>
    <row r="552" spans="1:18" s="76" customFormat="1" x14ac:dyDescent="0.3">
      <c r="A552" s="40" t="s">
        <v>1760</v>
      </c>
      <c r="B552" s="118">
        <v>45093</v>
      </c>
      <c r="C552" s="40" t="s">
        <v>322</v>
      </c>
      <c r="D552" s="41">
        <v>29594</v>
      </c>
      <c r="E552" s="40">
        <v>1411810</v>
      </c>
      <c r="F552" s="40">
        <f t="shared" ca="1" si="44"/>
        <v>45</v>
      </c>
      <c r="G552" s="40"/>
      <c r="H552" s="40"/>
      <c r="I552" s="39" t="s">
        <v>1761</v>
      </c>
      <c r="J552" s="1"/>
      <c r="K552" s="1"/>
      <c r="L552" s="8"/>
      <c r="M552" s="8"/>
      <c r="N552" s="8"/>
      <c r="O552" s="8"/>
      <c r="P552" s="104"/>
      <c r="Q552" s="5"/>
      <c r="R552" s="8"/>
    </row>
    <row r="553" spans="1:18" s="185" customFormat="1" x14ac:dyDescent="0.3">
      <c r="A553" s="394" t="s">
        <v>1011</v>
      </c>
      <c r="B553" s="119">
        <v>45093</v>
      </c>
      <c r="C553" s="36" t="s">
        <v>487</v>
      </c>
      <c r="D553" s="37">
        <v>29879</v>
      </c>
      <c r="E553" s="36">
        <v>2914216</v>
      </c>
      <c r="F553" s="36">
        <f ca="1">YEAR(TODAY())-YEAR(D553)</f>
        <v>45</v>
      </c>
      <c r="G553" s="36" t="s">
        <v>1762</v>
      </c>
      <c r="H553" s="36"/>
      <c r="I553" s="35"/>
      <c r="J553" s="1"/>
      <c r="K553" s="1"/>
      <c r="L553" s="8"/>
      <c r="M553" s="8"/>
      <c r="N553" s="8"/>
      <c r="O553" s="8"/>
      <c r="P553" s="104"/>
      <c r="Q553" s="5"/>
      <c r="R553" s="8"/>
    </row>
    <row r="554" spans="1:18" s="185" customFormat="1" x14ac:dyDescent="0.3">
      <c r="A554" s="394"/>
      <c r="B554" s="119"/>
      <c r="C554" s="36" t="s">
        <v>486</v>
      </c>
      <c r="D554" s="37">
        <v>28459</v>
      </c>
      <c r="E554" s="36">
        <v>1120310</v>
      </c>
      <c r="F554" s="36">
        <f ca="1">YEAR(TODAY())-YEAR(D554)</f>
        <v>49</v>
      </c>
      <c r="G554" s="36" t="s">
        <v>1012</v>
      </c>
      <c r="H554" s="36"/>
      <c r="I554" s="35" t="s">
        <v>1763</v>
      </c>
      <c r="J554" s="1"/>
      <c r="K554" s="1"/>
      <c r="L554" s="8"/>
      <c r="M554" s="8"/>
      <c r="N554" s="8"/>
      <c r="O554" s="8"/>
      <c r="P554" s="104"/>
      <c r="Q554" s="5"/>
      <c r="R554" s="8"/>
    </row>
    <row r="555" spans="1:18" s="185" customFormat="1" x14ac:dyDescent="0.3">
      <c r="A555" s="394"/>
      <c r="B555" s="120"/>
      <c r="C555" s="36" t="s">
        <v>488</v>
      </c>
      <c r="D555" s="37">
        <v>40203</v>
      </c>
      <c r="E555" s="36">
        <v>4913911</v>
      </c>
      <c r="F555" s="36">
        <f t="shared" ca="1" si="44"/>
        <v>16</v>
      </c>
      <c r="G555" s="36"/>
      <c r="H555" s="36"/>
      <c r="I555" s="35"/>
      <c r="J555" s="1"/>
      <c r="K555" s="1"/>
      <c r="L555" s="8"/>
      <c r="M555" s="8"/>
      <c r="N555" s="8"/>
      <c r="O555" s="8"/>
      <c r="P555" s="104"/>
      <c r="Q555" s="5"/>
      <c r="R555" s="8"/>
    </row>
    <row r="556" spans="1:18" s="185" customFormat="1" x14ac:dyDescent="0.3">
      <c r="A556" s="394"/>
      <c r="B556" s="120"/>
      <c r="C556" s="36" t="s">
        <v>489</v>
      </c>
      <c r="D556" s="37">
        <v>41894</v>
      </c>
      <c r="E556" s="36">
        <v>4095411</v>
      </c>
      <c r="F556" s="36">
        <f t="shared" ca="1" si="44"/>
        <v>12</v>
      </c>
      <c r="G556" s="36"/>
      <c r="H556" s="36"/>
      <c r="I556" s="35"/>
      <c r="J556" s="1"/>
      <c r="K556" s="1"/>
      <c r="L556" s="8"/>
      <c r="M556" s="8"/>
      <c r="N556" s="8"/>
      <c r="O556" s="8"/>
      <c r="P556" s="104"/>
      <c r="Q556" s="5"/>
      <c r="R556" s="8"/>
    </row>
    <row r="557" spans="1:18" x14ac:dyDescent="0.3">
      <c r="A557" s="22"/>
      <c r="B557" s="116">
        <v>44729</v>
      </c>
      <c r="C557" s="22" t="s">
        <v>221</v>
      </c>
      <c r="D557" s="25">
        <v>27954</v>
      </c>
      <c r="E557" s="22">
        <v>6100026</v>
      </c>
      <c r="F557" s="22">
        <f t="shared" ca="1" si="44"/>
        <v>50</v>
      </c>
      <c r="G557" s="22"/>
      <c r="H557" s="22"/>
      <c r="I557" s="21" t="s">
        <v>1764</v>
      </c>
      <c r="J557" s="1"/>
      <c r="K557" s="1"/>
      <c r="L557" s="8"/>
      <c r="M557" s="8"/>
      <c r="N557" s="8"/>
      <c r="O557" s="8"/>
      <c r="P557" s="104"/>
      <c r="Q557" s="5"/>
      <c r="R557" s="8"/>
    </row>
    <row r="558" spans="1:18" x14ac:dyDescent="0.3">
      <c r="A558" s="414" t="s">
        <v>1415</v>
      </c>
      <c r="B558" s="113"/>
      <c r="C558" s="30" t="s">
        <v>1765</v>
      </c>
      <c r="D558" s="31">
        <v>29933</v>
      </c>
      <c r="E558" s="30">
        <v>2648211</v>
      </c>
      <c r="F558" s="30">
        <f t="shared" ca="1" si="44"/>
        <v>45</v>
      </c>
      <c r="G558" s="30" t="s">
        <v>1766</v>
      </c>
      <c r="H558" s="30"/>
      <c r="I558" s="29"/>
      <c r="J558" s="1"/>
      <c r="K558" s="1"/>
      <c r="L558" s="8"/>
      <c r="M558" s="8"/>
      <c r="N558" s="8"/>
      <c r="O558" s="8"/>
      <c r="P558" s="104"/>
      <c r="Q558" s="5"/>
      <c r="R558" s="8"/>
    </row>
    <row r="559" spans="1:18" x14ac:dyDescent="0.3">
      <c r="A559" s="415"/>
      <c r="B559" s="112">
        <v>45094</v>
      </c>
      <c r="C559" s="30" t="s">
        <v>1416</v>
      </c>
      <c r="D559" s="31">
        <v>22460</v>
      </c>
      <c r="E559" s="30">
        <v>2953120</v>
      </c>
      <c r="F559" s="30">
        <f t="shared" ca="1" si="44"/>
        <v>65</v>
      </c>
      <c r="G559" s="30" t="s">
        <v>1417</v>
      </c>
      <c r="H559" s="30"/>
      <c r="I559" s="29" t="s">
        <v>1767</v>
      </c>
      <c r="J559" s="1"/>
      <c r="K559" s="1"/>
      <c r="L559" s="8"/>
      <c r="M559" s="8"/>
      <c r="N559" s="8"/>
      <c r="O559" s="8"/>
      <c r="P559" s="104"/>
      <c r="Q559" s="5"/>
      <c r="R559" s="8"/>
    </row>
    <row r="560" spans="1:18" x14ac:dyDescent="0.3">
      <c r="A560" s="234" t="s">
        <v>1647</v>
      </c>
      <c r="B560" s="117">
        <v>45097</v>
      </c>
      <c r="C560" s="27" t="s">
        <v>1648</v>
      </c>
      <c r="D560" s="28">
        <v>24793</v>
      </c>
      <c r="E560" s="27">
        <v>2823016</v>
      </c>
      <c r="F560" s="27">
        <f t="shared" ca="1" si="44"/>
        <v>59</v>
      </c>
      <c r="G560" s="27" t="s">
        <v>1649</v>
      </c>
      <c r="H560" s="27"/>
      <c r="I560" s="26" t="s">
        <v>1768</v>
      </c>
      <c r="J560" s="1"/>
      <c r="K560" s="1"/>
      <c r="L560" s="8"/>
      <c r="M560" s="8"/>
      <c r="N560" s="8"/>
      <c r="O560" s="8"/>
      <c r="P560" s="104"/>
      <c r="Q560" s="5"/>
      <c r="R560" s="8"/>
    </row>
    <row r="561" spans="1:18" x14ac:dyDescent="0.3">
      <c r="A561" s="33"/>
      <c r="B561" s="110">
        <v>45099</v>
      </c>
      <c r="C561" s="33" t="s">
        <v>889</v>
      </c>
      <c r="D561" s="34">
        <v>29117</v>
      </c>
      <c r="E561" s="33">
        <v>1667511</v>
      </c>
      <c r="F561" s="33">
        <f t="shared" ca="1" si="44"/>
        <v>47</v>
      </c>
      <c r="G561" s="33"/>
      <c r="H561" s="33" t="s">
        <v>891</v>
      </c>
      <c r="I561" s="32" t="s">
        <v>1769</v>
      </c>
      <c r="J561" s="1"/>
      <c r="K561" s="1"/>
      <c r="L561" s="8"/>
      <c r="M561" s="8"/>
      <c r="N561" s="8"/>
      <c r="O561" s="8"/>
      <c r="P561" s="104"/>
      <c r="Q561" s="5"/>
      <c r="R561" s="8"/>
    </row>
    <row r="562" spans="1:18" x14ac:dyDescent="0.3">
      <c r="A562" s="422" t="s">
        <v>880</v>
      </c>
      <c r="B562" s="115">
        <v>45099</v>
      </c>
      <c r="C562" s="1" t="s">
        <v>504</v>
      </c>
      <c r="D562" s="2">
        <v>29709</v>
      </c>
      <c r="E562" s="1">
        <v>2123215</v>
      </c>
      <c r="F562" s="1">
        <f t="shared" ca="1" si="44"/>
        <v>45</v>
      </c>
      <c r="G562" s="1" t="s">
        <v>1770</v>
      </c>
      <c r="H562" s="1"/>
      <c r="I562" s="8" t="s">
        <v>1771</v>
      </c>
      <c r="J562" s="1"/>
      <c r="K562" s="1"/>
      <c r="L562" s="8"/>
      <c r="M562" s="8"/>
      <c r="N562" s="8"/>
      <c r="O562" s="8"/>
      <c r="P562" s="104"/>
      <c r="Q562" s="5"/>
      <c r="R562" s="8"/>
    </row>
    <row r="563" spans="1:18" x14ac:dyDescent="0.3">
      <c r="A563" s="422"/>
      <c r="B563" s="109"/>
      <c r="C563" s="1" t="s">
        <v>503</v>
      </c>
      <c r="D563" s="2">
        <v>26862</v>
      </c>
      <c r="E563" s="1">
        <v>1121540</v>
      </c>
      <c r="F563" s="1">
        <f t="shared" ca="1" si="44"/>
        <v>53</v>
      </c>
      <c r="G563" s="1" t="s">
        <v>1772</v>
      </c>
      <c r="H563" s="1"/>
      <c r="I563" s="8"/>
      <c r="J563" s="1"/>
      <c r="K563" s="1"/>
      <c r="L563" s="8"/>
      <c r="M563" s="8"/>
      <c r="N563" s="8"/>
      <c r="O563" s="8"/>
      <c r="P563" s="104"/>
      <c r="Q563" s="5"/>
      <c r="R563" s="8"/>
    </row>
    <row r="564" spans="1:18" x14ac:dyDescent="0.3">
      <c r="A564" s="422"/>
      <c r="B564" s="109"/>
      <c r="C564" s="1" t="s">
        <v>505</v>
      </c>
      <c r="D564" s="2">
        <v>39766</v>
      </c>
      <c r="E564" s="1">
        <v>4121214</v>
      </c>
      <c r="F564" s="1">
        <f t="shared" ca="1" si="44"/>
        <v>18</v>
      </c>
      <c r="G564" s="1"/>
      <c r="H564" s="1"/>
      <c r="I564" s="8"/>
      <c r="J564" s="1"/>
      <c r="K564" s="1"/>
      <c r="L564" s="8"/>
      <c r="M564" s="8"/>
      <c r="N564" s="8"/>
      <c r="O564" s="8"/>
      <c r="P564" s="104"/>
      <c r="Q564" s="5"/>
      <c r="R564" s="8"/>
    </row>
    <row r="565" spans="1:18" x14ac:dyDescent="0.3">
      <c r="A565" s="422"/>
      <c r="B565" s="109"/>
      <c r="C565" s="1" t="s">
        <v>506</v>
      </c>
      <c r="D565" s="2">
        <v>41929</v>
      </c>
      <c r="E565" s="1">
        <v>3121216</v>
      </c>
      <c r="F565" s="1">
        <f t="shared" ca="1" si="44"/>
        <v>12</v>
      </c>
      <c r="G565" s="1"/>
      <c r="H565" s="1"/>
      <c r="I565" s="8"/>
      <c r="J565" s="1"/>
      <c r="K565" s="1"/>
      <c r="L565" s="8"/>
      <c r="M565" s="8"/>
      <c r="N565" s="8"/>
      <c r="O565" s="8"/>
      <c r="P565" s="104"/>
      <c r="Q565" s="5"/>
      <c r="R565" s="8"/>
    </row>
    <row r="566" spans="1:18" x14ac:dyDescent="0.3">
      <c r="A566" s="402" t="s">
        <v>1265</v>
      </c>
      <c r="B566" s="118"/>
      <c r="C566" s="40" t="s">
        <v>1266</v>
      </c>
      <c r="D566" s="41">
        <v>27807</v>
      </c>
      <c r="E566" s="40">
        <v>1221211</v>
      </c>
      <c r="F566" s="40">
        <f t="shared" ca="1" si="44"/>
        <v>50</v>
      </c>
      <c r="G566" s="40" t="s">
        <v>1267</v>
      </c>
      <c r="H566" s="40"/>
      <c r="I566" s="39"/>
      <c r="J566" s="40"/>
      <c r="K566" s="40"/>
      <c r="L566" s="8"/>
      <c r="M566" s="8"/>
      <c r="N566" s="8"/>
      <c r="O566" s="8"/>
      <c r="P566" s="9"/>
      <c r="Q566" s="3"/>
      <c r="R566" s="8"/>
    </row>
    <row r="567" spans="1:18" x14ac:dyDescent="0.3">
      <c r="A567" s="403"/>
      <c r="B567" s="118">
        <v>45099</v>
      </c>
      <c r="C567" s="40" t="s">
        <v>1270</v>
      </c>
      <c r="D567" s="41">
        <v>28092</v>
      </c>
      <c r="E567" s="40">
        <v>2890512</v>
      </c>
      <c r="F567" s="40">
        <f t="shared" ca="1" si="44"/>
        <v>50</v>
      </c>
      <c r="G567" s="40" t="s">
        <v>1271</v>
      </c>
      <c r="H567" s="40"/>
      <c r="I567" s="39" t="s">
        <v>1773</v>
      </c>
      <c r="J567" s="40"/>
      <c r="K567" s="40"/>
      <c r="L567" s="8"/>
      <c r="M567" s="8"/>
      <c r="N567" s="8"/>
      <c r="O567" s="8"/>
      <c r="P567" s="9"/>
      <c r="Q567" s="3"/>
      <c r="R567" s="8"/>
    </row>
    <row r="568" spans="1:18" s="189" customFormat="1" x14ac:dyDescent="0.3">
      <c r="A568" s="183" t="s">
        <v>1774</v>
      </c>
      <c r="B568" s="112">
        <v>45100</v>
      </c>
      <c r="C568" s="30" t="s">
        <v>724</v>
      </c>
      <c r="D568" s="31">
        <v>32866</v>
      </c>
      <c r="E568" s="30">
        <v>1218619</v>
      </c>
      <c r="F568" s="30">
        <f t="shared" ca="1" si="44"/>
        <v>37</v>
      </c>
      <c r="G568" s="30" t="s">
        <v>1775</v>
      </c>
      <c r="H568" s="30"/>
      <c r="I568" s="29" t="s">
        <v>1776</v>
      </c>
      <c r="J568" s="1"/>
      <c r="K568" s="1"/>
      <c r="L568" s="8"/>
      <c r="M568" s="8"/>
      <c r="N568" s="8"/>
      <c r="O568" s="8"/>
      <c r="P568" s="104"/>
      <c r="Q568" s="5"/>
      <c r="R568" s="8"/>
    </row>
    <row r="569" spans="1:18" x14ac:dyDescent="0.3">
      <c r="A569" s="394" t="s">
        <v>880</v>
      </c>
      <c r="B569" s="119">
        <v>44371</v>
      </c>
      <c r="C569" s="36" t="s">
        <v>222</v>
      </c>
      <c r="D569" s="37">
        <v>29353</v>
      </c>
      <c r="E569" s="36">
        <v>1411411</v>
      </c>
      <c r="F569" s="36">
        <f t="shared" ca="1" si="44"/>
        <v>46</v>
      </c>
      <c r="G569" s="36" t="s">
        <v>1777</v>
      </c>
      <c r="H569" s="36"/>
      <c r="I569" s="35" t="s">
        <v>1778</v>
      </c>
      <c r="J569" s="1"/>
      <c r="K569" s="1"/>
      <c r="L569" s="8"/>
      <c r="M569" s="8"/>
      <c r="N569" s="8"/>
      <c r="O569" s="8"/>
      <c r="P569" s="104"/>
      <c r="Q569" s="5"/>
      <c r="R569" s="8"/>
    </row>
    <row r="570" spans="1:18" x14ac:dyDescent="0.3">
      <c r="A570" s="394"/>
      <c r="B570" s="120"/>
      <c r="C570" s="36" t="s">
        <v>223</v>
      </c>
      <c r="D570" s="37">
        <v>30243</v>
      </c>
      <c r="E570" s="36">
        <v>2182615</v>
      </c>
      <c r="F570" s="36">
        <f t="shared" ca="1" si="44"/>
        <v>44</v>
      </c>
      <c r="G570" s="36" t="s">
        <v>1779</v>
      </c>
      <c r="H570" s="36"/>
      <c r="I570" s="35"/>
      <c r="J570" s="1"/>
      <c r="K570" s="1"/>
      <c r="L570" s="8"/>
      <c r="M570" s="8"/>
      <c r="N570" s="8"/>
      <c r="O570" s="8"/>
      <c r="P570" s="104"/>
      <c r="Q570" s="5"/>
      <c r="R570" s="8"/>
    </row>
    <row r="571" spans="1:18" x14ac:dyDescent="0.3">
      <c r="A571" s="422" t="s">
        <v>1780</v>
      </c>
      <c r="B571" s="115">
        <v>44737</v>
      </c>
      <c r="C571" s="1" t="s">
        <v>204</v>
      </c>
      <c r="D571" s="2">
        <v>29397</v>
      </c>
      <c r="E571" s="1">
        <v>1127110</v>
      </c>
      <c r="F571" s="1">
        <f t="shared" ca="1" si="44"/>
        <v>46</v>
      </c>
      <c r="G571" s="1" t="s">
        <v>1781</v>
      </c>
      <c r="H571" s="1"/>
      <c r="I571" s="8" t="s">
        <v>1782</v>
      </c>
      <c r="J571" s="1"/>
      <c r="K571" s="1"/>
      <c r="L571" s="8"/>
      <c r="M571" s="8"/>
      <c r="N571" s="8"/>
      <c r="O571" s="8"/>
      <c r="P571" s="104"/>
      <c r="Q571" s="5"/>
      <c r="R571" s="8"/>
    </row>
    <row r="572" spans="1:18" x14ac:dyDescent="0.3">
      <c r="A572" s="422"/>
      <c r="B572" s="109"/>
      <c r="C572" s="1" t="s">
        <v>205</v>
      </c>
      <c r="D572" s="2">
        <v>29511</v>
      </c>
      <c r="E572" s="1">
        <v>2114717</v>
      </c>
      <c r="F572" s="1">
        <f t="shared" ca="1" si="44"/>
        <v>46</v>
      </c>
      <c r="G572" s="1" t="s">
        <v>1783</v>
      </c>
      <c r="H572" s="1"/>
      <c r="I572" s="8"/>
      <c r="J572" s="1"/>
      <c r="K572" s="1"/>
      <c r="L572" s="8"/>
      <c r="M572" s="8"/>
      <c r="N572" s="8"/>
      <c r="O572" s="8"/>
      <c r="P572" s="104"/>
      <c r="Q572" s="5"/>
      <c r="R572" s="8"/>
    </row>
    <row r="573" spans="1:18" x14ac:dyDescent="0.3">
      <c r="A573" s="422"/>
      <c r="B573" s="109"/>
      <c r="C573" s="1" t="s">
        <v>206</v>
      </c>
      <c r="D573" s="2">
        <v>40518</v>
      </c>
      <c r="E573" s="1">
        <v>3903116</v>
      </c>
      <c r="F573" s="1">
        <f t="shared" ca="1" si="44"/>
        <v>16</v>
      </c>
      <c r="G573" s="1"/>
      <c r="H573" s="1"/>
      <c r="I573" s="8"/>
      <c r="J573" s="1"/>
      <c r="K573" s="1"/>
      <c r="L573" s="8"/>
      <c r="M573" s="8"/>
      <c r="N573" s="8"/>
      <c r="O573" s="8"/>
      <c r="P573" s="104"/>
      <c r="Q573" s="5"/>
      <c r="R573" s="8"/>
    </row>
    <row r="574" spans="1:18" x14ac:dyDescent="0.3">
      <c r="A574" s="422"/>
      <c r="B574" s="109"/>
      <c r="C574" s="1" t="s">
        <v>207</v>
      </c>
      <c r="D574" s="2">
        <v>40518</v>
      </c>
      <c r="E574" s="1">
        <v>4903119</v>
      </c>
      <c r="F574" s="1">
        <f t="shared" ca="1" si="44"/>
        <v>16</v>
      </c>
      <c r="G574" s="1"/>
      <c r="H574" s="1"/>
      <c r="I574" s="8"/>
      <c r="J574" s="1"/>
      <c r="K574" s="1"/>
      <c r="L574" s="8"/>
      <c r="M574" s="8"/>
      <c r="N574" s="8"/>
      <c r="O574" s="8"/>
      <c r="P574" s="104"/>
      <c r="Q574" s="5"/>
      <c r="R574" s="8"/>
    </row>
    <row r="575" spans="1:18" x14ac:dyDescent="0.3">
      <c r="A575" s="187" t="s">
        <v>1568</v>
      </c>
      <c r="B575" s="118">
        <v>44372</v>
      </c>
      <c r="C575" s="40" t="s">
        <v>224</v>
      </c>
      <c r="D575" s="41">
        <v>28592</v>
      </c>
      <c r="E575" s="40">
        <v>1253821</v>
      </c>
      <c r="F575" s="40">
        <f ca="1">YEAR(TODAY())-YEAR(D575)</f>
        <v>48</v>
      </c>
      <c r="G575" s="40" t="s">
        <v>1784</v>
      </c>
      <c r="H575" s="40"/>
      <c r="I575" s="39" t="s">
        <v>1785</v>
      </c>
      <c r="J575" s="1"/>
      <c r="K575" s="1"/>
      <c r="L575" s="8"/>
      <c r="M575" s="8"/>
      <c r="N575" s="8"/>
      <c r="O575" s="8"/>
      <c r="P575" s="104"/>
      <c r="Q575" s="5"/>
      <c r="R575" s="8"/>
    </row>
    <row r="576" spans="1:18" x14ac:dyDescent="0.3">
      <c r="A576" s="408" t="s">
        <v>953</v>
      </c>
      <c r="B576" s="112">
        <v>45102</v>
      </c>
      <c r="C576" s="30" t="s">
        <v>954</v>
      </c>
      <c r="D576" s="31">
        <v>31782</v>
      </c>
      <c r="E576" s="30">
        <v>1002328</v>
      </c>
      <c r="F576" s="30">
        <f t="shared" ref="F576" ca="1" si="45">YEAR(TODAY())-YEAR(D576)</f>
        <v>39</v>
      </c>
      <c r="G576" s="30" t="s">
        <v>955</v>
      </c>
      <c r="H576" s="30"/>
      <c r="I576" s="29" t="s">
        <v>1786</v>
      </c>
      <c r="J576" s="1"/>
      <c r="K576" s="1"/>
      <c r="L576" s="8"/>
      <c r="M576" s="8"/>
      <c r="N576" s="8"/>
      <c r="O576" s="8"/>
      <c r="P576" s="104"/>
      <c r="Q576" s="5"/>
      <c r="R576" s="8"/>
    </row>
    <row r="577" spans="1:18" x14ac:dyDescent="0.3">
      <c r="A577" s="409"/>
      <c r="B577" s="113"/>
      <c r="C577" s="30" t="s">
        <v>1787</v>
      </c>
      <c r="D577" s="31">
        <v>31454</v>
      </c>
      <c r="E577" s="30">
        <v>2012813</v>
      </c>
      <c r="F577" s="30">
        <f t="shared" ref="F577:F578" ca="1" si="46">YEAR(TODAY())-YEAR(D577)</f>
        <v>40</v>
      </c>
      <c r="G577" s="30" t="s">
        <v>1788</v>
      </c>
      <c r="H577" s="30"/>
      <c r="I577" s="29"/>
      <c r="J577" s="1"/>
      <c r="K577" s="1"/>
      <c r="L577" s="8"/>
      <c r="M577" s="8"/>
      <c r="N577" s="8"/>
      <c r="O577" s="8"/>
      <c r="P577" s="104"/>
      <c r="Q577" s="5"/>
      <c r="R577" s="8"/>
    </row>
    <row r="578" spans="1:18" x14ac:dyDescent="0.3">
      <c r="A578" s="410"/>
      <c r="B578" s="113"/>
      <c r="C578" s="30" t="s">
        <v>1789</v>
      </c>
      <c r="D578" s="31">
        <v>42773</v>
      </c>
      <c r="E578" s="30"/>
      <c r="F578" s="30">
        <f t="shared" ca="1" si="46"/>
        <v>9</v>
      </c>
      <c r="G578" s="30"/>
      <c r="H578" s="30"/>
      <c r="I578" s="29"/>
      <c r="J578" s="1"/>
      <c r="K578" s="1"/>
      <c r="L578" s="8"/>
      <c r="M578" s="8"/>
      <c r="N578" s="8"/>
      <c r="O578" s="8"/>
      <c r="P578" s="104"/>
      <c r="Q578" s="5"/>
      <c r="R578" s="8"/>
    </row>
    <row r="579" spans="1:18" s="204" customFormat="1" x14ac:dyDescent="0.3">
      <c r="A579" s="398" t="s">
        <v>1790</v>
      </c>
      <c r="B579" s="117">
        <v>45103</v>
      </c>
      <c r="C579" s="160" t="s">
        <v>651</v>
      </c>
      <c r="D579" s="159">
        <v>21561</v>
      </c>
      <c r="E579" s="160">
        <v>1380618</v>
      </c>
      <c r="F579" s="160">
        <f t="shared" ref="F579:F580" ca="1" si="47">YEAR(TODAY())-YEAR(D579)</f>
        <v>67</v>
      </c>
      <c r="G579" s="160" t="s">
        <v>1096</v>
      </c>
      <c r="H579" s="160"/>
      <c r="I579" s="26" t="s">
        <v>1791</v>
      </c>
      <c r="J579" s="1"/>
      <c r="K579" s="1"/>
      <c r="L579" s="8"/>
      <c r="M579" s="8"/>
      <c r="N579" s="8"/>
      <c r="O579" s="8"/>
      <c r="P579" s="104"/>
      <c r="Q579" s="5"/>
      <c r="R579" s="8"/>
    </row>
    <row r="580" spans="1:18" s="204" customFormat="1" x14ac:dyDescent="0.3">
      <c r="A580" s="438"/>
      <c r="B580" s="121"/>
      <c r="C580" s="160" t="s">
        <v>652</v>
      </c>
      <c r="D580" s="159">
        <v>21613</v>
      </c>
      <c r="E580" s="160">
        <v>2380917</v>
      </c>
      <c r="F580" s="160">
        <f t="shared" ca="1" si="47"/>
        <v>67</v>
      </c>
      <c r="G580" s="160" t="s">
        <v>1792</v>
      </c>
      <c r="H580" s="160"/>
      <c r="I580" s="26"/>
      <c r="J580" s="1"/>
      <c r="K580" s="1"/>
      <c r="L580" s="8"/>
      <c r="M580" s="8"/>
      <c r="N580" s="8"/>
      <c r="O580" s="8"/>
      <c r="P580" s="104"/>
      <c r="Q580" s="5"/>
      <c r="R580" s="8"/>
    </row>
    <row r="581" spans="1:18" x14ac:dyDescent="0.3">
      <c r="A581" s="414" t="s">
        <v>1793</v>
      </c>
      <c r="B581" s="112"/>
      <c r="C581" s="30" t="s">
        <v>226</v>
      </c>
      <c r="D581" s="31">
        <v>26300</v>
      </c>
      <c r="E581" s="30">
        <v>1573311</v>
      </c>
      <c r="F581" s="30">
        <f t="shared" ref="F581:F605" ca="1" si="48">YEAR(TODAY())-YEAR(D581)</f>
        <v>54</v>
      </c>
      <c r="G581" s="30" t="s">
        <v>1794</v>
      </c>
      <c r="H581" s="30"/>
      <c r="I581" s="29"/>
      <c r="J581" s="1"/>
      <c r="K581" s="1"/>
      <c r="L581" s="8"/>
      <c r="M581" s="8"/>
      <c r="N581" s="8"/>
      <c r="O581" s="8"/>
      <c r="P581" s="104"/>
      <c r="Q581" s="5"/>
      <c r="R581" s="8"/>
    </row>
    <row r="582" spans="1:18" x14ac:dyDescent="0.3">
      <c r="A582" s="414"/>
      <c r="B582" s="112">
        <v>44374</v>
      </c>
      <c r="C582" s="30" t="s">
        <v>227</v>
      </c>
      <c r="D582" s="31">
        <v>26783</v>
      </c>
      <c r="E582" s="30">
        <v>2329417</v>
      </c>
      <c r="F582" s="30">
        <f t="shared" ca="1" si="48"/>
        <v>53</v>
      </c>
      <c r="G582" s="30" t="s">
        <v>1795</v>
      </c>
      <c r="H582" s="30"/>
      <c r="I582" s="29" t="s">
        <v>1796</v>
      </c>
      <c r="J582" s="1"/>
      <c r="K582" s="1"/>
      <c r="L582" s="8"/>
      <c r="M582" s="8"/>
      <c r="N582" s="8"/>
      <c r="O582" s="8"/>
      <c r="P582" s="104"/>
      <c r="Q582" s="5"/>
      <c r="R582" s="8"/>
    </row>
    <row r="583" spans="1:18" x14ac:dyDescent="0.3">
      <c r="A583" s="414"/>
      <c r="B583" s="113"/>
      <c r="C583" s="30" t="s">
        <v>228</v>
      </c>
      <c r="D583" s="31">
        <v>16470</v>
      </c>
      <c r="E583" s="30">
        <v>2573316</v>
      </c>
      <c r="F583" s="30">
        <f t="shared" ca="1" si="48"/>
        <v>81</v>
      </c>
      <c r="G583" s="30"/>
      <c r="H583" s="30"/>
      <c r="I583" s="29"/>
      <c r="J583" s="1"/>
      <c r="K583" s="1"/>
      <c r="L583" s="8"/>
      <c r="M583" s="8"/>
      <c r="N583" s="8"/>
      <c r="O583" s="8"/>
      <c r="P583" s="104"/>
      <c r="Q583" s="5"/>
      <c r="R583" s="8"/>
    </row>
    <row r="584" spans="1:18" x14ac:dyDescent="0.3">
      <c r="A584" s="414"/>
      <c r="B584" s="113"/>
      <c r="C584" s="30" t="s">
        <v>229</v>
      </c>
      <c r="D584" s="31">
        <v>36902</v>
      </c>
      <c r="E584" s="30">
        <v>3419411</v>
      </c>
      <c r="F584" s="30">
        <f t="shared" ca="1" si="48"/>
        <v>25</v>
      </c>
      <c r="G584" s="30"/>
      <c r="H584" s="30"/>
      <c r="I584" s="29"/>
      <c r="J584" s="1"/>
      <c r="K584" s="1"/>
      <c r="L584" s="8"/>
      <c r="M584" s="8"/>
      <c r="N584" s="8"/>
      <c r="O584" s="8"/>
      <c r="P584" s="104"/>
      <c r="Q584" s="5"/>
      <c r="R584" s="8"/>
    </row>
    <row r="585" spans="1:18" x14ac:dyDescent="0.3">
      <c r="A585" s="414"/>
      <c r="B585" s="113"/>
      <c r="C585" s="30" t="s">
        <v>230</v>
      </c>
      <c r="D585" s="31">
        <v>37382</v>
      </c>
      <c r="E585" s="30">
        <v>3419414</v>
      </c>
      <c r="F585" s="30">
        <f t="shared" ca="1" si="48"/>
        <v>24</v>
      </c>
      <c r="G585" s="30" t="s">
        <v>1797</v>
      </c>
      <c r="H585" s="30"/>
      <c r="I585" s="29"/>
      <c r="J585" s="1"/>
      <c r="K585" s="1"/>
      <c r="L585" s="8"/>
      <c r="M585" s="8"/>
      <c r="N585" s="8"/>
      <c r="O585" s="8"/>
      <c r="P585" s="104"/>
      <c r="Q585" s="5"/>
      <c r="R585" s="8"/>
    </row>
    <row r="586" spans="1:18" x14ac:dyDescent="0.3">
      <c r="A586" s="283"/>
      <c r="B586" s="115">
        <v>45471</v>
      </c>
      <c r="C586" s="1" t="s">
        <v>1798</v>
      </c>
      <c r="D586" s="2">
        <v>33834</v>
      </c>
      <c r="E586" s="1">
        <v>1411519</v>
      </c>
      <c r="F586" s="1">
        <f ca="1">YEAR(TODAY())-YEAR(D586)</f>
        <v>34</v>
      </c>
      <c r="G586" s="1"/>
      <c r="H586" s="1"/>
      <c r="I586" s="8" t="s">
        <v>1799</v>
      </c>
      <c r="J586" s="1"/>
      <c r="K586" s="1"/>
      <c r="L586" s="8"/>
      <c r="M586" s="8"/>
      <c r="N586" s="8"/>
      <c r="O586" s="8"/>
      <c r="P586" s="9"/>
      <c r="Q586" s="3"/>
      <c r="R586" s="8"/>
    </row>
    <row r="587" spans="1:18" x14ac:dyDescent="0.3">
      <c r="A587" s="36"/>
      <c r="B587" s="119">
        <v>45105</v>
      </c>
      <c r="C587" s="36" t="s">
        <v>889</v>
      </c>
      <c r="D587" s="37">
        <v>29117</v>
      </c>
      <c r="E587" s="36">
        <v>1667511</v>
      </c>
      <c r="F587" s="36">
        <f t="shared" ca="1" si="48"/>
        <v>47</v>
      </c>
      <c r="G587" s="36"/>
      <c r="H587" s="36" t="s">
        <v>891</v>
      </c>
      <c r="I587" s="35" t="s">
        <v>1260</v>
      </c>
      <c r="J587" s="1"/>
      <c r="K587" s="1"/>
      <c r="L587" s="8"/>
      <c r="M587" s="8"/>
      <c r="N587" s="8"/>
      <c r="O587" s="8"/>
      <c r="P587" s="104"/>
      <c r="Q587" s="5"/>
      <c r="R587" s="8"/>
    </row>
    <row r="588" spans="1:18" s="193" customFormat="1" x14ac:dyDescent="0.3">
      <c r="A588" s="388" t="s">
        <v>1711</v>
      </c>
      <c r="B588" s="110">
        <v>44375</v>
      </c>
      <c r="C588" s="33" t="s">
        <v>208</v>
      </c>
      <c r="D588" s="34">
        <v>28816</v>
      </c>
      <c r="E588" s="33">
        <v>2102027</v>
      </c>
      <c r="F588" s="33">
        <f t="shared" ca="1" si="48"/>
        <v>48</v>
      </c>
      <c r="G588" s="33" t="s">
        <v>1800</v>
      </c>
      <c r="H588" s="33"/>
      <c r="I588" s="32" t="s">
        <v>1801</v>
      </c>
      <c r="J588" s="1"/>
      <c r="K588" s="1"/>
      <c r="L588" s="8"/>
      <c r="M588" s="8"/>
      <c r="N588" s="8"/>
      <c r="O588" s="8"/>
      <c r="P588" s="104"/>
      <c r="Q588" s="5"/>
      <c r="R588" s="8"/>
    </row>
    <row r="589" spans="1:18" s="193" customFormat="1" x14ac:dyDescent="0.3">
      <c r="A589" s="388"/>
      <c r="B589" s="111"/>
      <c r="C589" s="33" t="s">
        <v>209</v>
      </c>
      <c r="D589" s="34">
        <v>40422</v>
      </c>
      <c r="E589" s="33">
        <v>3108613</v>
      </c>
      <c r="F589" s="33">
        <f t="shared" ca="1" si="48"/>
        <v>16</v>
      </c>
      <c r="G589" s="33"/>
      <c r="H589" s="33"/>
      <c r="I589" s="32"/>
      <c r="J589" s="1"/>
      <c r="K589" s="1"/>
      <c r="L589" s="8"/>
      <c r="M589" s="8"/>
      <c r="N589" s="8"/>
      <c r="O589" s="8"/>
      <c r="P589" s="104"/>
      <c r="Q589" s="5"/>
      <c r="R589" s="8"/>
    </row>
    <row r="590" spans="1:18" s="193" customFormat="1" x14ac:dyDescent="0.3">
      <c r="A590" s="388"/>
      <c r="B590" s="111"/>
      <c r="C590" s="33" t="s">
        <v>210</v>
      </c>
      <c r="D590" s="34">
        <v>40910</v>
      </c>
      <c r="E590" s="33">
        <v>4111421</v>
      </c>
      <c r="F590" s="33">
        <f t="shared" ca="1" si="48"/>
        <v>14</v>
      </c>
      <c r="G590" s="33"/>
      <c r="H590" s="33"/>
      <c r="I590" s="32"/>
      <c r="J590" s="1"/>
      <c r="K590" s="1"/>
      <c r="L590" s="8"/>
      <c r="M590" s="8"/>
      <c r="N590" s="8"/>
      <c r="O590" s="8"/>
      <c r="P590" s="104"/>
      <c r="Q590" s="5"/>
      <c r="R590" s="8"/>
    </row>
    <row r="591" spans="1:18" s="193" customFormat="1" x14ac:dyDescent="0.3">
      <c r="A591" s="388"/>
      <c r="B591" s="111"/>
      <c r="C591" s="33" t="s">
        <v>211</v>
      </c>
      <c r="D591" s="34">
        <v>27885</v>
      </c>
      <c r="E591" s="33">
        <v>1106117</v>
      </c>
      <c r="F591" s="33">
        <f t="shared" ca="1" si="48"/>
        <v>50</v>
      </c>
      <c r="G591" s="33" t="s">
        <v>1802</v>
      </c>
      <c r="H591" s="33"/>
      <c r="I591" s="32"/>
      <c r="J591" s="1" t="s">
        <v>90</v>
      </c>
      <c r="K591" s="1"/>
      <c r="L591" s="8"/>
      <c r="M591" s="8"/>
      <c r="N591" s="8"/>
      <c r="O591" s="8"/>
      <c r="P591" s="104"/>
      <c r="Q591" s="5"/>
      <c r="R591" s="8"/>
    </row>
    <row r="592" spans="1:18" x14ac:dyDescent="0.3">
      <c r="A592" s="422" t="s">
        <v>1803</v>
      </c>
      <c r="B592" s="115">
        <v>44741</v>
      </c>
      <c r="C592" s="1" t="s">
        <v>231</v>
      </c>
      <c r="D592" s="2">
        <v>29262</v>
      </c>
      <c r="E592" s="1">
        <v>2682711</v>
      </c>
      <c r="F592" s="1">
        <f ca="1">YEAR(TODAY())-YEAR(D592)</f>
        <v>46</v>
      </c>
      <c r="G592" s="1" t="s">
        <v>1804</v>
      </c>
      <c r="H592" s="1"/>
      <c r="I592" s="8" t="s">
        <v>1805</v>
      </c>
      <c r="J592" s="1"/>
      <c r="K592" s="1"/>
      <c r="L592" s="8"/>
      <c r="M592" s="8"/>
      <c r="N592" s="8"/>
      <c r="O592" s="8"/>
      <c r="P592" s="104"/>
      <c r="Q592" s="5"/>
      <c r="R592" s="8"/>
    </row>
    <row r="593" spans="1:18" x14ac:dyDescent="0.3">
      <c r="A593" s="422"/>
      <c r="B593" s="109"/>
      <c r="C593" s="1" t="s">
        <v>233</v>
      </c>
      <c r="D593" s="2">
        <v>43575</v>
      </c>
      <c r="E593" s="1">
        <v>4055414</v>
      </c>
      <c r="F593" s="1">
        <f ca="1">YEAR(TODAY())-YEAR(D593)</f>
        <v>7</v>
      </c>
      <c r="G593" s="1"/>
      <c r="H593" s="1"/>
      <c r="I593" s="8"/>
      <c r="J593" s="1"/>
      <c r="K593" s="1"/>
      <c r="L593" s="8"/>
      <c r="M593" s="8"/>
      <c r="N593" s="8"/>
      <c r="O593" s="8"/>
      <c r="P593" s="104"/>
      <c r="Q593" s="5"/>
      <c r="R593" s="8"/>
    </row>
    <row r="594" spans="1:18" x14ac:dyDescent="0.3">
      <c r="A594" s="398" t="s">
        <v>1516</v>
      </c>
      <c r="B594" s="117">
        <v>45106</v>
      </c>
      <c r="C594" s="27" t="s">
        <v>1519</v>
      </c>
      <c r="D594" s="28">
        <v>27779</v>
      </c>
      <c r="E594" s="27">
        <v>2451028</v>
      </c>
      <c r="F594" s="27">
        <f t="shared" ref="F594:F595" ca="1" si="49">YEAR(TODAY())-YEAR(D594)</f>
        <v>50</v>
      </c>
      <c r="G594" s="27" t="s">
        <v>1520</v>
      </c>
      <c r="H594" s="27"/>
      <c r="I594" s="26" t="s">
        <v>1806</v>
      </c>
      <c r="J594" s="1"/>
      <c r="K594" s="1"/>
      <c r="L594" s="8"/>
      <c r="M594" s="8"/>
      <c r="N594" s="8"/>
      <c r="O594" s="8"/>
      <c r="P594" s="104"/>
      <c r="Q594" s="5"/>
      <c r="R594" s="8"/>
    </row>
    <row r="595" spans="1:18" x14ac:dyDescent="0.3">
      <c r="A595" s="399"/>
      <c r="B595" s="121"/>
      <c r="C595" s="27" t="s">
        <v>1517</v>
      </c>
      <c r="D595" s="28">
        <v>25877</v>
      </c>
      <c r="E595" s="27">
        <v>1451027</v>
      </c>
      <c r="F595" s="27">
        <f t="shared" ca="1" si="49"/>
        <v>56</v>
      </c>
      <c r="G595" s="27" t="s">
        <v>1518</v>
      </c>
      <c r="H595" s="27"/>
      <c r="I595" s="26"/>
      <c r="J595" s="1"/>
      <c r="K595" s="1"/>
      <c r="L595" s="8"/>
      <c r="M595" s="8"/>
      <c r="N595" s="8"/>
      <c r="O595" s="8"/>
      <c r="P595" s="104"/>
      <c r="Q595" s="5"/>
      <c r="R595" s="8"/>
    </row>
    <row r="596" spans="1:18" x14ac:dyDescent="0.3">
      <c r="A596" s="399"/>
      <c r="B596" s="121"/>
      <c r="C596" s="27" t="s">
        <v>1525</v>
      </c>
      <c r="D596" s="28">
        <v>39461</v>
      </c>
      <c r="E596" s="27">
        <v>4475923</v>
      </c>
      <c r="F596" s="27">
        <f t="shared" ref="F596:F597" ca="1" si="50">YEAR(TODAY())-YEAR(D596)</f>
        <v>18</v>
      </c>
      <c r="G596" s="27"/>
      <c r="H596" s="27"/>
      <c r="I596" s="26"/>
      <c r="J596" s="1"/>
      <c r="K596" s="1"/>
      <c r="L596" s="8"/>
      <c r="M596" s="8"/>
      <c r="N596" s="8"/>
      <c r="O596" s="8"/>
      <c r="P596" s="104"/>
      <c r="Q596" s="5"/>
      <c r="R596" s="8"/>
    </row>
    <row r="597" spans="1:18" x14ac:dyDescent="0.3">
      <c r="A597" s="399"/>
      <c r="B597" s="121"/>
      <c r="C597" s="27" t="s">
        <v>1524</v>
      </c>
      <c r="D597" s="28">
        <v>38669</v>
      </c>
      <c r="E597" s="27">
        <v>3411911</v>
      </c>
      <c r="F597" s="27">
        <f t="shared" ca="1" si="50"/>
        <v>21</v>
      </c>
      <c r="G597" s="27"/>
      <c r="H597" s="27"/>
      <c r="I597" s="26"/>
      <c r="J597" s="1"/>
      <c r="K597" s="1"/>
      <c r="L597" s="8"/>
      <c r="M597" s="8"/>
      <c r="N597" s="8"/>
      <c r="O597" s="8"/>
      <c r="P597" s="104"/>
      <c r="Q597" s="5"/>
      <c r="R597" s="8"/>
    </row>
    <row r="598" spans="1:18" x14ac:dyDescent="0.3">
      <c r="A598" s="438"/>
      <c r="B598" s="121"/>
      <c r="C598" s="27" t="s">
        <v>1522</v>
      </c>
      <c r="D598" s="28">
        <v>37916</v>
      </c>
      <c r="E598" s="27">
        <v>4411911</v>
      </c>
      <c r="F598" s="27">
        <f t="shared" ref="F598" ca="1" si="51">YEAR(TODAY())-YEAR(D598)</f>
        <v>23</v>
      </c>
      <c r="G598" s="27"/>
      <c r="H598" s="27"/>
      <c r="I598" s="26"/>
      <c r="J598" s="1"/>
      <c r="K598" s="1"/>
      <c r="L598" s="8"/>
      <c r="M598" s="8"/>
      <c r="N598" s="8"/>
      <c r="O598" s="8"/>
      <c r="P598" s="104"/>
      <c r="Q598" s="5"/>
      <c r="R598" s="8"/>
    </row>
    <row r="599" spans="1:18" x14ac:dyDescent="0.3">
      <c r="A599" s="211" t="s">
        <v>1531</v>
      </c>
      <c r="B599" s="122">
        <v>45107</v>
      </c>
      <c r="C599" s="18" t="s">
        <v>1532</v>
      </c>
      <c r="D599" s="19">
        <v>28182</v>
      </c>
      <c r="E599" s="18">
        <v>2017416</v>
      </c>
      <c r="F599" s="18">
        <f t="shared" ref="F599:F600" ca="1" si="52">YEAR(TODAY())-YEAR(D599)</f>
        <v>49</v>
      </c>
      <c r="G599" s="18" t="s">
        <v>1533</v>
      </c>
      <c r="H599" s="18"/>
      <c r="I599" s="17" t="s">
        <v>1807</v>
      </c>
      <c r="J599" s="1"/>
      <c r="K599" s="1"/>
      <c r="L599" s="8"/>
      <c r="M599" s="8"/>
      <c r="N599" s="8"/>
      <c r="O599" s="8"/>
      <c r="P599" s="104"/>
      <c r="Q599" s="5"/>
      <c r="R599" s="8"/>
    </row>
    <row r="600" spans="1:18" x14ac:dyDescent="0.3">
      <c r="A600" s="187" t="s">
        <v>1808</v>
      </c>
      <c r="B600" s="118">
        <v>45107</v>
      </c>
      <c r="C600" s="207" t="s">
        <v>1809</v>
      </c>
      <c r="D600" s="208">
        <v>25162</v>
      </c>
      <c r="E600" s="207">
        <v>1388315</v>
      </c>
      <c r="F600" s="207">
        <f t="shared" ca="1" si="52"/>
        <v>58</v>
      </c>
      <c r="G600" s="207" t="s">
        <v>1810</v>
      </c>
      <c r="H600" s="207"/>
      <c r="I600" s="209" t="s">
        <v>1811</v>
      </c>
      <c r="J600" s="1"/>
      <c r="K600" s="1"/>
      <c r="L600" s="8"/>
      <c r="M600" s="8"/>
      <c r="N600" s="8"/>
      <c r="O600" s="8"/>
      <c r="P600" s="104"/>
      <c r="Q600" s="5"/>
      <c r="R600" s="8"/>
    </row>
    <row r="601" spans="1:18" s="185" customFormat="1" x14ac:dyDescent="0.3">
      <c r="A601" s="390" t="s">
        <v>1812</v>
      </c>
      <c r="B601" s="119">
        <v>45107</v>
      </c>
      <c r="C601" s="36" t="s">
        <v>471</v>
      </c>
      <c r="D601" s="37">
        <v>16698</v>
      </c>
      <c r="E601" s="36">
        <v>1057215</v>
      </c>
      <c r="F601" s="36">
        <f t="shared" ref="F601:F602" ca="1" si="53">YEAR(TODAY())-YEAR(D601)</f>
        <v>81</v>
      </c>
      <c r="G601" s="36" t="s">
        <v>3421</v>
      </c>
      <c r="H601" s="36"/>
      <c r="I601" s="35" t="s">
        <v>1813</v>
      </c>
      <c r="J601" s="1"/>
      <c r="K601" s="1"/>
      <c r="L601" s="8"/>
      <c r="M601" s="8"/>
      <c r="N601" s="8"/>
      <c r="O601" s="8"/>
      <c r="P601" s="104"/>
      <c r="Q601" s="5"/>
      <c r="R601" s="8"/>
    </row>
    <row r="602" spans="1:18" s="185" customFormat="1" x14ac:dyDescent="0.3">
      <c r="A602" s="413"/>
      <c r="B602" s="120"/>
      <c r="C602" s="36" t="s">
        <v>472</v>
      </c>
      <c r="D602" s="37">
        <v>17764</v>
      </c>
      <c r="E602" s="36">
        <v>2452913</v>
      </c>
      <c r="F602" s="36">
        <f t="shared" ca="1" si="53"/>
        <v>78</v>
      </c>
      <c r="G602" s="36" t="s">
        <v>1814</v>
      </c>
      <c r="H602" s="36"/>
      <c r="I602" s="35"/>
      <c r="J602" s="1"/>
      <c r="K602" s="1"/>
      <c r="L602" s="8"/>
      <c r="M602" s="8"/>
      <c r="N602" s="8"/>
      <c r="O602" s="8"/>
      <c r="P602" s="104"/>
      <c r="Q602" s="5"/>
      <c r="R602" s="8"/>
    </row>
    <row r="603" spans="1:18" x14ac:dyDescent="0.3">
      <c r="A603" s="404" t="s">
        <v>1133</v>
      </c>
      <c r="B603" s="110">
        <v>44378</v>
      </c>
      <c r="C603" s="33" t="s">
        <v>128</v>
      </c>
      <c r="D603" s="34">
        <v>30156</v>
      </c>
      <c r="E603" s="33">
        <v>2472012</v>
      </c>
      <c r="F603" s="33">
        <f t="shared" ca="1" si="48"/>
        <v>44</v>
      </c>
      <c r="G603" s="33" t="s">
        <v>130</v>
      </c>
      <c r="H603" s="33"/>
      <c r="I603" s="32" t="s">
        <v>1815</v>
      </c>
      <c r="J603" s="1"/>
      <c r="K603" s="1"/>
      <c r="L603" s="8" t="s">
        <v>74</v>
      </c>
      <c r="M603" s="8"/>
      <c r="N603" s="8"/>
      <c r="O603" s="8"/>
      <c r="P603" s="104"/>
      <c r="Q603" s="5"/>
      <c r="R603" s="8" t="s">
        <v>130</v>
      </c>
    </row>
    <row r="604" spans="1:18" x14ac:dyDescent="0.3">
      <c r="A604" s="454"/>
      <c r="B604" s="111"/>
      <c r="C604" s="33" t="s">
        <v>235</v>
      </c>
      <c r="D604" s="33"/>
      <c r="E604" s="33"/>
      <c r="F604" s="33">
        <f t="shared" ca="1" si="48"/>
        <v>126</v>
      </c>
      <c r="G604" s="33"/>
      <c r="H604" s="33"/>
      <c r="I604" s="32"/>
      <c r="J604" s="1"/>
      <c r="K604" s="1"/>
      <c r="L604" s="8"/>
      <c r="M604" s="8"/>
      <c r="N604" s="8"/>
      <c r="O604" s="8"/>
      <c r="P604" s="104"/>
      <c r="Q604" s="5"/>
      <c r="R604" s="8"/>
    </row>
    <row r="605" spans="1:18" x14ac:dyDescent="0.3">
      <c r="A605" s="453"/>
      <c r="B605" s="111"/>
      <c r="C605" s="33" t="s">
        <v>236</v>
      </c>
      <c r="D605" s="33"/>
      <c r="E605" s="33"/>
      <c r="F605" s="33">
        <f t="shared" ca="1" si="48"/>
        <v>126</v>
      </c>
      <c r="G605" s="33"/>
      <c r="H605" s="33"/>
      <c r="I605" s="32"/>
      <c r="J605" s="1"/>
      <c r="K605" s="1"/>
      <c r="L605" s="8"/>
      <c r="M605" s="8"/>
      <c r="N605" s="8"/>
      <c r="O605" s="8"/>
      <c r="P605" s="104"/>
      <c r="Q605" s="5"/>
      <c r="R605" s="8"/>
    </row>
    <row r="606" spans="1:18" x14ac:dyDescent="0.3">
      <c r="A606" s="414" t="s">
        <v>1816</v>
      </c>
      <c r="B606" s="112">
        <v>44379</v>
      </c>
      <c r="C606" s="30" t="s">
        <v>237</v>
      </c>
      <c r="D606" s="31">
        <v>29270</v>
      </c>
      <c r="E606" s="30">
        <v>2140415</v>
      </c>
      <c r="F606" s="30">
        <f ca="1">YEAR(TODAY())-YEAR(D606)</f>
        <v>46</v>
      </c>
      <c r="G606" s="30" t="s">
        <v>1817</v>
      </c>
      <c r="H606" s="30"/>
      <c r="I606" s="29" t="s">
        <v>1818</v>
      </c>
      <c r="J606" s="1"/>
      <c r="K606" s="1"/>
      <c r="L606" s="8"/>
      <c r="M606" s="8"/>
      <c r="N606" s="8"/>
      <c r="O606" s="8"/>
      <c r="P606" s="104"/>
      <c r="Q606" s="5"/>
      <c r="R606" s="8"/>
    </row>
    <row r="607" spans="1:18" x14ac:dyDescent="0.3">
      <c r="A607" s="414"/>
      <c r="B607" s="113"/>
      <c r="C607" s="30" t="s">
        <v>239</v>
      </c>
      <c r="D607" s="31">
        <v>40282</v>
      </c>
      <c r="E607" s="30">
        <v>3475927</v>
      </c>
      <c r="F607" s="30">
        <f ca="1">YEAR(TODAY())-YEAR(D607)</f>
        <v>16</v>
      </c>
      <c r="G607" s="30"/>
      <c r="H607" s="30">
        <v>17</v>
      </c>
      <c r="I607" s="29"/>
      <c r="J607" s="1"/>
      <c r="K607" s="1"/>
      <c r="L607" s="8"/>
      <c r="M607" s="8"/>
      <c r="N607" s="8"/>
      <c r="O607" s="8"/>
      <c r="P607" s="104"/>
      <c r="Q607" s="5"/>
      <c r="R607" s="8"/>
    </row>
    <row r="608" spans="1:18" x14ac:dyDescent="0.3">
      <c r="A608" s="414"/>
      <c r="B608" s="113"/>
      <c r="C608" s="30" t="s">
        <v>240</v>
      </c>
      <c r="D608" s="31">
        <v>43532</v>
      </c>
      <c r="E608" s="30">
        <v>3411711</v>
      </c>
      <c r="F608" s="30">
        <f ca="1">YEAR(TODAY())-YEAR(D608)</f>
        <v>7</v>
      </c>
      <c r="G608" s="30"/>
      <c r="H608" s="30"/>
      <c r="I608" s="29"/>
      <c r="J608" s="1"/>
      <c r="K608" s="1"/>
      <c r="L608" s="8"/>
      <c r="M608" s="8"/>
      <c r="N608" s="8"/>
      <c r="O608" s="8"/>
      <c r="P608" s="104"/>
      <c r="Q608" s="5"/>
      <c r="R608" s="8"/>
    </row>
    <row r="609" spans="1:18" x14ac:dyDescent="0.3">
      <c r="A609" s="235" t="s">
        <v>1697</v>
      </c>
      <c r="B609" s="110">
        <v>45109</v>
      </c>
      <c r="C609" s="33" t="s">
        <v>680</v>
      </c>
      <c r="D609" s="34">
        <v>19952</v>
      </c>
      <c r="E609" s="33">
        <v>1640124</v>
      </c>
      <c r="F609" s="33">
        <f t="shared" ref="F609" ca="1" si="54">YEAR(TODAY())-YEAR(D609)</f>
        <v>72</v>
      </c>
      <c r="G609" s="33"/>
      <c r="H609" s="33"/>
      <c r="I609" s="32" t="s">
        <v>1819</v>
      </c>
      <c r="J609" s="1"/>
      <c r="K609" s="1"/>
      <c r="L609" s="8"/>
      <c r="M609" s="8"/>
      <c r="N609" s="8"/>
      <c r="O609" s="8"/>
      <c r="P609" s="104"/>
      <c r="Q609" s="5"/>
      <c r="R609" s="8"/>
    </row>
    <row r="610" spans="1:18" x14ac:dyDescent="0.3">
      <c r="A610" s="378" t="s">
        <v>1820</v>
      </c>
      <c r="B610" s="109" t="s">
        <v>1821</v>
      </c>
      <c r="C610" s="1" t="s">
        <v>1822</v>
      </c>
      <c r="D610" s="2">
        <v>28396</v>
      </c>
      <c r="E610" s="1">
        <v>1036910</v>
      </c>
      <c r="F610" s="1">
        <f ca="1">YEAR(TODAY())-YEAR(D610)</f>
        <v>49</v>
      </c>
      <c r="G610" s="1" t="s">
        <v>1823</v>
      </c>
      <c r="H610" s="1"/>
      <c r="I610" s="8" t="s">
        <v>232</v>
      </c>
      <c r="J610" s="1"/>
      <c r="K610" s="1"/>
      <c r="L610" s="148" t="s">
        <v>1824</v>
      </c>
      <c r="M610" s="8"/>
      <c r="N610" s="8"/>
      <c r="O610" s="8"/>
      <c r="P610" s="9"/>
      <c r="Q610" s="3"/>
      <c r="R610" s="8"/>
    </row>
    <row r="611" spans="1:18" x14ac:dyDescent="0.3">
      <c r="A611" s="384"/>
      <c r="B611" s="109"/>
      <c r="C611" s="1" t="s">
        <v>1825</v>
      </c>
      <c r="D611" s="2">
        <v>29221</v>
      </c>
      <c r="E611" s="1">
        <v>2335119</v>
      </c>
      <c r="F611" s="1">
        <f ca="1">YEAR(TODAY())-YEAR(D611)</f>
        <v>46</v>
      </c>
      <c r="G611" s="1" t="s">
        <v>1826</v>
      </c>
      <c r="H611" s="1"/>
      <c r="I611" s="8"/>
      <c r="J611" s="1"/>
      <c r="K611" s="1"/>
      <c r="L611" s="148" t="s">
        <v>1824</v>
      </c>
      <c r="M611" s="8"/>
      <c r="N611" s="8"/>
      <c r="O611" s="8"/>
      <c r="P611" s="9"/>
      <c r="Q611" s="3"/>
      <c r="R611" s="8"/>
    </row>
    <row r="612" spans="1:18" x14ac:dyDescent="0.3">
      <c r="A612" s="384"/>
      <c r="B612" s="109"/>
      <c r="C612" s="1" t="s">
        <v>1827</v>
      </c>
      <c r="D612" s="2">
        <v>18277</v>
      </c>
      <c r="E612" s="1">
        <v>2335110</v>
      </c>
      <c r="F612" s="1">
        <f t="shared" ref="F612:F615" ca="1" si="55">YEAR(TODAY())-YEAR(D612)</f>
        <v>76</v>
      </c>
      <c r="G612" s="1" t="s">
        <v>1828</v>
      </c>
      <c r="H612" s="1"/>
      <c r="I612" s="8"/>
      <c r="J612" s="1"/>
      <c r="K612" s="1"/>
      <c r="L612" s="148" t="s">
        <v>1829</v>
      </c>
      <c r="M612" s="8"/>
      <c r="N612" s="8"/>
      <c r="O612" s="8"/>
      <c r="P612" s="9"/>
      <c r="Q612" s="3"/>
      <c r="R612" s="8"/>
    </row>
    <row r="613" spans="1:18" x14ac:dyDescent="0.3">
      <c r="A613" s="384"/>
      <c r="B613" s="109"/>
      <c r="C613" s="1" t="s">
        <v>1830</v>
      </c>
      <c r="D613" s="2">
        <v>14988</v>
      </c>
      <c r="E613" s="1">
        <v>1335119</v>
      </c>
      <c r="F613" s="1">
        <f t="shared" ca="1" si="55"/>
        <v>85</v>
      </c>
      <c r="G613" s="1" t="s">
        <v>1831</v>
      </c>
      <c r="H613" s="1"/>
      <c r="I613" s="8"/>
      <c r="J613" s="1"/>
      <c r="K613" s="1"/>
      <c r="L613" s="148"/>
      <c r="M613" s="8"/>
      <c r="N613" s="8"/>
      <c r="O613" s="8"/>
      <c r="P613" s="9"/>
      <c r="Q613" s="3"/>
      <c r="R613" s="8"/>
    </row>
    <row r="614" spans="1:18" x14ac:dyDescent="0.3">
      <c r="A614" s="384"/>
      <c r="B614" s="109"/>
      <c r="C614" s="1" t="s">
        <v>1832</v>
      </c>
      <c r="D614" s="2">
        <v>39976</v>
      </c>
      <c r="E614" s="1">
        <v>4412412</v>
      </c>
      <c r="F614" s="1">
        <f t="shared" ca="1" si="55"/>
        <v>17</v>
      </c>
      <c r="G614" s="1"/>
      <c r="H614" s="1"/>
      <c r="I614" s="8"/>
      <c r="J614" s="1"/>
      <c r="K614" s="1"/>
      <c r="L614" s="148"/>
      <c r="M614" s="8"/>
      <c r="N614" s="8"/>
      <c r="O614" s="8"/>
      <c r="P614" s="9"/>
      <c r="Q614" s="3"/>
      <c r="R614" s="8"/>
    </row>
    <row r="615" spans="1:18" x14ac:dyDescent="0.3">
      <c r="A615" s="379"/>
      <c r="B615" s="109"/>
      <c r="C615" s="1" t="s">
        <v>1833</v>
      </c>
      <c r="D615" s="2">
        <v>40669</v>
      </c>
      <c r="E615" s="1">
        <v>3412420</v>
      </c>
      <c r="F615" s="1">
        <f t="shared" ca="1" si="55"/>
        <v>15</v>
      </c>
      <c r="G615" s="1"/>
      <c r="H615" s="1"/>
      <c r="I615" s="8"/>
      <c r="J615" s="1"/>
      <c r="K615" s="1"/>
      <c r="L615" s="148"/>
      <c r="M615" s="8"/>
      <c r="N615" s="8"/>
      <c r="O615" s="8"/>
      <c r="P615" s="9"/>
      <c r="Q615" s="3"/>
      <c r="R615" s="8"/>
    </row>
    <row r="616" spans="1:18" x14ac:dyDescent="0.3">
      <c r="A616" s="390" t="s">
        <v>1834</v>
      </c>
      <c r="B616" s="119">
        <v>44745</v>
      </c>
      <c r="C616" s="36" t="s">
        <v>241</v>
      </c>
      <c r="D616" s="37">
        <v>24821</v>
      </c>
      <c r="E616" s="36">
        <v>1243337</v>
      </c>
      <c r="F616" s="36">
        <f t="shared" ref="F616:F642" ca="1" si="56">YEAR(TODAY())-YEAR(D616)</f>
        <v>59</v>
      </c>
      <c r="G616" s="36" t="s">
        <v>1835</v>
      </c>
      <c r="H616" s="36"/>
      <c r="I616" s="35" t="s">
        <v>1836</v>
      </c>
      <c r="J616" s="1"/>
      <c r="K616" s="1"/>
      <c r="L616" s="8" t="s">
        <v>1837</v>
      </c>
      <c r="M616" s="8"/>
      <c r="N616" s="8"/>
      <c r="O616" s="8"/>
      <c r="P616" s="104"/>
      <c r="Q616" s="5"/>
      <c r="R616" s="8"/>
    </row>
    <row r="617" spans="1:18" x14ac:dyDescent="0.3">
      <c r="A617" s="412"/>
      <c r="B617" s="120"/>
      <c r="C617" s="36" t="s">
        <v>242</v>
      </c>
      <c r="D617" s="37">
        <v>35325</v>
      </c>
      <c r="E617" s="36">
        <v>1243312</v>
      </c>
      <c r="F617" s="36">
        <f t="shared" ca="1" si="56"/>
        <v>30</v>
      </c>
      <c r="G617" s="36" t="s">
        <v>1838</v>
      </c>
      <c r="H617" s="36"/>
      <c r="I617" s="35"/>
      <c r="J617" s="1"/>
      <c r="K617" s="1"/>
      <c r="L617" s="8"/>
      <c r="M617" s="8"/>
      <c r="N617" s="8"/>
      <c r="O617" s="8"/>
      <c r="P617" s="104"/>
      <c r="Q617" s="5"/>
      <c r="R617" s="8"/>
    </row>
    <row r="618" spans="1:18" x14ac:dyDescent="0.3">
      <c r="A618" s="379"/>
      <c r="B618" s="120"/>
      <c r="C618" s="36" t="s">
        <v>1839</v>
      </c>
      <c r="D618" s="37">
        <v>24609</v>
      </c>
      <c r="E618" s="36">
        <v>6100290</v>
      </c>
      <c r="F618" s="36"/>
      <c r="G618" s="36" t="s">
        <v>1840</v>
      </c>
      <c r="H618" s="36"/>
      <c r="I618" s="35"/>
      <c r="J618" s="1"/>
      <c r="K618" s="1"/>
      <c r="L618" s="8"/>
      <c r="M618" s="8"/>
      <c r="N618" s="8"/>
      <c r="O618" s="8"/>
      <c r="P618" s="104"/>
      <c r="Q618" s="5"/>
      <c r="R618" s="8"/>
    </row>
    <row r="619" spans="1:18" x14ac:dyDescent="0.3">
      <c r="A619" s="455" t="s">
        <v>1841</v>
      </c>
      <c r="B619" s="122">
        <v>45110</v>
      </c>
      <c r="C619" s="18" t="s">
        <v>674</v>
      </c>
      <c r="D619" s="19">
        <v>29167</v>
      </c>
      <c r="E619" s="18">
        <v>1469410</v>
      </c>
      <c r="F619" s="18">
        <f t="shared" ca="1" si="56"/>
        <v>47</v>
      </c>
      <c r="G619" s="18" t="s">
        <v>1842</v>
      </c>
      <c r="H619" s="18"/>
      <c r="I619" s="17" t="s">
        <v>1843</v>
      </c>
      <c r="J619" s="1"/>
      <c r="K619" s="1"/>
      <c r="L619" s="8"/>
      <c r="M619" s="8"/>
      <c r="N619" s="8"/>
      <c r="O619" s="8"/>
      <c r="P619" s="104"/>
      <c r="Q619" s="5"/>
      <c r="R619" s="8"/>
    </row>
    <row r="620" spans="1:18" x14ac:dyDescent="0.3">
      <c r="A620" s="469"/>
      <c r="B620" s="122"/>
      <c r="C620" s="18" t="s">
        <v>459</v>
      </c>
      <c r="D620" s="19">
        <v>28392</v>
      </c>
      <c r="E620" s="18">
        <v>2543112</v>
      </c>
      <c r="F620" s="18">
        <f t="shared" ca="1" si="56"/>
        <v>49</v>
      </c>
      <c r="G620" s="18" t="s">
        <v>1844</v>
      </c>
      <c r="H620" s="18"/>
      <c r="I620" s="17"/>
      <c r="J620" s="1"/>
      <c r="K620" s="1"/>
      <c r="L620" s="8"/>
      <c r="M620" s="8"/>
      <c r="N620" s="8"/>
      <c r="O620" s="8"/>
      <c r="P620" s="104"/>
      <c r="Q620" s="5"/>
      <c r="R620" s="8"/>
    </row>
    <row r="621" spans="1:18" x14ac:dyDescent="0.3">
      <c r="A621" s="470"/>
      <c r="B621" s="123"/>
      <c r="C621" s="18" t="s">
        <v>673</v>
      </c>
      <c r="D621" s="19">
        <v>43587</v>
      </c>
      <c r="E621" s="18">
        <v>4476216</v>
      </c>
      <c r="F621" s="18">
        <f t="shared" ca="1" si="56"/>
        <v>7</v>
      </c>
      <c r="G621" s="18"/>
      <c r="H621" s="18"/>
      <c r="I621" s="17"/>
      <c r="J621" s="1"/>
      <c r="K621" s="1"/>
      <c r="L621" s="8"/>
      <c r="M621" s="8"/>
      <c r="N621" s="8"/>
      <c r="O621" s="8"/>
      <c r="P621" s="104"/>
      <c r="Q621" s="5"/>
      <c r="R621" s="8"/>
    </row>
    <row r="622" spans="1:18" x14ac:dyDescent="0.3">
      <c r="A622" s="408" t="s">
        <v>1845</v>
      </c>
      <c r="B622" s="112">
        <v>45113</v>
      </c>
      <c r="C622" s="30" t="s">
        <v>670</v>
      </c>
      <c r="D622" s="31">
        <v>25455</v>
      </c>
      <c r="E622" s="30">
        <v>2475916</v>
      </c>
      <c r="F622" s="30">
        <f t="shared" ca="1" si="56"/>
        <v>57</v>
      </c>
      <c r="G622" s="30" t="s">
        <v>1846</v>
      </c>
      <c r="H622" s="30"/>
      <c r="I622" s="29" t="s">
        <v>1847</v>
      </c>
      <c r="J622" s="1"/>
      <c r="K622" s="1"/>
      <c r="L622" s="8"/>
      <c r="M622" s="8"/>
      <c r="N622" s="8"/>
      <c r="O622" s="8"/>
      <c r="P622" s="104"/>
      <c r="Q622" s="5"/>
      <c r="R622" s="8"/>
    </row>
    <row r="623" spans="1:18" x14ac:dyDescent="0.3">
      <c r="A623" s="426"/>
      <c r="B623" s="113"/>
      <c r="C623" s="30" t="s">
        <v>671</v>
      </c>
      <c r="D623" s="31">
        <v>34558</v>
      </c>
      <c r="E623" s="30">
        <v>2478910</v>
      </c>
      <c r="F623" s="30">
        <f t="shared" ca="1" si="56"/>
        <v>32</v>
      </c>
      <c r="G623" s="30" t="s">
        <v>1848</v>
      </c>
      <c r="H623" s="30"/>
      <c r="I623" s="29"/>
      <c r="J623" s="1"/>
      <c r="K623" s="1"/>
      <c r="L623" s="8"/>
      <c r="M623" s="8"/>
      <c r="N623" s="8"/>
      <c r="O623" s="8"/>
      <c r="P623" s="104"/>
      <c r="Q623" s="5"/>
      <c r="R623" s="8"/>
    </row>
    <row r="624" spans="1:18" x14ac:dyDescent="0.3">
      <c r="A624" s="427"/>
      <c r="B624" s="112"/>
      <c r="C624" s="30" t="s">
        <v>672</v>
      </c>
      <c r="D624" s="31">
        <v>35331</v>
      </c>
      <c r="E624" s="30">
        <v>1478915</v>
      </c>
      <c r="F624" s="30">
        <f t="shared" ca="1" si="56"/>
        <v>30</v>
      </c>
      <c r="G624" s="30" t="s">
        <v>1849</v>
      </c>
      <c r="H624" s="30"/>
      <c r="I624" s="29"/>
      <c r="J624" s="1"/>
      <c r="K624" s="1"/>
      <c r="L624" s="8"/>
      <c r="M624" s="8"/>
      <c r="N624" s="8"/>
      <c r="O624" s="8"/>
      <c r="P624" s="104"/>
      <c r="Q624" s="5"/>
      <c r="R624" s="8"/>
    </row>
    <row r="625" spans="1:18" x14ac:dyDescent="0.3">
      <c r="A625" s="381" t="s">
        <v>1850</v>
      </c>
      <c r="B625" s="115">
        <v>44749</v>
      </c>
      <c r="C625" s="1" t="s">
        <v>245</v>
      </c>
      <c r="D625" s="2">
        <v>26072</v>
      </c>
      <c r="E625" s="1">
        <v>1023711</v>
      </c>
      <c r="F625" s="1">
        <f t="shared" ref="F625:F636" ca="1" si="57">YEAR(TODAY())-YEAR(D625)</f>
        <v>55</v>
      </c>
      <c r="G625" s="1" t="s">
        <v>1851</v>
      </c>
      <c r="H625" s="1"/>
      <c r="I625" s="8" t="s">
        <v>1852</v>
      </c>
      <c r="J625" s="1"/>
      <c r="K625" s="1"/>
      <c r="L625" s="8"/>
      <c r="M625" s="8"/>
      <c r="N625" s="8"/>
      <c r="O625" s="8"/>
      <c r="P625" s="104"/>
      <c r="Q625" s="5"/>
      <c r="R625" s="8"/>
    </row>
    <row r="626" spans="1:18" x14ac:dyDescent="0.3">
      <c r="A626" s="387"/>
      <c r="B626" s="109"/>
      <c r="C626" s="1" t="s">
        <v>246</v>
      </c>
      <c r="D626" s="2">
        <v>28203</v>
      </c>
      <c r="E626" s="1">
        <v>2631711</v>
      </c>
      <c r="F626" s="1">
        <f t="shared" ca="1" si="57"/>
        <v>49</v>
      </c>
      <c r="G626" s="1" t="s">
        <v>1853</v>
      </c>
      <c r="H626" s="1"/>
      <c r="I626" s="8"/>
      <c r="J626" s="1"/>
      <c r="K626" s="1"/>
      <c r="L626" s="8"/>
      <c r="M626" s="8"/>
      <c r="N626" s="8"/>
      <c r="O626" s="8"/>
      <c r="P626" s="104"/>
      <c r="Q626" s="5"/>
      <c r="R626" s="8"/>
    </row>
    <row r="627" spans="1:18" x14ac:dyDescent="0.3">
      <c r="A627" s="387"/>
      <c r="B627" s="109"/>
      <c r="C627" s="1" t="s">
        <v>247</v>
      </c>
      <c r="D627" s="2">
        <v>35696</v>
      </c>
      <c r="E627" s="1">
        <v>1033211</v>
      </c>
      <c r="F627" s="1">
        <f t="shared" ca="1" si="57"/>
        <v>29</v>
      </c>
      <c r="G627" s="1" t="s">
        <v>1854</v>
      </c>
      <c r="H627" s="1"/>
      <c r="I627" s="8"/>
      <c r="J627" s="1"/>
      <c r="K627" s="1"/>
      <c r="L627" s="8"/>
      <c r="M627" s="8"/>
      <c r="N627" s="8"/>
      <c r="O627" s="8"/>
      <c r="P627" s="104"/>
      <c r="Q627" s="5"/>
      <c r="R627" s="8"/>
    </row>
    <row r="628" spans="1:18" x14ac:dyDescent="0.3">
      <c r="A628" s="387"/>
      <c r="B628" s="109"/>
      <c r="C628" s="1" t="s">
        <v>248</v>
      </c>
      <c r="D628" s="2">
        <v>36583</v>
      </c>
      <c r="E628" s="1">
        <v>4411725</v>
      </c>
      <c r="F628" s="1">
        <f t="shared" ca="1" si="57"/>
        <v>26</v>
      </c>
      <c r="G628" s="1" t="s">
        <v>1855</v>
      </c>
      <c r="H628" s="1"/>
      <c r="I628" s="8"/>
      <c r="J628" s="1"/>
      <c r="K628" s="1"/>
      <c r="L628" s="8"/>
      <c r="M628" s="8"/>
      <c r="N628" s="8"/>
      <c r="O628" s="8"/>
      <c r="P628" s="104"/>
      <c r="Q628" s="5"/>
      <c r="R628" s="8"/>
    </row>
    <row r="629" spans="1:18" x14ac:dyDescent="0.3">
      <c r="A629" s="387"/>
      <c r="B629" s="109"/>
      <c r="C629" s="1" t="s">
        <v>249</v>
      </c>
      <c r="D629" s="2">
        <v>37227</v>
      </c>
      <c r="E629" s="1">
        <v>4411721</v>
      </c>
      <c r="F629" s="1">
        <f t="shared" ca="1" si="57"/>
        <v>25</v>
      </c>
      <c r="G629" s="1" t="s">
        <v>1856</v>
      </c>
      <c r="H629" s="1"/>
      <c r="I629" s="8"/>
      <c r="J629" s="1"/>
      <c r="K629" s="1"/>
      <c r="L629" s="8"/>
      <c r="M629" s="8"/>
      <c r="N629" s="8"/>
      <c r="O629" s="8"/>
      <c r="P629" s="104"/>
      <c r="Q629" s="5"/>
      <c r="R629" s="8"/>
    </row>
    <row r="630" spans="1:18" x14ac:dyDescent="0.3">
      <c r="A630" s="387"/>
      <c r="B630" s="109"/>
      <c r="C630" s="1" t="s">
        <v>250</v>
      </c>
      <c r="D630" s="2">
        <v>39792</v>
      </c>
      <c r="E630" s="1">
        <v>3412020</v>
      </c>
      <c r="F630" s="1">
        <f t="shared" ca="1" si="57"/>
        <v>18</v>
      </c>
      <c r="G630" s="1"/>
      <c r="H630" s="1"/>
      <c r="I630" s="8"/>
      <c r="J630" s="1"/>
      <c r="K630" s="1"/>
      <c r="L630" s="8"/>
      <c r="M630" s="8"/>
      <c r="N630" s="8"/>
      <c r="O630" s="8"/>
      <c r="P630" s="104"/>
      <c r="Q630" s="5"/>
      <c r="R630" s="8"/>
    </row>
    <row r="631" spans="1:18" x14ac:dyDescent="0.3">
      <c r="A631" s="434"/>
      <c r="B631" s="109"/>
      <c r="C631" s="1" t="s">
        <v>721</v>
      </c>
      <c r="D631" s="2">
        <v>18757</v>
      </c>
      <c r="E631" s="1">
        <v>2575722</v>
      </c>
      <c r="F631" s="1">
        <f t="shared" ca="1" si="57"/>
        <v>75</v>
      </c>
      <c r="G631" s="1" t="s">
        <v>1857</v>
      </c>
      <c r="H631" s="1"/>
      <c r="I631" s="8"/>
      <c r="J631" s="1"/>
      <c r="K631" s="1"/>
      <c r="L631" s="8"/>
      <c r="M631" s="8"/>
      <c r="N631" s="8"/>
      <c r="O631" s="8"/>
      <c r="P631" s="104"/>
      <c r="Q631" s="5"/>
      <c r="R631" s="8"/>
    </row>
    <row r="632" spans="1:18" s="193" customFormat="1" x14ac:dyDescent="0.3">
      <c r="A632" s="190" t="s">
        <v>1858</v>
      </c>
      <c r="B632" s="110">
        <v>45114</v>
      </c>
      <c r="C632" s="33" t="s">
        <v>629</v>
      </c>
      <c r="D632" s="34">
        <v>23829</v>
      </c>
      <c r="E632" s="33">
        <v>1905924</v>
      </c>
      <c r="F632" s="33">
        <f t="shared" ca="1" si="57"/>
        <v>61</v>
      </c>
      <c r="G632" s="33" t="s">
        <v>1859</v>
      </c>
      <c r="H632" s="33"/>
      <c r="I632" s="32" t="s">
        <v>1860</v>
      </c>
      <c r="J632" s="1"/>
      <c r="K632" s="1"/>
      <c r="L632" s="8"/>
      <c r="M632" s="8"/>
      <c r="N632" s="8"/>
      <c r="O632" s="8"/>
      <c r="P632" s="104"/>
      <c r="Q632" s="5"/>
      <c r="R632" s="8"/>
    </row>
    <row r="633" spans="1:18" s="204" customFormat="1" x14ac:dyDescent="0.3">
      <c r="A633" s="398" t="s">
        <v>1861</v>
      </c>
      <c r="B633" s="117">
        <v>45115</v>
      </c>
      <c r="C633" s="27" t="s">
        <v>1862</v>
      </c>
      <c r="D633" s="28">
        <v>22592</v>
      </c>
      <c r="E633" s="27">
        <v>1388417</v>
      </c>
      <c r="F633" s="27">
        <f t="shared" ca="1" si="57"/>
        <v>65</v>
      </c>
      <c r="G633" s="27" t="s">
        <v>1863</v>
      </c>
      <c r="H633" s="27"/>
      <c r="I633" s="26" t="s">
        <v>1864</v>
      </c>
      <c r="J633" s="1"/>
      <c r="K633" s="1"/>
      <c r="L633" s="8"/>
      <c r="M633" s="8"/>
      <c r="N633" s="8"/>
      <c r="O633" s="8"/>
      <c r="P633" s="104"/>
      <c r="Q633" s="5"/>
      <c r="R633" s="8"/>
    </row>
    <row r="634" spans="1:18" s="204" customFormat="1" x14ac:dyDescent="0.3">
      <c r="A634" s="438"/>
      <c r="B634" s="121"/>
      <c r="C634" s="27" t="s">
        <v>1865</v>
      </c>
      <c r="D634" s="28">
        <v>24431</v>
      </c>
      <c r="E634" s="27">
        <v>2380913</v>
      </c>
      <c r="F634" s="27">
        <f t="shared" ca="1" si="57"/>
        <v>60</v>
      </c>
      <c r="G634" s="27" t="s">
        <v>1866</v>
      </c>
      <c r="H634" s="27"/>
      <c r="I634" s="26"/>
      <c r="J634" s="1"/>
      <c r="K634" s="1"/>
      <c r="L634" s="8"/>
      <c r="M634" s="8"/>
      <c r="N634" s="8"/>
      <c r="O634" s="8"/>
      <c r="P634" s="104"/>
      <c r="Q634" s="5"/>
      <c r="R634" s="8"/>
    </row>
    <row r="635" spans="1:18" s="189" customFormat="1" x14ac:dyDescent="0.3">
      <c r="A635" s="414" t="s">
        <v>1867</v>
      </c>
      <c r="B635" s="112">
        <v>44750</v>
      </c>
      <c r="C635" s="30" t="s">
        <v>243</v>
      </c>
      <c r="D635" s="31">
        <v>20096</v>
      </c>
      <c r="E635" s="30">
        <v>1411714</v>
      </c>
      <c r="F635" s="30">
        <f t="shared" ca="1" si="57"/>
        <v>71</v>
      </c>
      <c r="G635" s="30" t="s">
        <v>1868</v>
      </c>
      <c r="H635" s="30"/>
      <c r="I635" s="29" t="s">
        <v>1869</v>
      </c>
      <c r="J635" s="1"/>
      <c r="K635" s="1"/>
      <c r="L635" s="8"/>
      <c r="M635" s="8"/>
      <c r="N635" s="8"/>
      <c r="O635" s="8"/>
      <c r="P635" s="104"/>
      <c r="Q635" s="5"/>
      <c r="R635" s="8"/>
    </row>
    <row r="636" spans="1:18" s="189" customFormat="1" x14ac:dyDescent="0.3">
      <c r="A636" s="414"/>
      <c r="B636" s="113"/>
      <c r="C636" s="31" t="s">
        <v>244</v>
      </c>
      <c r="D636" s="31">
        <v>22174</v>
      </c>
      <c r="E636" s="30">
        <v>2403118</v>
      </c>
      <c r="F636" s="30">
        <f t="shared" ca="1" si="57"/>
        <v>66</v>
      </c>
      <c r="G636" s="30" t="s">
        <v>1870</v>
      </c>
      <c r="H636" s="30"/>
      <c r="I636" s="29"/>
      <c r="J636" s="1"/>
      <c r="K636" s="1"/>
      <c r="L636" s="8"/>
      <c r="M636" s="8"/>
      <c r="N636" s="8"/>
      <c r="O636" s="8"/>
      <c r="P636" s="104"/>
      <c r="Q636" s="5"/>
      <c r="R636" s="8"/>
    </row>
    <row r="637" spans="1:18" x14ac:dyDescent="0.3">
      <c r="A637" s="394" t="s">
        <v>1871</v>
      </c>
      <c r="B637" s="119">
        <v>44751</v>
      </c>
      <c r="C637" s="36" t="s">
        <v>251</v>
      </c>
      <c r="D637" s="37">
        <v>27676</v>
      </c>
      <c r="E637" s="36">
        <v>1119839</v>
      </c>
      <c r="F637" s="36">
        <f t="shared" ca="1" si="56"/>
        <v>51</v>
      </c>
      <c r="G637" s="36" t="s">
        <v>1872</v>
      </c>
      <c r="H637" s="36"/>
      <c r="I637" s="35" t="s">
        <v>1873</v>
      </c>
      <c r="J637" s="36"/>
      <c r="K637" s="36"/>
      <c r="L637" s="8"/>
      <c r="M637" s="8"/>
      <c r="N637" s="8"/>
      <c r="O637" s="8"/>
      <c r="P637" s="104"/>
      <c r="Q637" s="5"/>
      <c r="R637" s="8"/>
    </row>
    <row r="638" spans="1:18" x14ac:dyDescent="0.3">
      <c r="A638" s="394"/>
      <c r="B638" s="119"/>
      <c r="C638" s="36" t="s">
        <v>252</v>
      </c>
      <c r="D638" s="37">
        <v>28318</v>
      </c>
      <c r="E638" s="36">
        <v>2464517</v>
      </c>
      <c r="F638" s="36">
        <f t="shared" ca="1" si="56"/>
        <v>49</v>
      </c>
      <c r="G638" s="36" t="s">
        <v>1874</v>
      </c>
      <c r="H638" s="36"/>
      <c r="I638" s="35"/>
      <c r="J638" s="36" t="s">
        <v>1875</v>
      </c>
      <c r="K638" s="36"/>
      <c r="L638" s="8"/>
      <c r="M638" s="8"/>
      <c r="N638" s="8"/>
      <c r="O638" s="8"/>
      <c r="P638" s="104"/>
      <c r="Q638" s="5"/>
      <c r="R638" s="8"/>
    </row>
    <row r="639" spans="1:18" x14ac:dyDescent="0.3">
      <c r="A639" s="401"/>
      <c r="B639" s="120"/>
      <c r="C639" s="36" t="s">
        <v>253</v>
      </c>
      <c r="D639" s="37">
        <v>39893</v>
      </c>
      <c r="E639" s="36">
        <v>4096115</v>
      </c>
      <c r="F639" s="36">
        <f t="shared" ca="1" si="56"/>
        <v>17</v>
      </c>
      <c r="G639" s="36"/>
      <c r="H639" s="36"/>
      <c r="I639" s="35"/>
      <c r="J639" s="36"/>
      <c r="K639" s="36"/>
      <c r="L639" s="8"/>
      <c r="M639" s="8"/>
      <c r="N639" s="8"/>
      <c r="O639" s="8"/>
      <c r="P639" s="104"/>
      <c r="Q639" s="5"/>
      <c r="R639" s="8"/>
    </row>
    <row r="640" spans="1:18" x14ac:dyDescent="0.3">
      <c r="A640" s="401"/>
      <c r="B640" s="120"/>
      <c r="C640" s="36" t="s">
        <v>254</v>
      </c>
      <c r="D640" s="37">
        <v>40448</v>
      </c>
      <c r="E640" s="36">
        <v>4096128</v>
      </c>
      <c r="F640" s="36">
        <f t="shared" ca="1" si="56"/>
        <v>16</v>
      </c>
      <c r="G640" s="36"/>
      <c r="H640" s="36"/>
      <c r="I640" s="35"/>
      <c r="J640" s="36"/>
      <c r="K640" s="36"/>
      <c r="L640" s="8"/>
      <c r="M640" s="8"/>
      <c r="N640" s="8"/>
      <c r="O640" s="8"/>
      <c r="P640" s="104"/>
      <c r="Q640" s="5"/>
      <c r="R640" s="8"/>
    </row>
    <row r="641" spans="1:18" x14ac:dyDescent="0.3">
      <c r="A641" s="401"/>
      <c r="B641" s="120"/>
      <c r="C641" s="36" t="s">
        <v>255</v>
      </c>
      <c r="D641" s="37">
        <v>42067</v>
      </c>
      <c r="E641" s="36">
        <v>3109615</v>
      </c>
      <c r="F641" s="36">
        <f t="shared" ca="1" si="56"/>
        <v>11</v>
      </c>
      <c r="G641" s="36"/>
      <c r="H641" s="36"/>
      <c r="I641" s="35"/>
      <c r="J641" s="36"/>
      <c r="K641" s="36"/>
      <c r="L641" s="8"/>
      <c r="M641" s="8"/>
      <c r="N641" s="8"/>
      <c r="O641" s="8"/>
      <c r="P641" s="104"/>
      <c r="Q641" s="5"/>
      <c r="R641" s="8"/>
    </row>
    <row r="642" spans="1:18" x14ac:dyDescent="0.3">
      <c r="A642" s="213" t="s">
        <v>1189</v>
      </c>
      <c r="B642" s="122">
        <v>45116</v>
      </c>
      <c r="C642" s="18" t="s">
        <v>1598</v>
      </c>
      <c r="D642" s="19">
        <v>29014</v>
      </c>
      <c r="E642" s="18">
        <v>2227519</v>
      </c>
      <c r="F642" s="18">
        <f t="shared" ca="1" si="56"/>
        <v>47</v>
      </c>
      <c r="G642" s="18" t="s">
        <v>1599</v>
      </c>
      <c r="H642" s="18"/>
      <c r="I642" s="17" t="s">
        <v>1876</v>
      </c>
      <c r="J642" s="1"/>
      <c r="K642" s="1"/>
      <c r="L642" s="8"/>
      <c r="M642" s="8"/>
      <c r="N642" s="8"/>
      <c r="O642" s="8"/>
      <c r="P642" s="104"/>
      <c r="Q642" s="5"/>
      <c r="R642" s="8"/>
    </row>
    <row r="643" spans="1:18" s="204" customFormat="1" x14ac:dyDescent="0.3">
      <c r="A643" s="236" t="s">
        <v>1031</v>
      </c>
      <c r="B643" s="110">
        <v>45484</v>
      </c>
      <c r="C643" s="33" t="s">
        <v>1032</v>
      </c>
      <c r="D643" s="34">
        <v>28079</v>
      </c>
      <c r="E643" s="33">
        <v>1475912</v>
      </c>
      <c r="F643" s="33">
        <f ca="1">YEAR(TODAY())-YEAR(D643)</f>
        <v>50</v>
      </c>
      <c r="G643" s="33"/>
      <c r="H643" s="33"/>
      <c r="I643" s="32" t="s">
        <v>1877</v>
      </c>
      <c r="J643" s="33"/>
      <c r="K643" s="33"/>
      <c r="L643" s="8"/>
      <c r="M643" s="8"/>
      <c r="N643" s="8"/>
      <c r="O643" s="8"/>
      <c r="P643" s="104"/>
      <c r="Q643" s="5"/>
      <c r="R643" s="8"/>
    </row>
    <row r="644" spans="1:18" x14ac:dyDescent="0.3">
      <c r="A644" s="420" t="s">
        <v>1878</v>
      </c>
      <c r="B644" s="117">
        <v>44388</v>
      </c>
      <c r="C644" s="27" t="s">
        <v>256</v>
      </c>
      <c r="D644" s="28">
        <v>26353</v>
      </c>
      <c r="E644" s="27">
        <v>1804916</v>
      </c>
      <c r="F644" s="27">
        <f ca="1">YEAR(TODAY())-YEAR(D644)</f>
        <v>54</v>
      </c>
      <c r="G644" s="27" t="s">
        <v>1879</v>
      </c>
      <c r="H644" s="27"/>
      <c r="I644" s="26" t="s">
        <v>1880</v>
      </c>
      <c r="J644" s="1"/>
      <c r="K644" s="1"/>
      <c r="L644" s="8"/>
      <c r="M644" s="8"/>
      <c r="N644" s="8"/>
      <c r="O644" s="8"/>
      <c r="P644" s="104"/>
      <c r="Q644" s="5"/>
      <c r="R644" s="8"/>
    </row>
    <row r="645" spans="1:18" x14ac:dyDescent="0.3">
      <c r="A645" s="421"/>
      <c r="B645" s="121"/>
      <c r="C645" s="27" t="s">
        <v>257</v>
      </c>
      <c r="D645" s="28">
        <v>28075</v>
      </c>
      <c r="E645" s="27">
        <v>2042917</v>
      </c>
      <c r="F645" s="27">
        <f ca="1">YEAR(TODAY())-YEAR(D645)</f>
        <v>50</v>
      </c>
      <c r="G645" s="27" t="s">
        <v>1881</v>
      </c>
      <c r="H645" s="27"/>
      <c r="I645" s="26"/>
      <c r="J645" s="1"/>
      <c r="K645" s="1"/>
      <c r="L645" s="8"/>
      <c r="M645" s="8"/>
      <c r="N645" s="8"/>
      <c r="O645" s="8"/>
      <c r="P645" s="104"/>
      <c r="Q645" s="5"/>
      <c r="R645" s="8"/>
    </row>
    <row r="646" spans="1:18" x14ac:dyDescent="0.3">
      <c r="A646" s="421"/>
      <c r="B646" s="121"/>
      <c r="C646" s="27" t="s">
        <v>258</v>
      </c>
      <c r="D646" s="28">
        <v>39828</v>
      </c>
      <c r="E646" s="27">
        <v>4401314</v>
      </c>
      <c r="F646" s="27">
        <f ca="1">YEAR(TODAY())-YEAR(D646)</f>
        <v>17</v>
      </c>
      <c r="G646" s="27"/>
      <c r="H646" s="27"/>
      <c r="I646" s="26"/>
      <c r="J646" s="1"/>
      <c r="K646" s="1"/>
      <c r="L646" s="8"/>
      <c r="M646" s="8"/>
      <c r="N646" s="8"/>
      <c r="O646" s="8"/>
      <c r="P646" s="104"/>
      <c r="Q646" s="5"/>
      <c r="R646" s="8"/>
    </row>
    <row r="647" spans="1:18" x14ac:dyDescent="0.3">
      <c r="A647" s="421"/>
      <c r="B647" s="121"/>
      <c r="C647" s="27" t="s">
        <v>259</v>
      </c>
      <c r="D647" s="28">
        <v>17397</v>
      </c>
      <c r="E647" s="27">
        <v>1002516</v>
      </c>
      <c r="F647" s="27">
        <f ca="1">YEAR(TODAY())-YEAR(D647)</f>
        <v>79</v>
      </c>
      <c r="G647" s="27" t="s">
        <v>1882</v>
      </c>
      <c r="H647" s="27"/>
      <c r="I647" s="26"/>
      <c r="J647" s="1"/>
      <c r="K647" s="1"/>
      <c r="L647" s="8"/>
      <c r="M647" s="8"/>
      <c r="N647" s="8"/>
      <c r="O647" s="8"/>
      <c r="P647" s="104"/>
      <c r="Q647" s="5"/>
      <c r="R647" s="8"/>
    </row>
    <row r="648" spans="1:18" x14ac:dyDescent="0.3">
      <c r="A648" s="414" t="s">
        <v>1883</v>
      </c>
      <c r="B648" s="112">
        <v>45119</v>
      </c>
      <c r="C648" s="30" t="s">
        <v>22</v>
      </c>
      <c r="D648" s="31">
        <v>20890</v>
      </c>
      <c r="E648" s="30">
        <v>1472014</v>
      </c>
      <c r="F648" s="30">
        <f t="shared" ref="F648:F655" ca="1" si="58">YEAR(TODAY())-YEAR(D648)</f>
        <v>69</v>
      </c>
      <c r="G648" s="30" t="s">
        <v>1884</v>
      </c>
      <c r="H648" s="30"/>
      <c r="I648" s="29" t="s">
        <v>1885</v>
      </c>
      <c r="J648" s="1"/>
      <c r="K648" s="1"/>
      <c r="L648" s="8"/>
      <c r="M648" s="8"/>
      <c r="N648" s="8"/>
      <c r="O648" s="8"/>
      <c r="P648" s="104"/>
      <c r="Q648" s="5"/>
      <c r="R648" s="8"/>
    </row>
    <row r="649" spans="1:18" x14ac:dyDescent="0.3">
      <c r="A649" s="415"/>
      <c r="B649" s="113"/>
      <c r="C649" s="30" t="s">
        <v>24</v>
      </c>
      <c r="D649" s="31">
        <v>20477</v>
      </c>
      <c r="E649" s="30">
        <v>2478410</v>
      </c>
      <c r="F649" s="30">
        <f t="shared" ca="1" si="58"/>
        <v>70</v>
      </c>
      <c r="G649" s="30" t="s">
        <v>1886</v>
      </c>
      <c r="H649" s="30"/>
      <c r="I649" s="29"/>
      <c r="J649" s="1"/>
      <c r="K649" s="1"/>
      <c r="L649" s="8"/>
      <c r="M649" s="8"/>
      <c r="N649" s="8"/>
      <c r="O649" s="8"/>
      <c r="P649" s="104"/>
      <c r="Q649" s="5"/>
      <c r="R649" s="8"/>
    </row>
    <row r="650" spans="1:18" x14ac:dyDescent="0.3">
      <c r="A650" s="415"/>
      <c r="B650" s="113"/>
      <c r="C650" s="30" t="s">
        <v>25</v>
      </c>
      <c r="D650" s="31">
        <v>11921</v>
      </c>
      <c r="E650" s="30">
        <v>1472010</v>
      </c>
      <c r="F650" s="30">
        <f t="shared" ca="1" si="58"/>
        <v>94</v>
      </c>
      <c r="G650" s="30" t="s">
        <v>1887</v>
      </c>
      <c r="H650" s="30"/>
      <c r="I650" s="29"/>
      <c r="J650" s="1"/>
      <c r="K650" s="1"/>
      <c r="L650" s="8"/>
      <c r="M650" s="8"/>
      <c r="N650" s="8"/>
      <c r="O650" s="8"/>
      <c r="P650" s="104"/>
      <c r="Q650" s="5"/>
      <c r="R650" s="8"/>
    </row>
    <row r="651" spans="1:18" s="8" customFormat="1" x14ac:dyDescent="0.3">
      <c r="A651" s="283"/>
      <c r="B651" s="276">
        <v>45485</v>
      </c>
      <c r="C651" s="1" t="s">
        <v>1888</v>
      </c>
      <c r="D651" s="2">
        <v>27912</v>
      </c>
      <c r="E651" s="1">
        <v>1631825</v>
      </c>
      <c r="F651" s="1">
        <f t="shared" ref="F651" ca="1" si="59">YEAR(TODAY())-YEAR(D651)</f>
        <v>50</v>
      </c>
      <c r="G651" s="8" t="s">
        <v>1889</v>
      </c>
      <c r="I651" s="8" t="s">
        <v>1890</v>
      </c>
      <c r="J651" s="1"/>
      <c r="K651" s="1"/>
      <c r="P651" s="9"/>
      <c r="Q651" s="3"/>
    </row>
    <row r="652" spans="1:18" s="204" customFormat="1" x14ac:dyDescent="0.3">
      <c r="A652" s="398" t="s">
        <v>1601</v>
      </c>
      <c r="B652" s="117">
        <v>45119</v>
      </c>
      <c r="C652" s="27" t="s">
        <v>1602</v>
      </c>
      <c r="D652" s="28">
        <v>29307</v>
      </c>
      <c r="E652" s="27">
        <v>1005812</v>
      </c>
      <c r="F652" s="27">
        <f t="shared" ca="1" si="58"/>
        <v>46</v>
      </c>
      <c r="G652" s="27" t="s">
        <v>1603</v>
      </c>
      <c r="H652" s="27"/>
      <c r="I652" s="26" t="s">
        <v>1891</v>
      </c>
      <c r="J652" s="27"/>
      <c r="K652" s="27"/>
      <c r="L652" s="26"/>
      <c r="M652" s="26"/>
      <c r="N652" s="26"/>
      <c r="O652" s="26"/>
      <c r="P652" s="138"/>
      <c r="Q652" s="139"/>
      <c r="R652" s="26"/>
    </row>
    <row r="653" spans="1:18" s="204" customFormat="1" x14ac:dyDescent="0.3">
      <c r="A653" s="399"/>
      <c r="B653" s="121"/>
      <c r="C653" s="27" t="s">
        <v>1607</v>
      </c>
      <c r="D653" s="28">
        <v>39954</v>
      </c>
      <c r="E653" s="27">
        <v>3006312</v>
      </c>
      <c r="F653" s="27">
        <f t="shared" ca="1" si="58"/>
        <v>17</v>
      </c>
      <c r="G653" s="27"/>
      <c r="H653" s="27"/>
      <c r="I653" s="26"/>
      <c r="J653" s="27"/>
      <c r="K653" s="27"/>
      <c r="L653" s="26"/>
      <c r="M653" s="26"/>
      <c r="N653" s="26"/>
      <c r="O653" s="26"/>
      <c r="P653" s="138"/>
      <c r="Q653" s="139"/>
      <c r="R653" s="26"/>
    </row>
    <row r="654" spans="1:18" s="204" customFormat="1" x14ac:dyDescent="0.3">
      <c r="A654" s="399"/>
      <c r="B654" s="121"/>
      <c r="C654" s="27" t="s">
        <v>1608</v>
      </c>
      <c r="D654" s="28">
        <v>40807</v>
      </c>
      <c r="E654" s="27">
        <v>4006317</v>
      </c>
      <c r="F654" s="27">
        <f t="shared" ca="1" si="58"/>
        <v>15</v>
      </c>
      <c r="G654" s="27"/>
      <c r="H654" s="27"/>
      <c r="I654" s="26"/>
      <c r="J654" s="27"/>
      <c r="K654" s="27"/>
      <c r="L654" s="26"/>
      <c r="M654" s="26"/>
      <c r="N654" s="26"/>
      <c r="O654" s="26"/>
      <c r="P654" s="138"/>
      <c r="Q654" s="139"/>
      <c r="R654" s="26"/>
    </row>
    <row r="655" spans="1:18" s="204" customFormat="1" x14ac:dyDescent="0.3">
      <c r="A655" s="438"/>
      <c r="B655" s="121"/>
      <c r="C655" s="27" t="s">
        <v>1609</v>
      </c>
      <c r="D655" s="28">
        <v>43288</v>
      </c>
      <c r="E655" s="27">
        <v>4026113</v>
      </c>
      <c r="F655" s="27">
        <f t="shared" ca="1" si="58"/>
        <v>8</v>
      </c>
      <c r="G655" s="27"/>
      <c r="H655" s="27"/>
      <c r="I655" s="26"/>
      <c r="J655" s="27"/>
      <c r="K655" s="27"/>
      <c r="L655" s="26"/>
      <c r="M655" s="26"/>
      <c r="N655" s="26"/>
      <c r="O655" s="26"/>
      <c r="P655" s="138"/>
      <c r="Q655" s="139"/>
      <c r="R655" s="26"/>
    </row>
    <row r="656" spans="1:18" x14ac:dyDescent="0.3">
      <c r="A656" s="422" t="s">
        <v>1892</v>
      </c>
      <c r="B656" s="115">
        <v>44755</v>
      </c>
      <c r="C656" s="1" t="s">
        <v>260</v>
      </c>
      <c r="D656" s="2">
        <v>30333</v>
      </c>
      <c r="E656" s="1">
        <v>1656914</v>
      </c>
      <c r="F656" s="1">
        <f t="shared" ref="F656:F671" ca="1" si="60">YEAR(TODAY())-YEAR(D656)</f>
        <v>43</v>
      </c>
      <c r="G656" s="1" t="s">
        <v>1893</v>
      </c>
      <c r="H656" s="1"/>
      <c r="I656" s="8" t="s">
        <v>1894</v>
      </c>
      <c r="J656" s="1"/>
      <c r="K656" s="1"/>
      <c r="L656" s="8"/>
      <c r="M656" s="8"/>
      <c r="N656" s="8"/>
      <c r="O656" s="8"/>
      <c r="P656" s="104"/>
      <c r="Q656" s="5"/>
      <c r="R656" s="8"/>
    </row>
    <row r="657" spans="1:18" x14ac:dyDescent="0.3">
      <c r="A657" s="422"/>
      <c r="B657" s="109"/>
      <c r="C657" s="1" t="s">
        <v>261</v>
      </c>
      <c r="D657" s="2">
        <v>31972</v>
      </c>
      <c r="E657" s="1">
        <v>2328218</v>
      </c>
      <c r="F657" s="1">
        <f t="shared" ca="1" si="60"/>
        <v>39</v>
      </c>
      <c r="G657" s="1" t="s">
        <v>1895</v>
      </c>
      <c r="H657" s="1"/>
      <c r="I657" s="8"/>
      <c r="J657" s="1"/>
      <c r="K657" s="1"/>
      <c r="L657" s="8" t="s">
        <v>1896</v>
      </c>
      <c r="M657" s="8"/>
      <c r="N657" s="8"/>
      <c r="O657" s="8"/>
      <c r="P657" s="104"/>
      <c r="Q657" s="5"/>
      <c r="R657" s="8"/>
    </row>
    <row r="658" spans="1:18" x14ac:dyDescent="0.3">
      <c r="A658" s="422"/>
      <c r="B658" s="109"/>
      <c r="C658" s="1" t="s">
        <v>262</v>
      </c>
      <c r="D658" s="2">
        <v>40841</v>
      </c>
      <c r="E658" s="1">
        <v>4475914</v>
      </c>
      <c r="F658" s="1">
        <f t="shared" ca="1" si="60"/>
        <v>15</v>
      </c>
      <c r="G658" s="1"/>
      <c r="H658" s="1"/>
      <c r="I658" s="8"/>
      <c r="J658" s="1"/>
      <c r="K658" s="1"/>
      <c r="L658" s="8" t="s">
        <v>1897</v>
      </c>
      <c r="M658" s="8"/>
      <c r="N658" s="8"/>
      <c r="O658" s="8"/>
      <c r="P658" s="104"/>
      <c r="Q658" s="5"/>
      <c r="R658" s="8"/>
    </row>
    <row r="659" spans="1:18" x14ac:dyDescent="0.3">
      <c r="A659" s="422"/>
      <c r="B659" s="109"/>
      <c r="C659" s="1" t="s">
        <v>263</v>
      </c>
      <c r="D659" s="2">
        <v>41253</v>
      </c>
      <c r="E659" s="1">
        <v>4475925</v>
      </c>
      <c r="F659" s="1">
        <f t="shared" ca="1" si="60"/>
        <v>14</v>
      </c>
      <c r="G659" s="1"/>
      <c r="H659" s="1"/>
      <c r="I659" s="8"/>
      <c r="J659" s="1"/>
      <c r="K659" s="1"/>
      <c r="L659" s="8"/>
      <c r="M659" s="8"/>
      <c r="N659" s="8"/>
      <c r="O659" s="8"/>
      <c r="P659" s="104"/>
      <c r="Q659" s="5"/>
      <c r="R659" s="8"/>
    </row>
    <row r="660" spans="1:18" x14ac:dyDescent="0.3">
      <c r="A660" s="422"/>
      <c r="B660" s="109"/>
      <c r="C660" s="1" t="s">
        <v>264</v>
      </c>
      <c r="D660" s="2">
        <v>42412</v>
      </c>
      <c r="E660" s="1">
        <v>3475922</v>
      </c>
      <c r="F660" s="1">
        <f t="shared" ca="1" si="60"/>
        <v>10</v>
      </c>
      <c r="G660" s="1"/>
      <c r="H660" s="1"/>
      <c r="I660" s="8"/>
      <c r="J660" s="1"/>
      <c r="K660" s="1"/>
      <c r="L660" s="8"/>
      <c r="M660" s="8"/>
      <c r="N660" s="8"/>
      <c r="O660" s="8"/>
      <c r="P660" s="104"/>
      <c r="Q660" s="5"/>
      <c r="R660" s="8"/>
    </row>
    <row r="661" spans="1:18" x14ac:dyDescent="0.3">
      <c r="A661" s="422"/>
      <c r="B661" s="109"/>
      <c r="C661" s="1" t="s">
        <v>265</v>
      </c>
      <c r="D661" s="2">
        <v>33921</v>
      </c>
      <c r="E661" s="1">
        <v>2328113</v>
      </c>
      <c r="F661" s="1">
        <f t="shared" ca="1" si="60"/>
        <v>34</v>
      </c>
      <c r="G661" s="1" t="s">
        <v>1898</v>
      </c>
      <c r="H661" s="1"/>
      <c r="I661" s="8"/>
      <c r="J661" s="1"/>
      <c r="K661" s="1"/>
      <c r="L661" s="8"/>
      <c r="M661" s="8"/>
      <c r="N661" s="8"/>
      <c r="O661" s="8"/>
      <c r="P661" s="104"/>
      <c r="Q661" s="5"/>
      <c r="R661" s="8"/>
    </row>
    <row r="662" spans="1:18" x14ac:dyDescent="0.3">
      <c r="A662" s="422"/>
      <c r="B662" s="109"/>
      <c r="C662" s="1" t="s">
        <v>266</v>
      </c>
      <c r="D662" s="2">
        <v>32368</v>
      </c>
      <c r="E662" s="1">
        <v>2328217</v>
      </c>
      <c r="F662" s="1">
        <f t="shared" ca="1" si="60"/>
        <v>38</v>
      </c>
      <c r="G662" s="1" t="s">
        <v>1899</v>
      </c>
      <c r="H662" s="1"/>
      <c r="I662" s="8"/>
      <c r="J662" s="1"/>
      <c r="K662" s="1"/>
      <c r="L662" s="8"/>
      <c r="M662" s="8"/>
      <c r="N662" s="8"/>
      <c r="O662" s="8"/>
      <c r="P662" s="104"/>
      <c r="Q662" s="5"/>
      <c r="R662" s="8"/>
    </row>
    <row r="663" spans="1:18" x14ac:dyDescent="0.3">
      <c r="A663" s="408" t="s">
        <v>1601</v>
      </c>
      <c r="B663" s="112">
        <v>45120</v>
      </c>
      <c r="C663" s="30" t="s">
        <v>1602</v>
      </c>
      <c r="D663" s="31">
        <v>29307</v>
      </c>
      <c r="E663" s="30">
        <v>1005812</v>
      </c>
      <c r="F663" s="30">
        <f t="shared" ca="1" si="60"/>
        <v>46</v>
      </c>
      <c r="G663" s="30" t="s">
        <v>1603</v>
      </c>
      <c r="H663" s="30"/>
      <c r="I663" s="29" t="s">
        <v>1900</v>
      </c>
      <c r="J663" s="30"/>
      <c r="K663" s="30"/>
      <c r="L663" s="8"/>
      <c r="M663" s="8"/>
      <c r="N663" s="8"/>
      <c r="O663" s="8"/>
      <c r="P663" s="9"/>
      <c r="Q663" s="3"/>
      <c r="R663" s="8"/>
    </row>
    <row r="664" spans="1:18" x14ac:dyDescent="0.3">
      <c r="A664" s="409"/>
      <c r="B664" s="113"/>
      <c r="C664" s="30" t="s">
        <v>1607</v>
      </c>
      <c r="D664" s="31">
        <v>39954</v>
      </c>
      <c r="E664" s="30">
        <v>3006312</v>
      </c>
      <c r="F664" s="30">
        <f t="shared" ca="1" si="60"/>
        <v>17</v>
      </c>
      <c r="G664" s="30"/>
      <c r="H664" s="30"/>
      <c r="I664" s="29"/>
      <c r="J664" s="30"/>
      <c r="K664" s="30"/>
      <c r="L664" s="8"/>
      <c r="M664" s="8"/>
      <c r="N664" s="8"/>
      <c r="O664" s="8"/>
      <c r="P664" s="9"/>
      <c r="Q664" s="3"/>
      <c r="R664" s="8"/>
    </row>
    <row r="665" spans="1:18" x14ac:dyDescent="0.3">
      <c r="A665" s="409"/>
      <c r="B665" s="113"/>
      <c r="C665" s="30" t="s">
        <v>1608</v>
      </c>
      <c r="D665" s="31">
        <v>40807</v>
      </c>
      <c r="E665" s="30">
        <v>4006317</v>
      </c>
      <c r="F665" s="30">
        <f t="shared" ca="1" si="60"/>
        <v>15</v>
      </c>
      <c r="G665" s="30"/>
      <c r="H665" s="30"/>
      <c r="I665" s="29"/>
      <c r="J665" s="30"/>
      <c r="K665" s="30"/>
      <c r="L665" s="8"/>
      <c r="M665" s="8"/>
      <c r="N665" s="8"/>
      <c r="O665" s="8"/>
      <c r="P665" s="9"/>
      <c r="Q665" s="3"/>
      <c r="R665" s="8"/>
    </row>
    <row r="666" spans="1:18" x14ac:dyDescent="0.3">
      <c r="A666" s="410"/>
      <c r="B666" s="113"/>
      <c r="C666" s="30" t="s">
        <v>1609</v>
      </c>
      <c r="D666" s="31">
        <v>43288</v>
      </c>
      <c r="E666" s="30">
        <v>4026113</v>
      </c>
      <c r="F666" s="30">
        <f t="shared" ca="1" si="60"/>
        <v>8</v>
      </c>
      <c r="G666" s="30"/>
      <c r="H666" s="30"/>
      <c r="I666" s="29"/>
      <c r="J666" s="30"/>
      <c r="K666" s="30"/>
      <c r="L666" s="8"/>
      <c r="M666" s="8"/>
      <c r="N666" s="8"/>
      <c r="O666" s="8"/>
      <c r="P666" s="9"/>
      <c r="Q666" s="3"/>
      <c r="R666" s="8"/>
    </row>
    <row r="667" spans="1:18" x14ac:dyDescent="0.3">
      <c r="A667" s="394" t="s">
        <v>1901</v>
      </c>
      <c r="B667" s="119">
        <v>44391</v>
      </c>
      <c r="C667" s="36" t="s">
        <v>267</v>
      </c>
      <c r="D667" s="37">
        <v>28880</v>
      </c>
      <c r="E667" s="36">
        <v>1915218</v>
      </c>
      <c r="F667" s="36">
        <f t="shared" ca="1" si="60"/>
        <v>47</v>
      </c>
      <c r="G667" s="36" t="s">
        <v>1902</v>
      </c>
      <c r="H667" s="36"/>
      <c r="I667" s="35" t="s">
        <v>1903</v>
      </c>
      <c r="J667" s="1"/>
      <c r="K667" s="1"/>
      <c r="L667" s="8"/>
      <c r="M667" s="8"/>
      <c r="N667" s="8"/>
      <c r="O667" s="8"/>
      <c r="P667" s="104"/>
      <c r="Q667" s="5"/>
      <c r="R667" s="8"/>
    </row>
    <row r="668" spans="1:18" x14ac:dyDescent="0.3">
      <c r="A668" s="394"/>
      <c r="B668" s="120"/>
      <c r="C668" s="36" t="s">
        <v>268</v>
      </c>
      <c r="D668" s="37">
        <v>29163</v>
      </c>
      <c r="E668" s="36">
        <v>2807614</v>
      </c>
      <c r="F668" s="36">
        <f t="shared" ca="1" si="60"/>
        <v>47</v>
      </c>
      <c r="G668" s="36" t="s">
        <v>1904</v>
      </c>
      <c r="H668" s="36"/>
      <c r="I668" s="35"/>
      <c r="J668" s="1"/>
      <c r="K668" s="1"/>
      <c r="L668" s="8"/>
      <c r="M668" s="8"/>
      <c r="N668" s="8"/>
      <c r="O668" s="8"/>
      <c r="P668" s="104"/>
      <c r="Q668" s="5"/>
      <c r="R668" s="8"/>
    </row>
    <row r="669" spans="1:18" x14ac:dyDescent="0.3">
      <c r="A669" s="394"/>
      <c r="B669" s="120"/>
      <c r="C669" s="36" t="s">
        <v>269</v>
      </c>
      <c r="D669" s="37">
        <v>39845</v>
      </c>
      <c r="E669" s="36">
        <v>3182518</v>
      </c>
      <c r="F669" s="36">
        <f t="shared" ca="1" si="60"/>
        <v>17</v>
      </c>
      <c r="G669" s="36"/>
      <c r="H669" s="36"/>
      <c r="I669" s="35"/>
      <c r="J669" s="1"/>
      <c r="K669" s="1"/>
      <c r="L669" s="8"/>
      <c r="M669" s="8"/>
      <c r="N669" s="8"/>
      <c r="O669" s="8"/>
      <c r="P669" s="104"/>
      <c r="Q669" s="5"/>
      <c r="R669" s="8"/>
    </row>
    <row r="670" spans="1:18" x14ac:dyDescent="0.3">
      <c r="A670" s="394"/>
      <c r="B670" s="120"/>
      <c r="C670" s="36" t="s">
        <v>270</v>
      </c>
      <c r="D670" s="37">
        <v>40538</v>
      </c>
      <c r="E670" s="36">
        <v>4182517</v>
      </c>
      <c r="F670" s="36">
        <f t="shared" ca="1" si="60"/>
        <v>16</v>
      </c>
      <c r="G670" s="36"/>
      <c r="H670" s="36"/>
      <c r="I670" s="35"/>
      <c r="J670" s="1"/>
      <c r="K670" s="1"/>
      <c r="L670" s="8"/>
      <c r="M670" s="8"/>
      <c r="N670" s="8"/>
      <c r="O670" s="8"/>
      <c r="P670" s="104"/>
      <c r="Q670" s="5"/>
      <c r="R670" s="8"/>
    </row>
    <row r="671" spans="1:18" x14ac:dyDescent="0.3">
      <c r="A671" s="394"/>
      <c r="B671" s="120"/>
      <c r="C671" s="36" t="s">
        <v>271</v>
      </c>
      <c r="D671" s="37">
        <v>41754</v>
      </c>
      <c r="E671" s="36">
        <v>3182514</v>
      </c>
      <c r="F671" s="36">
        <f t="shared" ca="1" si="60"/>
        <v>12</v>
      </c>
      <c r="G671" s="36"/>
      <c r="H671" s="36"/>
      <c r="I671" s="35"/>
      <c r="J671" s="1"/>
      <c r="K671" s="1"/>
      <c r="L671" s="8"/>
      <c r="M671" s="8"/>
      <c r="N671" s="8"/>
      <c r="O671" s="8"/>
      <c r="P671" s="104"/>
      <c r="Q671" s="5"/>
      <c r="R671" s="8"/>
    </row>
    <row r="672" spans="1:18" x14ac:dyDescent="0.3">
      <c r="A672" s="398" t="s">
        <v>1398</v>
      </c>
      <c r="B672" s="117">
        <v>45121</v>
      </c>
      <c r="C672" s="27" t="s">
        <v>550</v>
      </c>
      <c r="D672" s="28">
        <v>32399</v>
      </c>
      <c r="E672" s="27">
        <v>1235220</v>
      </c>
      <c r="F672" s="27">
        <f t="shared" ref="F672" ca="1" si="61">YEAR(TODAY())-YEAR(D672)</f>
        <v>38</v>
      </c>
      <c r="G672" s="27" t="s">
        <v>1399</v>
      </c>
      <c r="H672" s="27"/>
      <c r="I672" s="26" t="s">
        <v>1905</v>
      </c>
      <c r="J672" s="1"/>
      <c r="K672" s="1"/>
      <c r="L672" s="8"/>
      <c r="M672" s="8"/>
      <c r="N672" s="8"/>
      <c r="O672" s="8"/>
      <c r="P672" s="104"/>
      <c r="Q672" s="5"/>
      <c r="R672" s="8"/>
    </row>
    <row r="673" spans="1:18" x14ac:dyDescent="0.3">
      <c r="A673" s="399"/>
      <c r="B673" s="121"/>
      <c r="C673" s="27" t="s">
        <v>548</v>
      </c>
      <c r="D673" s="28">
        <v>20418</v>
      </c>
      <c r="E673" s="27">
        <v>1235010</v>
      </c>
      <c r="F673" s="27">
        <f t="shared" ref="F673:F689" ca="1" si="62">YEAR(TODAY())-YEAR(D673)</f>
        <v>71</v>
      </c>
      <c r="G673" s="27" t="s">
        <v>1906</v>
      </c>
      <c r="H673" s="27"/>
      <c r="I673" s="26"/>
      <c r="J673" s="1"/>
      <c r="K673" s="1"/>
      <c r="L673" s="8"/>
      <c r="M673" s="8"/>
      <c r="N673" s="8"/>
      <c r="O673" s="8"/>
      <c r="P673" s="104"/>
      <c r="Q673" s="5"/>
      <c r="R673" s="8"/>
    </row>
    <row r="674" spans="1:18" x14ac:dyDescent="0.3">
      <c r="A674" s="438"/>
      <c r="B674" s="117"/>
      <c r="C674" s="27" t="s">
        <v>549</v>
      </c>
      <c r="D674" s="28">
        <v>21494</v>
      </c>
      <c r="E674" s="27">
        <v>2052726</v>
      </c>
      <c r="F674" s="27">
        <f t="shared" ca="1" si="62"/>
        <v>68</v>
      </c>
      <c r="G674" s="27" t="s">
        <v>1907</v>
      </c>
      <c r="H674" s="27"/>
      <c r="I674" s="26"/>
      <c r="J674" s="1"/>
      <c r="K674" s="1"/>
      <c r="L674" s="8"/>
      <c r="M674" s="8"/>
      <c r="N674" s="8"/>
      <c r="O674" s="8"/>
      <c r="P674" s="104"/>
      <c r="Q674" s="5"/>
      <c r="R674" s="8"/>
    </row>
    <row r="675" spans="1:18" x14ac:dyDescent="0.3">
      <c r="A675" s="455" t="s">
        <v>1908</v>
      </c>
      <c r="B675" s="122">
        <v>45122</v>
      </c>
      <c r="C675" s="18" t="s">
        <v>148</v>
      </c>
      <c r="D675" s="19">
        <v>28590</v>
      </c>
      <c r="E675" s="18">
        <v>1531214</v>
      </c>
      <c r="F675" s="18">
        <f ca="1">YEAR(TODAY())-YEAR(D675)</f>
        <v>48</v>
      </c>
      <c r="G675" s="18" t="s">
        <v>1909</v>
      </c>
      <c r="H675" s="18"/>
      <c r="I675" s="17" t="s">
        <v>1910</v>
      </c>
      <c r="J675" s="1"/>
      <c r="K675" s="1"/>
      <c r="L675" s="8"/>
      <c r="M675" s="8"/>
      <c r="N675" s="8"/>
      <c r="O675" s="8"/>
      <c r="P675" s="104"/>
      <c r="Q675" s="5"/>
      <c r="R675" s="8"/>
    </row>
    <row r="676" spans="1:18" x14ac:dyDescent="0.3">
      <c r="A676" s="456"/>
      <c r="B676" s="123"/>
      <c r="C676" s="18" t="s">
        <v>149</v>
      </c>
      <c r="D676" s="19">
        <v>29395</v>
      </c>
      <c r="E676" s="18">
        <v>2523017</v>
      </c>
      <c r="F676" s="18">
        <f ca="1">YEAR(TODAY())-YEAR(D676)</f>
        <v>46</v>
      </c>
      <c r="G676" s="18" t="s">
        <v>1911</v>
      </c>
      <c r="H676" s="18"/>
      <c r="I676" s="17"/>
      <c r="J676" s="1"/>
      <c r="K676" s="1"/>
      <c r="L676" s="8"/>
      <c r="M676" s="8"/>
      <c r="N676" s="8"/>
      <c r="O676" s="8"/>
      <c r="P676" s="104"/>
      <c r="Q676" s="5"/>
      <c r="R676" s="8"/>
    </row>
    <row r="677" spans="1:18" x14ac:dyDescent="0.3">
      <c r="A677" s="456"/>
      <c r="B677" s="123"/>
      <c r="C677" s="18" t="s">
        <v>150</v>
      </c>
      <c r="D677" s="19">
        <v>40484</v>
      </c>
      <c r="E677" s="18">
        <v>3412610</v>
      </c>
      <c r="F677" s="18">
        <f ca="1">YEAR(TODAY())-YEAR(D677)</f>
        <v>16</v>
      </c>
      <c r="G677" s="18"/>
      <c r="H677" s="18"/>
      <c r="I677" s="17"/>
      <c r="J677" s="1"/>
      <c r="K677" s="1"/>
      <c r="L677" s="8"/>
      <c r="M677" s="8"/>
      <c r="N677" s="8"/>
      <c r="O677" s="8"/>
      <c r="P677" s="104"/>
      <c r="Q677" s="5"/>
      <c r="R677" s="8"/>
    </row>
    <row r="678" spans="1:18" x14ac:dyDescent="0.3">
      <c r="A678" s="456"/>
      <c r="B678" s="123"/>
      <c r="C678" s="18" t="s">
        <v>151</v>
      </c>
      <c r="D678" s="19">
        <v>41558</v>
      </c>
      <c r="E678" s="18">
        <v>3412420</v>
      </c>
      <c r="F678" s="18">
        <f ca="1">YEAR(TODAY())-YEAR(D678)</f>
        <v>13</v>
      </c>
      <c r="G678" s="18"/>
      <c r="H678" s="18"/>
      <c r="I678" s="17"/>
      <c r="J678" s="1"/>
      <c r="K678" s="1"/>
      <c r="L678" s="8"/>
      <c r="M678" s="8"/>
      <c r="N678" s="8"/>
      <c r="O678" s="8"/>
      <c r="P678" s="104"/>
      <c r="Q678" s="5"/>
      <c r="R678" s="8"/>
    </row>
    <row r="679" spans="1:18" x14ac:dyDescent="0.3">
      <c r="A679" s="457"/>
      <c r="B679" s="123"/>
      <c r="C679" s="18" t="s">
        <v>152</v>
      </c>
      <c r="D679" s="19">
        <v>43507</v>
      </c>
      <c r="E679" s="18">
        <v>4412415</v>
      </c>
      <c r="F679" s="18">
        <f ca="1">YEAR(TODAY())-YEAR(D679)</f>
        <v>7</v>
      </c>
      <c r="G679" s="18"/>
      <c r="H679" s="18"/>
      <c r="I679" s="17"/>
      <c r="J679" s="1"/>
      <c r="K679" s="1"/>
      <c r="L679" s="8"/>
      <c r="M679" s="8"/>
      <c r="N679" s="8"/>
      <c r="O679" s="8"/>
      <c r="P679" s="104"/>
      <c r="Q679" s="5"/>
      <c r="R679" s="8"/>
    </row>
    <row r="680" spans="1:18" x14ac:dyDescent="0.3">
      <c r="A680" s="422" t="s">
        <v>1912</v>
      </c>
      <c r="B680" s="115">
        <v>44757</v>
      </c>
      <c r="C680" s="1" t="s">
        <v>272</v>
      </c>
      <c r="D680" s="2">
        <v>28464</v>
      </c>
      <c r="E680" s="1">
        <v>1122725</v>
      </c>
      <c r="F680" s="1">
        <f t="shared" ca="1" si="62"/>
        <v>49</v>
      </c>
      <c r="G680" s="1" t="s">
        <v>1913</v>
      </c>
      <c r="H680" s="1"/>
      <c r="I680" s="8" t="s">
        <v>1914</v>
      </c>
      <c r="J680" s="1"/>
      <c r="K680" s="1"/>
      <c r="L680" s="8"/>
      <c r="M680" s="8"/>
      <c r="N680" s="8"/>
      <c r="O680" s="8"/>
      <c r="P680" s="104"/>
      <c r="Q680" s="5"/>
      <c r="R680" s="8"/>
    </row>
    <row r="681" spans="1:18" x14ac:dyDescent="0.3">
      <c r="A681" s="422"/>
      <c r="B681" s="109"/>
      <c r="C681" s="1" t="s">
        <v>273</v>
      </c>
      <c r="D681" s="2">
        <v>28457</v>
      </c>
      <c r="E681" s="1">
        <v>2122611</v>
      </c>
      <c r="F681" s="1">
        <f t="shared" ca="1" si="62"/>
        <v>49</v>
      </c>
      <c r="G681" s="1" t="s">
        <v>1915</v>
      </c>
      <c r="H681" s="1"/>
      <c r="I681" s="8"/>
      <c r="J681" s="1"/>
      <c r="K681" s="1"/>
      <c r="L681" s="8"/>
      <c r="M681" s="8"/>
      <c r="N681" s="8"/>
      <c r="O681" s="8"/>
      <c r="P681" s="104"/>
      <c r="Q681" s="5"/>
      <c r="R681" s="8"/>
    </row>
    <row r="682" spans="1:18" x14ac:dyDescent="0.3">
      <c r="A682" s="422"/>
      <c r="B682" s="109"/>
      <c r="C682" s="1" t="s">
        <v>274</v>
      </c>
      <c r="D682" s="2">
        <v>38767</v>
      </c>
      <c r="E682" s="1">
        <v>4904612</v>
      </c>
      <c r="F682" s="1">
        <f t="shared" ca="1" si="62"/>
        <v>20</v>
      </c>
      <c r="G682" s="1"/>
      <c r="H682" s="1"/>
      <c r="I682" s="8"/>
      <c r="J682" s="1"/>
      <c r="K682" s="1"/>
      <c r="L682" s="8"/>
      <c r="M682" s="8"/>
      <c r="N682" s="8"/>
      <c r="O682" s="8"/>
      <c r="P682" s="104"/>
      <c r="Q682" s="5"/>
      <c r="R682" s="8"/>
    </row>
    <row r="683" spans="1:18" x14ac:dyDescent="0.3">
      <c r="A683" s="190" t="s">
        <v>1133</v>
      </c>
      <c r="B683" s="110">
        <v>45123</v>
      </c>
      <c r="C683" s="33" t="s">
        <v>128</v>
      </c>
      <c r="D683" s="34">
        <v>30156</v>
      </c>
      <c r="E683" s="33">
        <v>2472012</v>
      </c>
      <c r="F683" s="33">
        <f t="shared" ca="1" si="62"/>
        <v>44</v>
      </c>
      <c r="G683" s="33" t="s">
        <v>130</v>
      </c>
      <c r="H683" s="33"/>
      <c r="I683" s="32" t="s">
        <v>1916</v>
      </c>
      <c r="J683" s="1"/>
      <c r="K683" s="1"/>
      <c r="L683" s="8" t="s">
        <v>74</v>
      </c>
      <c r="M683" s="8"/>
      <c r="N683" s="8"/>
      <c r="O683" s="8"/>
      <c r="P683" s="104"/>
      <c r="Q683" s="5"/>
      <c r="R683" s="8" t="s">
        <v>130</v>
      </c>
    </row>
    <row r="684" spans="1:18" s="189" customFormat="1" x14ac:dyDescent="0.3">
      <c r="A684" s="414" t="s">
        <v>1917</v>
      </c>
      <c r="B684" s="112">
        <v>45124</v>
      </c>
      <c r="C684" s="30" t="s">
        <v>496</v>
      </c>
      <c r="D684" s="31">
        <v>28881</v>
      </c>
      <c r="E684" s="30">
        <v>1110616</v>
      </c>
      <c r="F684" s="30">
        <f t="shared" ca="1" si="62"/>
        <v>47</v>
      </c>
      <c r="G684" s="30" t="s">
        <v>1918</v>
      </c>
      <c r="H684" s="30"/>
      <c r="I684" s="29" t="s">
        <v>1919</v>
      </c>
      <c r="J684" s="1"/>
      <c r="K684" s="1"/>
      <c r="L684" s="8"/>
      <c r="M684" s="8"/>
      <c r="N684" s="8"/>
      <c r="O684" s="8"/>
      <c r="P684" s="104"/>
      <c r="Q684" s="5"/>
      <c r="R684" s="8"/>
    </row>
    <row r="685" spans="1:18" s="189" customFormat="1" x14ac:dyDescent="0.3">
      <c r="A685" s="414"/>
      <c r="B685" s="113"/>
      <c r="C685" s="30" t="s">
        <v>497</v>
      </c>
      <c r="D685" s="31">
        <v>28699</v>
      </c>
      <c r="E685" s="30">
        <v>2114119</v>
      </c>
      <c r="F685" s="30">
        <f t="shared" ca="1" si="62"/>
        <v>48</v>
      </c>
      <c r="G685" s="30" t="s">
        <v>1920</v>
      </c>
      <c r="H685" s="30"/>
      <c r="I685" s="29"/>
      <c r="J685" s="1"/>
      <c r="K685" s="1"/>
      <c r="L685" s="8"/>
      <c r="M685" s="8"/>
      <c r="N685" s="8"/>
      <c r="O685" s="8"/>
      <c r="P685" s="104"/>
      <c r="Q685" s="5"/>
      <c r="R685" s="8"/>
    </row>
    <row r="686" spans="1:18" s="189" customFormat="1" x14ac:dyDescent="0.3">
      <c r="A686" s="414"/>
      <c r="B686" s="113"/>
      <c r="C686" s="30" t="s">
        <v>498</v>
      </c>
      <c r="D686" s="31">
        <v>40266</v>
      </c>
      <c r="E686" s="30">
        <v>3096114</v>
      </c>
      <c r="F686" s="30">
        <f t="shared" ca="1" si="62"/>
        <v>16</v>
      </c>
      <c r="G686" s="30"/>
      <c r="H686" s="30"/>
      <c r="I686" s="29"/>
      <c r="J686" s="1"/>
      <c r="K686" s="1"/>
      <c r="L686" s="8"/>
      <c r="M686" s="8"/>
      <c r="N686" s="8"/>
      <c r="O686" s="8"/>
      <c r="P686" s="104"/>
      <c r="Q686" s="5"/>
      <c r="R686" s="8"/>
    </row>
    <row r="687" spans="1:18" s="189" customFormat="1" x14ac:dyDescent="0.3">
      <c r="A687" s="414"/>
      <c r="B687" s="113"/>
      <c r="C687" s="30" t="s">
        <v>499</v>
      </c>
      <c r="D687" s="31">
        <v>41891</v>
      </c>
      <c r="E687" s="30">
        <v>4095411</v>
      </c>
      <c r="F687" s="30">
        <f t="shared" ca="1" si="62"/>
        <v>12</v>
      </c>
      <c r="G687" s="30"/>
      <c r="H687" s="30"/>
      <c r="I687" s="29"/>
      <c r="J687" s="1"/>
      <c r="K687" s="1"/>
      <c r="L687" s="8"/>
      <c r="M687" s="8"/>
      <c r="N687" s="8"/>
      <c r="O687" s="8"/>
      <c r="P687" s="104"/>
      <c r="Q687" s="5"/>
      <c r="R687" s="8"/>
    </row>
    <row r="688" spans="1:18" x14ac:dyDescent="0.3">
      <c r="A688" s="198" t="s">
        <v>1921</v>
      </c>
      <c r="B688" s="119">
        <v>45126</v>
      </c>
      <c r="C688" s="36" t="s">
        <v>695</v>
      </c>
      <c r="D688" s="37">
        <v>29845</v>
      </c>
      <c r="E688" s="36">
        <v>1676810</v>
      </c>
      <c r="F688" s="36">
        <f t="shared" ca="1" si="62"/>
        <v>45</v>
      </c>
      <c r="G688" s="36" t="s">
        <v>1922</v>
      </c>
      <c r="H688" s="36"/>
      <c r="I688" s="35" t="s">
        <v>1923</v>
      </c>
      <c r="J688" s="1"/>
      <c r="K688" s="1"/>
      <c r="L688" s="8"/>
      <c r="M688" s="8"/>
      <c r="N688" s="8"/>
      <c r="O688" s="8"/>
      <c r="P688" s="104"/>
      <c r="Q688" s="5"/>
      <c r="R688" s="8"/>
    </row>
    <row r="689" spans="1:18" x14ac:dyDescent="0.3">
      <c r="A689" s="183" t="s">
        <v>1323</v>
      </c>
      <c r="B689" s="112">
        <v>45127</v>
      </c>
      <c r="C689" s="30" t="s">
        <v>708</v>
      </c>
      <c r="D689" s="31">
        <v>28941</v>
      </c>
      <c r="E689" s="30">
        <v>1462419</v>
      </c>
      <c r="F689" s="30">
        <f t="shared" ca="1" si="62"/>
        <v>47</v>
      </c>
      <c r="G689" s="30" t="s">
        <v>1924</v>
      </c>
      <c r="H689" s="30"/>
      <c r="I689" s="29" t="s">
        <v>1925</v>
      </c>
      <c r="J689" s="30" t="s">
        <v>1926</v>
      </c>
      <c r="K689" s="30" t="s">
        <v>432</v>
      </c>
      <c r="L689" s="8"/>
      <c r="M689" s="8"/>
      <c r="N689" s="8"/>
      <c r="O689" s="8"/>
      <c r="P689" s="104"/>
      <c r="Q689" s="5"/>
      <c r="R689" s="8"/>
    </row>
    <row r="690" spans="1:18" x14ac:dyDescent="0.3">
      <c r="A690" s="395" t="s">
        <v>1262</v>
      </c>
      <c r="B690" s="116">
        <v>44397</v>
      </c>
      <c r="C690" s="22" t="s">
        <v>275</v>
      </c>
      <c r="D690" s="25">
        <v>31941</v>
      </c>
      <c r="E690" s="22">
        <v>2908117</v>
      </c>
      <c r="F690" s="22">
        <f t="shared" ref="F690:F707" ca="1" si="63">YEAR(TODAY())-YEAR(D690)</f>
        <v>39</v>
      </c>
      <c r="G690" s="22" t="s">
        <v>1927</v>
      </c>
      <c r="H690" s="22"/>
      <c r="I690" s="21" t="s">
        <v>1928</v>
      </c>
      <c r="J690" s="1" t="s">
        <v>276</v>
      </c>
      <c r="K690" s="1"/>
      <c r="L690" s="8"/>
      <c r="M690" s="8"/>
      <c r="N690" s="8"/>
      <c r="O690" s="8"/>
      <c r="P690" s="104"/>
      <c r="Q690" s="5"/>
      <c r="R690" s="8"/>
    </row>
    <row r="691" spans="1:18" x14ac:dyDescent="0.3">
      <c r="A691" s="395"/>
      <c r="B691" s="127"/>
      <c r="C691" s="22" t="s">
        <v>277</v>
      </c>
      <c r="D691" s="25">
        <v>31451</v>
      </c>
      <c r="E691" s="22">
        <v>1057511</v>
      </c>
      <c r="F691" s="22">
        <f t="shared" ca="1" si="63"/>
        <v>40</v>
      </c>
      <c r="G691" s="22" t="s">
        <v>1263</v>
      </c>
      <c r="H691" s="22"/>
      <c r="I691" s="21"/>
      <c r="J691" s="1" t="s">
        <v>276</v>
      </c>
      <c r="K691" s="1"/>
      <c r="L691" s="8"/>
      <c r="M691" s="8"/>
      <c r="N691" s="8"/>
      <c r="O691" s="8"/>
      <c r="P691" s="104"/>
      <c r="Q691" s="5"/>
      <c r="R691" s="8"/>
    </row>
    <row r="692" spans="1:18" x14ac:dyDescent="0.3">
      <c r="A692" s="395"/>
      <c r="B692" s="127"/>
      <c r="C692" s="22" t="s">
        <v>278</v>
      </c>
      <c r="D692" s="25">
        <v>41653</v>
      </c>
      <c r="E692" s="22">
        <v>4412211</v>
      </c>
      <c r="F692" s="22">
        <f t="shared" ca="1" si="63"/>
        <v>12</v>
      </c>
      <c r="G692" s="22"/>
      <c r="H692" s="22"/>
      <c r="I692" s="21"/>
      <c r="J692" s="1" t="s">
        <v>276</v>
      </c>
      <c r="K692" s="1"/>
      <c r="L692" s="8"/>
      <c r="M692" s="8"/>
      <c r="N692" s="8"/>
      <c r="O692" s="8"/>
      <c r="P692" s="104"/>
      <c r="Q692" s="5"/>
      <c r="R692" s="8"/>
    </row>
    <row r="693" spans="1:18" x14ac:dyDescent="0.3">
      <c r="A693" s="395"/>
      <c r="B693" s="127"/>
      <c r="C693" s="22" t="s">
        <v>279</v>
      </c>
      <c r="D693" s="25">
        <v>42432</v>
      </c>
      <c r="E693" s="22">
        <v>4476014</v>
      </c>
      <c r="F693" s="22">
        <f t="shared" ca="1" si="63"/>
        <v>10</v>
      </c>
      <c r="G693" s="22"/>
      <c r="H693" s="22"/>
      <c r="I693" s="21"/>
      <c r="J693" s="1" t="s">
        <v>276</v>
      </c>
      <c r="K693" s="1"/>
      <c r="L693" s="8"/>
      <c r="M693" s="8" t="s">
        <v>276</v>
      </c>
      <c r="N693" s="8"/>
      <c r="O693" s="8"/>
      <c r="P693" s="104"/>
      <c r="Q693" s="5"/>
      <c r="R693" s="8"/>
    </row>
    <row r="694" spans="1:18" x14ac:dyDescent="0.3">
      <c r="A694" s="423" t="s">
        <v>1929</v>
      </c>
      <c r="B694" s="150" t="s">
        <v>1930</v>
      </c>
      <c r="C694" s="1" t="s">
        <v>1931</v>
      </c>
      <c r="D694" s="2">
        <v>18949</v>
      </c>
      <c r="E694" s="1">
        <v>1543119</v>
      </c>
      <c r="F694" s="1">
        <f ca="1">YEAR(TODAY())-YEAR(D694)</f>
        <v>75</v>
      </c>
      <c r="G694" s="1" t="s">
        <v>1932</v>
      </c>
      <c r="H694" s="8"/>
      <c r="I694" s="8"/>
      <c r="J694" s="1"/>
      <c r="K694" s="1"/>
      <c r="L694" s="8" t="s">
        <v>1933</v>
      </c>
      <c r="M694" s="8"/>
      <c r="N694" s="8"/>
      <c r="O694" s="8"/>
      <c r="P694" s="9"/>
      <c r="Q694" s="3"/>
      <c r="R694" s="8"/>
    </row>
    <row r="695" spans="1:18" x14ac:dyDescent="0.3">
      <c r="A695" s="423"/>
      <c r="B695" s="150"/>
      <c r="C695" s="1" t="s">
        <v>652</v>
      </c>
      <c r="D695" s="2">
        <v>20159</v>
      </c>
      <c r="E695" s="1">
        <v>2162115</v>
      </c>
      <c r="F695" s="1">
        <f ca="1">YEAR(TODAY())-YEAR(D695)</f>
        <v>71</v>
      </c>
      <c r="G695" s="1" t="s">
        <v>1932</v>
      </c>
      <c r="H695" s="8"/>
      <c r="I695" s="8"/>
      <c r="J695" s="1"/>
      <c r="K695" s="1"/>
      <c r="L695" s="8"/>
      <c r="M695" s="8"/>
      <c r="N695" s="8"/>
      <c r="O695" s="8"/>
      <c r="P695" s="9"/>
      <c r="Q695" s="3"/>
      <c r="R695" s="8"/>
    </row>
    <row r="696" spans="1:18" x14ac:dyDescent="0.3">
      <c r="A696" s="237" t="s">
        <v>1934</v>
      </c>
      <c r="B696" s="112">
        <v>45127</v>
      </c>
      <c r="C696" s="30" t="s">
        <v>1935</v>
      </c>
      <c r="D696" s="31">
        <v>26967</v>
      </c>
      <c r="E696" s="30">
        <v>1777713</v>
      </c>
      <c r="F696" s="30">
        <f t="shared" ca="1" si="63"/>
        <v>53</v>
      </c>
      <c r="G696" s="30" t="s">
        <v>1936</v>
      </c>
      <c r="H696" s="30"/>
      <c r="I696" s="29" t="s">
        <v>1937</v>
      </c>
      <c r="J696" s="30"/>
      <c r="K696" s="30"/>
      <c r="L696" s="8"/>
      <c r="M696" s="8"/>
      <c r="N696" s="8"/>
      <c r="O696" s="8"/>
      <c r="P696" s="9"/>
      <c r="Q696" s="3"/>
      <c r="R696" s="8"/>
    </row>
    <row r="697" spans="1:18" s="204" customFormat="1" x14ac:dyDescent="0.3">
      <c r="A697" s="236" t="s">
        <v>1031</v>
      </c>
      <c r="B697" s="110">
        <v>45494</v>
      </c>
      <c r="C697" s="33" t="s">
        <v>1032</v>
      </c>
      <c r="D697" s="34">
        <v>28079</v>
      </c>
      <c r="E697" s="33">
        <v>1475912</v>
      </c>
      <c r="F697" s="33">
        <f ca="1">YEAR(TODAY())-YEAR(D697)</f>
        <v>50</v>
      </c>
      <c r="G697" s="33"/>
      <c r="H697" s="33"/>
      <c r="I697" s="32" t="s">
        <v>1938</v>
      </c>
      <c r="J697" s="33"/>
      <c r="K697" s="33"/>
      <c r="L697" s="8"/>
      <c r="M697" s="8"/>
      <c r="N697" s="8"/>
      <c r="O697" s="8"/>
      <c r="P697" s="104"/>
      <c r="Q697" s="5"/>
      <c r="R697" s="8"/>
    </row>
    <row r="698" spans="1:18" ht="33" x14ac:dyDescent="0.3">
      <c r="A698" s="398" t="s">
        <v>1939</v>
      </c>
      <c r="B698" s="117">
        <v>45128</v>
      </c>
      <c r="C698" s="27" t="s">
        <v>663</v>
      </c>
      <c r="D698" s="28">
        <v>18769</v>
      </c>
      <c r="E698" s="27">
        <v>1897112</v>
      </c>
      <c r="F698" s="27">
        <f t="shared" ca="1" si="63"/>
        <v>75</v>
      </c>
      <c r="G698" s="27" t="s">
        <v>1940</v>
      </c>
      <c r="H698" s="27"/>
      <c r="I698" s="238" t="s">
        <v>1941</v>
      </c>
      <c r="J698" s="1"/>
      <c r="K698" s="1"/>
      <c r="L698" s="8"/>
      <c r="M698" s="8"/>
      <c r="N698" s="8"/>
      <c r="O698" s="8"/>
      <c r="P698" s="104"/>
      <c r="Q698" s="5"/>
      <c r="R698" s="8"/>
    </row>
    <row r="699" spans="1:18" x14ac:dyDescent="0.3">
      <c r="A699" s="399"/>
      <c r="B699" s="117"/>
      <c r="C699" s="27" t="s">
        <v>1942</v>
      </c>
      <c r="D699" s="28">
        <v>31236</v>
      </c>
      <c r="E699" s="27">
        <v>1897113</v>
      </c>
      <c r="F699" s="27">
        <f t="shared" ca="1" si="63"/>
        <v>41</v>
      </c>
      <c r="G699" s="27" t="s">
        <v>1943</v>
      </c>
      <c r="H699" s="27"/>
      <c r="I699" s="26"/>
      <c r="J699" s="1"/>
      <c r="K699" s="1"/>
      <c r="L699" s="8"/>
      <c r="M699" s="8"/>
      <c r="N699" s="8"/>
      <c r="O699" s="8"/>
      <c r="P699" s="104"/>
      <c r="Q699" s="5"/>
      <c r="R699" s="8"/>
    </row>
    <row r="700" spans="1:18" x14ac:dyDescent="0.3">
      <c r="A700" s="399"/>
      <c r="B700" s="121"/>
      <c r="C700" s="27" t="s">
        <v>662</v>
      </c>
      <c r="D700" s="28">
        <v>20716</v>
      </c>
      <c r="E700" s="27">
        <v>2897317</v>
      </c>
      <c r="F700" s="27">
        <f ca="1">YEAR(TODAY())-YEAR(D700)</f>
        <v>70</v>
      </c>
      <c r="G700" s="27" t="s">
        <v>1944</v>
      </c>
      <c r="H700" s="27"/>
      <c r="I700" s="26"/>
      <c r="J700" s="1"/>
      <c r="K700" s="1"/>
      <c r="L700" s="8"/>
      <c r="M700" s="8"/>
      <c r="N700" s="8"/>
      <c r="O700" s="8"/>
      <c r="P700" s="104"/>
      <c r="Q700" s="5"/>
      <c r="R700" s="8"/>
    </row>
    <row r="701" spans="1:18" x14ac:dyDescent="0.3">
      <c r="A701" s="187" t="s">
        <v>1945</v>
      </c>
      <c r="B701" s="118">
        <v>44399</v>
      </c>
      <c r="C701" s="40" t="s">
        <v>282</v>
      </c>
      <c r="D701" s="41">
        <v>30074</v>
      </c>
      <c r="E701" s="40">
        <v>2183115</v>
      </c>
      <c r="F701" s="40">
        <f t="shared" ca="1" si="63"/>
        <v>44</v>
      </c>
      <c r="G701" s="40" t="s">
        <v>1946</v>
      </c>
      <c r="H701" s="40"/>
      <c r="I701" s="39"/>
      <c r="J701" s="1"/>
      <c r="K701" s="1"/>
      <c r="L701" s="8"/>
      <c r="M701" s="8" t="s">
        <v>44</v>
      </c>
      <c r="N701" s="8"/>
      <c r="O701" s="8"/>
      <c r="P701" s="104"/>
      <c r="Q701" s="5"/>
      <c r="R701" s="8"/>
    </row>
    <row r="702" spans="1:18" x14ac:dyDescent="0.3">
      <c r="A702" s="184"/>
      <c r="B702" s="117">
        <v>45129</v>
      </c>
      <c r="C702" s="27" t="s">
        <v>549</v>
      </c>
      <c r="D702" s="28">
        <v>21494</v>
      </c>
      <c r="E702" s="27">
        <v>2052726</v>
      </c>
      <c r="F702" s="27">
        <f t="shared" ca="1" si="63"/>
        <v>68</v>
      </c>
      <c r="G702" s="27" t="s">
        <v>1907</v>
      </c>
      <c r="H702" s="27"/>
      <c r="I702" s="26"/>
      <c r="J702" s="1"/>
      <c r="K702" s="1"/>
      <c r="L702" s="8"/>
      <c r="M702" s="8"/>
      <c r="N702" s="8"/>
      <c r="O702" s="8"/>
      <c r="P702" s="104"/>
      <c r="Q702" s="5"/>
      <c r="R702" s="8"/>
    </row>
    <row r="703" spans="1:18" x14ac:dyDescent="0.3">
      <c r="A703" s="394" t="s">
        <v>1947</v>
      </c>
      <c r="B703" s="119">
        <v>44399</v>
      </c>
      <c r="C703" s="36" t="s">
        <v>283</v>
      </c>
      <c r="D703" s="37">
        <v>31190</v>
      </c>
      <c r="E703" s="36">
        <v>1473911</v>
      </c>
      <c r="F703" s="36">
        <f t="shared" ca="1" si="63"/>
        <v>41</v>
      </c>
      <c r="G703" s="36" t="s">
        <v>1948</v>
      </c>
      <c r="H703" s="36"/>
      <c r="I703" s="35" t="s">
        <v>1949</v>
      </c>
      <c r="J703" s="1"/>
      <c r="K703" s="1"/>
      <c r="L703" s="8"/>
      <c r="M703" s="8"/>
      <c r="N703" s="8"/>
      <c r="O703" s="8"/>
      <c r="P703" s="104"/>
      <c r="Q703" s="5"/>
      <c r="R703" s="8"/>
    </row>
    <row r="704" spans="1:18" x14ac:dyDescent="0.3">
      <c r="A704" s="401"/>
      <c r="B704" s="120"/>
      <c r="C704" s="36" t="s">
        <v>284</v>
      </c>
      <c r="D704" s="37">
        <v>33121</v>
      </c>
      <c r="E704" s="36">
        <v>2617119</v>
      </c>
      <c r="F704" s="36">
        <f t="shared" ca="1" si="63"/>
        <v>36</v>
      </c>
      <c r="G704" s="36" t="s">
        <v>1950</v>
      </c>
      <c r="H704" s="36"/>
      <c r="I704" s="35"/>
      <c r="J704" s="1"/>
      <c r="K704" s="1"/>
      <c r="L704" s="8"/>
      <c r="M704" s="8"/>
      <c r="N704" s="8"/>
      <c r="O704" s="8"/>
      <c r="P704" s="104"/>
      <c r="Q704" s="5"/>
      <c r="R704" s="8"/>
    </row>
    <row r="705" spans="1:18" x14ac:dyDescent="0.3">
      <c r="A705" s="401"/>
      <c r="B705" s="120"/>
      <c r="C705" s="36" t="s">
        <v>285</v>
      </c>
      <c r="D705" s="37">
        <v>43866</v>
      </c>
      <c r="E705" s="36">
        <v>3218031</v>
      </c>
      <c r="F705" s="36">
        <f t="shared" ca="1" si="63"/>
        <v>6</v>
      </c>
      <c r="G705" s="36"/>
      <c r="H705" s="36"/>
      <c r="I705" s="35"/>
      <c r="J705" s="1"/>
      <c r="K705" s="1"/>
      <c r="L705" s="8"/>
      <c r="M705" s="8"/>
      <c r="N705" s="8"/>
      <c r="O705" s="8"/>
      <c r="P705" s="104"/>
      <c r="Q705" s="5"/>
      <c r="R705" s="8"/>
    </row>
    <row r="706" spans="1:18" s="189" customFormat="1" x14ac:dyDescent="0.3">
      <c r="A706" s="183" t="s">
        <v>1398</v>
      </c>
      <c r="B706" s="112">
        <v>45129</v>
      </c>
      <c r="C706" s="30" t="s">
        <v>550</v>
      </c>
      <c r="D706" s="31">
        <v>32399</v>
      </c>
      <c r="E706" s="30">
        <v>1235220</v>
      </c>
      <c r="F706" s="30">
        <f t="shared" ca="1" si="63"/>
        <v>38</v>
      </c>
      <c r="G706" s="30" t="s">
        <v>1399</v>
      </c>
      <c r="H706" s="30"/>
      <c r="I706" s="29" t="s">
        <v>1951</v>
      </c>
      <c r="J706" s="1"/>
      <c r="K706" s="1"/>
      <c r="L706" s="8"/>
      <c r="M706" s="8"/>
      <c r="N706" s="8"/>
      <c r="O706" s="8"/>
      <c r="P706" s="104"/>
      <c r="Q706" s="5"/>
      <c r="R706" s="8"/>
    </row>
    <row r="707" spans="1:18" x14ac:dyDescent="0.3">
      <c r="A707" s="184" t="s">
        <v>782</v>
      </c>
      <c r="B707" s="117">
        <v>45129</v>
      </c>
      <c r="C707" s="27" t="s">
        <v>1952</v>
      </c>
      <c r="D707" s="28">
        <v>27246</v>
      </c>
      <c r="E707" s="27">
        <v>1701615</v>
      </c>
      <c r="F707" s="27">
        <f t="shared" ca="1" si="63"/>
        <v>52</v>
      </c>
      <c r="G707" s="27" t="s">
        <v>1953</v>
      </c>
      <c r="H707" s="27"/>
      <c r="I707" s="8" t="s">
        <v>1954</v>
      </c>
      <c r="J707" s="1"/>
      <c r="K707" s="1"/>
      <c r="L707" s="8"/>
      <c r="M707" s="8"/>
      <c r="N707" s="8"/>
      <c r="O707" s="8"/>
      <c r="P707" s="104"/>
      <c r="Q707" s="5"/>
      <c r="R707" s="8"/>
    </row>
    <row r="708" spans="1:18" x14ac:dyDescent="0.3">
      <c r="A708" s="414" t="s">
        <v>1955</v>
      </c>
      <c r="B708" s="112">
        <v>45130</v>
      </c>
      <c r="C708" s="30" t="s">
        <v>280</v>
      </c>
      <c r="D708" s="31">
        <v>20338</v>
      </c>
      <c r="E708" s="30">
        <v>1009327</v>
      </c>
      <c r="F708" s="30">
        <f t="shared" ref="F708:F709" ca="1" si="64">YEAR(TODAY())-YEAR(D708)</f>
        <v>71</v>
      </c>
      <c r="G708" s="30" t="s">
        <v>1956</v>
      </c>
      <c r="H708" s="30"/>
      <c r="I708" s="29" t="s">
        <v>1957</v>
      </c>
      <c r="J708" s="1"/>
      <c r="K708" s="1"/>
      <c r="L708" s="8"/>
      <c r="M708" s="8"/>
      <c r="N708" s="8"/>
      <c r="O708" s="8"/>
      <c r="P708" s="104"/>
      <c r="Q708" s="5"/>
      <c r="R708" s="8"/>
    </row>
    <row r="709" spans="1:18" x14ac:dyDescent="0.3">
      <c r="A709" s="414"/>
      <c r="B709" s="113"/>
      <c r="C709" s="30" t="s">
        <v>281</v>
      </c>
      <c r="D709" s="31">
        <v>19633</v>
      </c>
      <c r="E709" s="30">
        <v>2221220</v>
      </c>
      <c r="F709" s="30">
        <f t="shared" ca="1" si="64"/>
        <v>73</v>
      </c>
      <c r="G709" s="30" t="s">
        <v>1958</v>
      </c>
      <c r="H709" s="30"/>
      <c r="I709" s="29"/>
      <c r="J709" s="1"/>
      <c r="K709" s="1"/>
      <c r="L709" s="8"/>
      <c r="M709" s="8"/>
      <c r="N709" s="8"/>
      <c r="O709" s="8"/>
      <c r="P709" s="104"/>
      <c r="Q709" s="5"/>
      <c r="R709" s="8"/>
    </row>
    <row r="710" spans="1:18" s="8" customFormat="1" x14ac:dyDescent="0.3">
      <c r="A710" s="378" t="s">
        <v>1959</v>
      </c>
      <c r="B710" s="273" t="s">
        <v>1960</v>
      </c>
      <c r="C710" s="1" t="s">
        <v>1961</v>
      </c>
      <c r="D710" s="2">
        <v>28755</v>
      </c>
      <c r="E710" s="1">
        <v>1476018</v>
      </c>
      <c r="G710" s="8" t="s">
        <v>1962</v>
      </c>
      <c r="J710" s="1"/>
      <c r="K710" s="1"/>
      <c r="L710" s="8" t="s">
        <v>1963</v>
      </c>
      <c r="P710" s="9"/>
      <c r="Q710" s="3"/>
    </row>
    <row r="711" spans="1:18" x14ac:dyDescent="0.3">
      <c r="A711" s="379"/>
      <c r="B711" s="278"/>
      <c r="C711" s="1" t="s">
        <v>1964</v>
      </c>
      <c r="D711" s="2">
        <v>20092</v>
      </c>
      <c r="E711" s="1">
        <v>2476029</v>
      </c>
      <c r="F711" s="8"/>
      <c r="G711" s="279" t="s">
        <v>1965</v>
      </c>
      <c r="H711" s="8"/>
      <c r="I711" s="8"/>
      <c r="J711" s="1"/>
      <c r="K711" s="1"/>
      <c r="L711" s="8" t="s">
        <v>1966</v>
      </c>
      <c r="M711" s="8"/>
      <c r="N711" s="8"/>
      <c r="O711" s="8"/>
      <c r="P711" s="9"/>
      <c r="Q711" s="3"/>
      <c r="R711" s="8"/>
    </row>
    <row r="712" spans="1:18" x14ac:dyDescent="0.3">
      <c r="A712" s="422" t="s">
        <v>1526</v>
      </c>
      <c r="B712" s="115">
        <v>44766</v>
      </c>
      <c r="C712" s="1" t="s">
        <v>286</v>
      </c>
      <c r="D712" s="2">
        <v>29610</v>
      </c>
      <c r="E712" s="1">
        <v>1350113</v>
      </c>
      <c r="F712" s="1">
        <f ca="1">YEAR(TODAY())-YEAR(D712)</f>
        <v>45</v>
      </c>
      <c r="G712" s="1" t="s">
        <v>1967</v>
      </c>
      <c r="H712" s="1"/>
      <c r="I712" s="8" t="s">
        <v>1968</v>
      </c>
      <c r="J712" s="1"/>
      <c r="K712" s="1"/>
      <c r="L712" s="8"/>
      <c r="M712" s="8"/>
      <c r="N712" s="8"/>
      <c r="O712" s="8"/>
      <c r="P712" s="104"/>
      <c r="Q712" s="5"/>
      <c r="R712" s="8"/>
    </row>
    <row r="713" spans="1:18" x14ac:dyDescent="0.3">
      <c r="A713" s="422"/>
      <c r="B713" s="109"/>
      <c r="C713" s="1" t="s">
        <v>287</v>
      </c>
      <c r="D713" s="2">
        <v>29787</v>
      </c>
      <c r="E713" s="1">
        <v>2012516</v>
      </c>
      <c r="F713" s="1">
        <f ca="1">YEAR(TODAY())-YEAR(D713)</f>
        <v>45</v>
      </c>
      <c r="G713" s="1" t="s">
        <v>1969</v>
      </c>
      <c r="H713" s="1"/>
      <c r="I713" s="8"/>
      <c r="J713" s="1"/>
      <c r="K713" s="1"/>
      <c r="L713" s="8"/>
      <c r="M713" s="8"/>
      <c r="N713" s="8"/>
      <c r="O713" s="8"/>
      <c r="P713" s="104"/>
      <c r="Q713" s="5"/>
      <c r="R713" s="8"/>
    </row>
    <row r="714" spans="1:18" x14ac:dyDescent="0.3">
      <c r="A714" s="422"/>
      <c r="B714" s="109"/>
      <c r="C714" s="1" t="s">
        <v>288</v>
      </c>
      <c r="D714" s="2">
        <v>41351</v>
      </c>
      <c r="E714" s="1">
        <v>3078532</v>
      </c>
      <c r="F714" s="1">
        <f ca="1">YEAR(TODAY())-YEAR(D714)</f>
        <v>13</v>
      </c>
      <c r="G714" s="1"/>
      <c r="H714" s="1"/>
      <c r="I714" s="8"/>
      <c r="J714" s="1"/>
      <c r="K714" s="1"/>
      <c r="L714" s="8"/>
      <c r="M714" s="8"/>
      <c r="N714" s="8"/>
      <c r="O714" s="8"/>
      <c r="P714" s="104"/>
      <c r="Q714" s="5"/>
      <c r="R714" s="8"/>
    </row>
    <row r="715" spans="1:18" x14ac:dyDescent="0.3">
      <c r="A715" s="422"/>
      <c r="B715" s="109"/>
      <c r="C715" s="1" t="s">
        <v>289</v>
      </c>
      <c r="D715" s="2">
        <v>42329</v>
      </c>
      <c r="E715" s="1">
        <v>3078511</v>
      </c>
      <c r="F715" s="1">
        <f ca="1">YEAR(TODAY())-YEAR(D715)</f>
        <v>11</v>
      </c>
      <c r="G715" s="1"/>
      <c r="H715" s="1"/>
      <c r="I715" s="8"/>
      <c r="J715" s="1"/>
      <c r="K715" s="1"/>
      <c r="L715" s="8"/>
      <c r="M715" s="8"/>
      <c r="N715" s="8"/>
      <c r="O715" s="8"/>
      <c r="P715" s="104"/>
      <c r="Q715" s="5"/>
      <c r="R715" s="8"/>
    </row>
    <row r="716" spans="1:18" x14ac:dyDescent="0.3">
      <c r="A716" s="422"/>
      <c r="B716" s="109"/>
      <c r="C716" s="1" t="s">
        <v>290</v>
      </c>
      <c r="D716" s="2">
        <v>18535</v>
      </c>
      <c r="E716" s="1">
        <v>1011913</v>
      </c>
      <c r="F716" s="1">
        <f ca="1">YEAR(TODAY())-YEAR(D716)</f>
        <v>76</v>
      </c>
      <c r="G716" s="1" t="s">
        <v>1970</v>
      </c>
      <c r="H716" s="1"/>
      <c r="I716" s="8"/>
      <c r="J716" s="1"/>
      <c r="K716" s="1"/>
      <c r="L716" s="8"/>
      <c r="M716" s="8"/>
      <c r="N716" s="8"/>
      <c r="O716" s="8"/>
      <c r="P716" s="104"/>
      <c r="Q716" s="5"/>
      <c r="R716" s="8"/>
    </row>
    <row r="717" spans="1:18" s="189" customFormat="1" x14ac:dyDescent="0.3">
      <c r="A717" s="183" t="s">
        <v>1971</v>
      </c>
      <c r="B717" s="112">
        <v>45131</v>
      </c>
      <c r="C717" s="30" t="s">
        <v>291</v>
      </c>
      <c r="D717" s="31">
        <v>27187</v>
      </c>
      <c r="E717" s="30">
        <v>1545610</v>
      </c>
      <c r="F717" s="30">
        <f t="shared" ref="F717" ca="1" si="65">YEAR(TODAY())-YEAR(D717)</f>
        <v>52</v>
      </c>
      <c r="G717" s="30" t="s">
        <v>1972</v>
      </c>
      <c r="H717" s="30"/>
      <c r="I717" s="29" t="s">
        <v>1973</v>
      </c>
      <c r="J717" s="1"/>
      <c r="K717" s="1"/>
      <c r="L717" s="8"/>
      <c r="M717" s="8"/>
      <c r="N717" s="8"/>
      <c r="O717" s="8"/>
      <c r="P717" s="104"/>
      <c r="Q717" s="5"/>
      <c r="R717" s="8"/>
    </row>
    <row r="718" spans="1:18" x14ac:dyDescent="0.3">
      <c r="A718" s="198" t="s">
        <v>1974</v>
      </c>
      <c r="B718" s="120"/>
      <c r="C718" s="36" t="s">
        <v>293</v>
      </c>
      <c r="D718" s="37">
        <v>28692</v>
      </c>
      <c r="E718" s="36">
        <v>1057711</v>
      </c>
      <c r="F718" s="36">
        <f t="shared" ref="F718:F739" ca="1" si="66">YEAR(TODAY())-YEAR(D718)</f>
        <v>48</v>
      </c>
      <c r="G718" s="36" t="s">
        <v>1975</v>
      </c>
      <c r="H718" s="36"/>
      <c r="I718" s="35"/>
      <c r="J718" s="1"/>
      <c r="K718" s="1"/>
      <c r="L718" s="8"/>
      <c r="M718" s="8"/>
      <c r="N718" s="8"/>
      <c r="O718" s="8"/>
      <c r="P718" s="104"/>
      <c r="Q718" s="5"/>
      <c r="R718" s="8"/>
    </row>
    <row r="719" spans="1:18" x14ac:dyDescent="0.3">
      <c r="A719" s="1" t="s">
        <v>876</v>
      </c>
      <c r="B719" s="115">
        <v>45499</v>
      </c>
      <c r="C719" s="1" t="s">
        <v>168</v>
      </c>
      <c r="D719" s="2">
        <v>29699</v>
      </c>
      <c r="E719" s="1">
        <v>1790212</v>
      </c>
      <c r="F719" s="1">
        <f ca="1">YEAR(TODAY())-YEAR(D719)</f>
        <v>45</v>
      </c>
      <c r="G719" s="1" t="s">
        <v>877</v>
      </c>
      <c r="H719" s="1"/>
      <c r="I719" s="8" t="s">
        <v>1976</v>
      </c>
      <c r="J719" s="1" t="s">
        <v>879</v>
      </c>
      <c r="K719" s="1" t="s">
        <v>432</v>
      </c>
      <c r="L719" s="8"/>
      <c r="M719" s="8"/>
      <c r="N719" s="8"/>
      <c r="O719" s="8"/>
      <c r="P719" s="104"/>
      <c r="Q719" s="5"/>
      <c r="R719" s="8"/>
    </row>
    <row r="720" spans="1:18" x14ac:dyDescent="0.3">
      <c r="A720" s="408" t="s">
        <v>1977</v>
      </c>
      <c r="B720" s="112">
        <v>45134</v>
      </c>
      <c r="C720" s="30" t="s">
        <v>1978</v>
      </c>
      <c r="D720" s="31">
        <v>26926</v>
      </c>
      <c r="E720" s="30">
        <v>2267416</v>
      </c>
      <c r="F720" s="30">
        <f t="shared" ca="1" si="66"/>
        <v>53</v>
      </c>
      <c r="G720" s="30" t="s">
        <v>1979</v>
      </c>
      <c r="H720" s="30"/>
      <c r="I720" s="29" t="s">
        <v>1980</v>
      </c>
      <c r="J720" s="1"/>
      <c r="K720" s="1"/>
      <c r="L720" s="8"/>
      <c r="M720" s="8"/>
      <c r="N720" s="8"/>
      <c r="O720" s="8"/>
      <c r="P720" s="104"/>
      <c r="Q720" s="5"/>
      <c r="R720" s="8"/>
    </row>
    <row r="721" spans="1:18" x14ac:dyDescent="0.3">
      <c r="A721" s="410"/>
      <c r="B721" s="113"/>
      <c r="C721" s="30" t="s">
        <v>1981</v>
      </c>
      <c r="D721" s="31">
        <v>17583</v>
      </c>
      <c r="E721" s="30">
        <v>2267411</v>
      </c>
      <c r="F721" s="30">
        <f t="shared" ca="1" si="66"/>
        <v>78</v>
      </c>
      <c r="G721" s="30" t="s">
        <v>1982</v>
      </c>
      <c r="H721" s="30"/>
      <c r="I721" s="29"/>
      <c r="J721" s="1"/>
      <c r="K721" s="1"/>
      <c r="L721" s="8"/>
      <c r="M721" s="8"/>
      <c r="N721" s="8"/>
      <c r="O721" s="8"/>
      <c r="P721" s="104"/>
      <c r="Q721" s="5"/>
      <c r="R721" s="8"/>
    </row>
    <row r="722" spans="1:18" s="76" customFormat="1" x14ac:dyDescent="0.3">
      <c r="A722" s="402" t="s">
        <v>1516</v>
      </c>
      <c r="B722" s="124"/>
      <c r="C722" s="40" t="s">
        <v>1517</v>
      </c>
      <c r="D722" s="41">
        <v>25877</v>
      </c>
      <c r="E722" s="40">
        <v>1451027</v>
      </c>
      <c r="F722" s="40">
        <f t="shared" ca="1" si="66"/>
        <v>56</v>
      </c>
      <c r="G722" s="40" t="s">
        <v>1518</v>
      </c>
      <c r="H722" s="40"/>
      <c r="I722" s="39"/>
      <c r="J722" s="40"/>
      <c r="K722" s="40"/>
      <c r="L722" s="39"/>
      <c r="M722" s="39"/>
      <c r="N722" s="39"/>
      <c r="O722" s="39"/>
      <c r="P722" s="140"/>
      <c r="Q722" s="141"/>
      <c r="R722" s="39"/>
    </row>
    <row r="723" spans="1:18" s="76" customFormat="1" x14ac:dyDescent="0.3">
      <c r="A723" s="437"/>
      <c r="B723" s="118">
        <v>45134</v>
      </c>
      <c r="C723" s="40" t="s">
        <v>1519</v>
      </c>
      <c r="D723" s="41">
        <v>27779</v>
      </c>
      <c r="E723" s="40">
        <v>2451028</v>
      </c>
      <c r="F723" s="40">
        <f t="shared" ca="1" si="66"/>
        <v>50</v>
      </c>
      <c r="G723" s="40" t="s">
        <v>1520</v>
      </c>
      <c r="H723" s="40"/>
      <c r="I723" s="39" t="s">
        <v>1983</v>
      </c>
      <c r="J723" s="40"/>
      <c r="K723" s="40"/>
      <c r="L723" s="39"/>
      <c r="M723" s="39"/>
      <c r="N723" s="39"/>
      <c r="O723" s="39"/>
      <c r="P723" s="140"/>
      <c r="Q723" s="141"/>
      <c r="R723" s="39"/>
    </row>
    <row r="724" spans="1:18" s="76" customFormat="1" x14ac:dyDescent="0.3">
      <c r="A724" s="437"/>
      <c r="B724" s="124"/>
      <c r="C724" s="40" t="s">
        <v>1522</v>
      </c>
      <c r="D724" s="41">
        <v>37916</v>
      </c>
      <c r="E724" s="40">
        <v>4411911</v>
      </c>
      <c r="F724" s="40">
        <f t="shared" ca="1" si="66"/>
        <v>23</v>
      </c>
      <c r="G724" s="40" t="s">
        <v>1523</v>
      </c>
      <c r="H724" s="40"/>
      <c r="I724" s="39"/>
      <c r="J724" s="40"/>
      <c r="K724" s="40"/>
      <c r="L724" s="39"/>
      <c r="M724" s="39"/>
      <c r="N724" s="39"/>
      <c r="O724" s="39"/>
      <c r="P724" s="140"/>
      <c r="Q724" s="141"/>
      <c r="R724" s="39"/>
    </row>
    <row r="725" spans="1:18" s="76" customFormat="1" x14ac:dyDescent="0.3">
      <c r="A725" s="437"/>
      <c r="B725" s="124"/>
      <c r="C725" s="40" t="s">
        <v>1524</v>
      </c>
      <c r="D725" s="41">
        <v>38670</v>
      </c>
      <c r="E725" s="40">
        <v>3411911</v>
      </c>
      <c r="F725" s="40">
        <f t="shared" ca="1" si="66"/>
        <v>21</v>
      </c>
      <c r="G725" s="40"/>
      <c r="H725" s="40"/>
      <c r="I725" s="39"/>
      <c r="J725" s="40"/>
      <c r="K725" s="40"/>
      <c r="L725" s="39"/>
      <c r="M725" s="39"/>
      <c r="N725" s="39"/>
      <c r="O725" s="39"/>
      <c r="P725" s="140"/>
      <c r="Q725" s="141"/>
      <c r="R725" s="39"/>
    </row>
    <row r="726" spans="1:18" s="76" customFormat="1" x14ac:dyDescent="0.3">
      <c r="A726" s="403"/>
      <c r="B726" s="124"/>
      <c r="C726" s="40" t="s">
        <v>1525</v>
      </c>
      <c r="D726" s="41">
        <v>39461</v>
      </c>
      <c r="E726" s="40">
        <v>4475923</v>
      </c>
      <c r="F726" s="40">
        <f t="shared" ca="1" si="66"/>
        <v>18</v>
      </c>
      <c r="G726" s="40"/>
      <c r="H726" s="40"/>
      <c r="I726" s="39"/>
      <c r="J726" s="40"/>
      <c r="K726" s="40"/>
      <c r="L726" s="39"/>
      <c r="M726" s="39"/>
      <c r="N726" s="39"/>
      <c r="O726" s="39"/>
      <c r="P726" s="140"/>
      <c r="Q726" s="141"/>
      <c r="R726" s="39"/>
    </row>
    <row r="727" spans="1:18" x14ac:dyDescent="0.3">
      <c r="A727" s="408" t="s">
        <v>1984</v>
      </c>
      <c r="B727" s="112">
        <v>45135</v>
      </c>
      <c r="C727" s="30" t="s">
        <v>697</v>
      </c>
      <c r="D727" s="31">
        <v>27103</v>
      </c>
      <c r="E727" s="30">
        <v>1252110</v>
      </c>
      <c r="F727" s="30">
        <f t="shared" ca="1" si="66"/>
        <v>52</v>
      </c>
      <c r="G727" s="30" t="s">
        <v>1985</v>
      </c>
      <c r="H727" s="30"/>
      <c r="I727" s="29" t="s">
        <v>1986</v>
      </c>
      <c r="J727" s="1"/>
      <c r="K727" s="1"/>
      <c r="L727" s="8"/>
      <c r="M727" s="8"/>
      <c r="N727" s="8"/>
      <c r="O727" s="8"/>
      <c r="P727" s="104"/>
      <c r="Q727" s="5"/>
      <c r="R727" s="8"/>
    </row>
    <row r="728" spans="1:18" x14ac:dyDescent="0.3">
      <c r="A728" s="410"/>
      <c r="B728" s="113"/>
      <c r="C728" s="30" t="s">
        <v>696</v>
      </c>
      <c r="D728" s="31">
        <v>27671</v>
      </c>
      <c r="E728" s="30">
        <v>2545313</v>
      </c>
      <c r="F728" s="30">
        <f t="shared" ca="1" si="66"/>
        <v>51</v>
      </c>
      <c r="G728" s="30" t="s">
        <v>1987</v>
      </c>
      <c r="H728" s="30"/>
      <c r="I728" s="29"/>
      <c r="J728" s="1"/>
      <c r="K728" s="1"/>
      <c r="L728" s="8" t="s">
        <v>3538</v>
      </c>
      <c r="M728" s="8"/>
      <c r="N728" s="8"/>
      <c r="O728" s="8"/>
      <c r="P728" s="104"/>
      <c r="Q728" s="5"/>
      <c r="R728" s="8"/>
    </row>
    <row r="729" spans="1:18" s="204" customFormat="1" x14ac:dyDescent="0.3">
      <c r="A729" s="420" t="s">
        <v>1988</v>
      </c>
      <c r="B729" s="117">
        <v>45135</v>
      </c>
      <c r="C729" s="27" t="s">
        <v>641</v>
      </c>
      <c r="D729" s="28">
        <v>29647</v>
      </c>
      <c r="E729" s="27">
        <v>1677410</v>
      </c>
      <c r="F729" s="27">
        <f t="shared" ca="1" si="66"/>
        <v>45</v>
      </c>
      <c r="G729" s="27" t="s">
        <v>1989</v>
      </c>
      <c r="H729" s="27"/>
      <c r="I729" s="26" t="s">
        <v>1990</v>
      </c>
      <c r="J729" s="1"/>
      <c r="K729" s="1"/>
      <c r="L729" s="8"/>
      <c r="M729" s="8"/>
      <c r="N729" s="8"/>
      <c r="O729" s="8"/>
      <c r="P729" s="104"/>
      <c r="Q729" s="5"/>
      <c r="R729" s="8"/>
    </row>
    <row r="730" spans="1:18" s="204" customFormat="1" x14ac:dyDescent="0.3">
      <c r="A730" s="421"/>
      <c r="B730" s="121"/>
      <c r="C730" s="27" t="s">
        <v>642</v>
      </c>
      <c r="D730" s="28">
        <v>29999</v>
      </c>
      <c r="E730" s="27">
        <v>2897118</v>
      </c>
      <c r="F730" s="27">
        <f t="shared" ca="1" si="66"/>
        <v>44</v>
      </c>
      <c r="G730" s="27" t="s">
        <v>1991</v>
      </c>
      <c r="H730" s="27"/>
      <c r="I730" s="26"/>
      <c r="J730" s="1"/>
      <c r="K730" s="1"/>
      <c r="L730" s="8"/>
      <c r="M730" s="8"/>
      <c r="N730" s="8"/>
      <c r="O730" s="8"/>
      <c r="P730" s="104"/>
      <c r="Q730" s="5"/>
      <c r="R730" s="8"/>
    </row>
    <row r="731" spans="1:18" s="204" customFormat="1" x14ac:dyDescent="0.3">
      <c r="A731" s="421"/>
      <c r="B731" s="121"/>
      <c r="C731" s="27" t="s">
        <v>643</v>
      </c>
      <c r="D731" s="28">
        <v>42506</v>
      </c>
      <c r="E731" s="27">
        <v>4412829</v>
      </c>
      <c r="F731" s="27">
        <f t="shared" ca="1" si="66"/>
        <v>10</v>
      </c>
      <c r="G731" s="27"/>
      <c r="H731" s="27"/>
      <c r="I731" s="26"/>
      <c r="J731" s="1"/>
      <c r="K731" s="1"/>
      <c r="L731" s="8"/>
      <c r="M731" s="8"/>
      <c r="N731" s="8"/>
      <c r="O731" s="8"/>
      <c r="P731" s="104"/>
      <c r="Q731" s="5"/>
      <c r="R731" s="8"/>
    </row>
    <row r="732" spans="1:18" x14ac:dyDescent="0.3">
      <c r="A732" s="182" t="s">
        <v>1992</v>
      </c>
      <c r="B732" s="115">
        <v>45136</v>
      </c>
      <c r="C732" s="1" t="s">
        <v>1993</v>
      </c>
      <c r="D732" s="2">
        <v>22231</v>
      </c>
      <c r="E732" s="1">
        <v>1476518</v>
      </c>
      <c r="F732" s="1">
        <f t="shared" ca="1" si="66"/>
        <v>66</v>
      </c>
      <c r="G732" s="1"/>
      <c r="H732" s="1"/>
      <c r="I732" s="8" t="s">
        <v>1994</v>
      </c>
      <c r="J732" s="1"/>
      <c r="K732" s="1"/>
      <c r="L732" s="8"/>
      <c r="M732" s="8"/>
      <c r="N732" s="8"/>
      <c r="O732" s="8"/>
      <c r="P732" s="104"/>
      <c r="Q732" s="5"/>
      <c r="R732" s="8"/>
    </row>
    <row r="733" spans="1:18" x14ac:dyDescent="0.3">
      <c r="A733" s="394" t="s">
        <v>1974</v>
      </c>
      <c r="B733" s="119">
        <v>44772</v>
      </c>
      <c r="C733" s="36" t="s">
        <v>294</v>
      </c>
      <c r="D733" s="37">
        <v>28890</v>
      </c>
      <c r="E733" s="36">
        <v>2476616</v>
      </c>
      <c r="F733" s="36">
        <f t="shared" ca="1" si="66"/>
        <v>47</v>
      </c>
      <c r="G733" s="36" t="s">
        <v>1995</v>
      </c>
      <c r="H733" s="36"/>
      <c r="I733" s="35" t="s">
        <v>1996</v>
      </c>
      <c r="J733" s="1"/>
      <c r="K733" s="1"/>
      <c r="L733" s="8"/>
      <c r="M733" s="8"/>
      <c r="N733" s="8"/>
      <c r="O733" s="8"/>
      <c r="P733" s="104"/>
      <c r="Q733" s="5"/>
      <c r="R733" s="8"/>
    </row>
    <row r="734" spans="1:18" x14ac:dyDescent="0.3">
      <c r="A734" s="394"/>
      <c r="B734" s="120"/>
      <c r="C734" s="36" t="s">
        <v>295</v>
      </c>
      <c r="D734" s="37">
        <v>39125</v>
      </c>
      <c r="E734" s="36">
        <v>3412510</v>
      </c>
      <c r="F734" s="36">
        <f t="shared" ca="1" si="66"/>
        <v>19</v>
      </c>
      <c r="G734" s="36"/>
      <c r="H734" s="36"/>
      <c r="I734" s="35"/>
      <c r="J734" s="1"/>
      <c r="K734" s="1"/>
      <c r="L734" s="8"/>
      <c r="M734" s="8"/>
      <c r="N734" s="8"/>
      <c r="O734" s="8"/>
      <c r="P734" s="104"/>
      <c r="Q734" s="5"/>
      <c r="R734" s="8"/>
    </row>
    <row r="735" spans="1:18" x14ac:dyDescent="0.3">
      <c r="A735" s="394"/>
      <c r="B735" s="120"/>
      <c r="C735" s="36" t="s">
        <v>296</v>
      </c>
      <c r="D735" s="37">
        <v>39683</v>
      </c>
      <c r="E735" s="36">
        <v>4412511</v>
      </c>
      <c r="F735" s="36">
        <f t="shared" ca="1" si="66"/>
        <v>18</v>
      </c>
      <c r="G735" s="36"/>
      <c r="H735" s="36"/>
      <c r="I735" s="35"/>
      <c r="J735" s="1"/>
      <c r="K735" s="1"/>
      <c r="L735" s="8"/>
      <c r="M735" s="8"/>
      <c r="N735" s="8"/>
      <c r="O735" s="8"/>
      <c r="P735" s="104"/>
      <c r="Q735" s="5"/>
      <c r="R735" s="8"/>
    </row>
    <row r="736" spans="1:18" x14ac:dyDescent="0.3">
      <c r="A736" s="394"/>
      <c r="B736" s="120"/>
      <c r="C736" s="36" t="s">
        <v>297</v>
      </c>
      <c r="D736" s="37">
        <v>40396</v>
      </c>
      <c r="E736" s="36">
        <v>4412512</v>
      </c>
      <c r="F736" s="36">
        <f t="shared" ca="1" si="66"/>
        <v>16</v>
      </c>
      <c r="G736" s="36"/>
      <c r="H736" s="36"/>
      <c r="I736" s="35"/>
      <c r="J736" s="1"/>
      <c r="K736" s="1"/>
      <c r="L736" s="8"/>
      <c r="M736" s="8"/>
      <c r="N736" s="8"/>
      <c r="O736" s="8"/>
      <c r="P736" s="104"/>
      <c r="Q736" s="5"/>
      <c r="R736" s="8"/>
    </row>
    <row r="737" spans="1:18" s="189" customFormat="1" x14ac:dyDescent="0.3">
      <c r="A737" s="408" t="s">
        <v>1997</v>
      </c>
      <c r="B737" s="112">
        <v>45138</v>
      </c>
      <c r="C737" s="30" t="s">
        <v>1998</v>
      </c>
      <c r="D737" s="31">
        <v>32577</v>
      </c>
      <c r="E737" s="30">
        <v>1178712</v>
      </c>
      <c r="F737" s="30">
        <f t="shared" ref="F737" ca="1" si="67">YEAR(TODAY())-YEAR(D737)</f>
        <v>37</v>
      </c>
      <c r="G737" s="30"/>
      <c r="H737" s="30"/>
      <c r="I737" s="29" t="s">
        <v>1999</v>
      </c>
      <c r="J737" s="1"/>
      <c r="K737" s="1"/>
      <c r="L737" s="8"/>
      <c r="M737" s="8"/>
      <c r="N737" s="8"/>
      <c r="O737" s="8"/>
      <c r="P737" s="104"/>
      <c r="Q737" s="5"/>
      <c r="R737" s="8"/>
    </row>
    <row r="738" spans="1:18" s="189" customFormat="1" x14ac:dyDescent="0.3">
      <c r="A738" s="409"/>
      <c r="B738" s="113"/>
      <c r="C738" s="30" t="s">
        <v>2000</v>
      </c>
      <c r="D738" s="31">
        <v>31921</v>
      </c>
      <c r="E738" s="30">
        <v>2411513</v>
      </c>
      <c r="F738" s="30">
        <f t="shared" ca="1" si="66"/>
        <v>39</v>
      </c>
      <c r="G738" s="30"/>
      <c r="H738" s="30"/>
      <c r="I738" s="29"/>
      <c r="J738" s="1"/>
      <c r="K738" s="1"/>
      <c r="L738" s="8"/>
      <c r="M738" s="8"/>
      <c r="N738" s="8"/>
      <c r="O738" s="8"/>
      <c r="P738" s="104"/>
      <c r="Q738" s="5"/>
      <c r="R738" s="8"/>
    </row>
    <row r="739" spans="1:18" s="189" customFormat="1" x14ac:dyDescent="0.3">
      <c r="A739" s="410"/>
      <c r="B739" s="112"/>
      <c r="C739" s="30" t="s">
        <v>2001</v>
      </c>
      <c r="D739" s="31">
        <v>32722</v>
      </c>
      <c r="E739" s="30">
        <v>2411711</v>
      </c>
      <c r="F739" s="30">
        <f t="shared" ca="1" si="66"/>
        <v>37</v>
      </c>
      <c r="G739" s="30"/>
      <c r="H739" s="30"/>
      <c r="I739" s="29"/>
      <c r="J739" s="1"/>
      <c r="K739" s="1"/>
      <c r="L739" s="8"/>
      <c r="M739" s="8"/>
      <c r="N739" s="8"/>
      <c r="O739" s="8"/>
      <c r="P739" s="104"/>
      <c r="Q739" s="5"/>
      <c r="R739" s="8"/>
    </row>
    <row r="740" spans="1:18" x14ac:dyDescent="0.3">
      <c r="A740" s="184" t="s">
        <v>1793</v>
      </c>
      <c r="B740" s="117">
        <v>44410</v>
      </c>
      <c r="C740" s="27" t="s">
        <v>226</v>
      </c>
      <c r="D740" s="28">
        <v>26300</v>
      </c>
      <c r="E740" s="27">
        <v>1573311</v>
      </c>
      <c r="F740" s="27">
        <f t="shared" ref="F740:F776" ca="1" si="68">YEAR(TODAY())-YEAR(D740)</f>
        <v>54</v>
      </c>
      <c r="G740" s="27" t="s">
        <v>1794</v>
      </c>
      <c r="H740" s="27"/>
      <c r="I740" s="26" t="s">
        <v>2002</v>
      </c>
      <c r="J740" s="1"/>
      <c r="K740" s="1"/>
      <c r="L740" s="8"/>
      <c r="M740" s="8"/>
      <c r="N740" s="8"/>
      <c r="O740" s="8"/>
      <c r="P740" s="104"/>
      <c r="Q740" s="5"/>
      <c r="R740" s="8"/>
    </row>
    <row r="741" spans="1:18" s="185" customFormat="1" x14ac:dyDescent="0.3">
      <c r="A741" s="198" t="s">
        <v>2003</v>
      </c>
      <c r="B741" s="119">
        <v>45140</v>
      </c>
      <c r="C741" s="36" t="s">
        <v>573</v>
      </c>
      <c r="D741" s="37">
        <v>33656</v>
      </c>
      <c r="E741" s="36">
        <v>2412017</v>
      </c>
      <c r="F741" s="36">
        <f t="shared" ca="1" si="68"/>
        <v>34</v>
      </c>
      <c r="G741" s="36" t="s">
        <v>2004</v>
      </c>
      <c r="H741" s="36"/>
      <c r="I741" s="35" t="s">
        <v>2005</v>
      </c>
      <c r="J741" s="1"/>
      <c r="K741" s="1"/>
      <c r="L741" s="8"/>
      <c r="M741" s="8"/>
      <c r="N741" s="8"/>
      <c r="O741" s="8"/>
      <c r="P741" s="104"/>
      <c r="Q741" s="5"/>
      <c r="R741" s="8"/>
    </row>
    <row r="742" spans="1:18" s="193" customFormat="1" x14ac:dyDescent="0.3">
      <c r="A742" s="388" t="s">
        <v>2006</v>
      </c>
      <c r="B742" s="110">
        <v>45140</v>
      </c>
      <c r="C742" s="33" t="s">
        <v>2007</v>
      </c>
      <c r="D742" s="34">
        <v>26160</v>
      </c>
      <c r="E742" s="33">
        <v>1469027</v>
      </c>
      <c r="F742" s="33">
        <f t="shared" ca="1" si="68"/>
        <v>55</v>
      </c>
      <c r="G742" s="33"/>
      <c r="H742" s="33"/>
      <c r="I742" s="32" t="s">
        <v>2008</v>
      </c>
      <c r="J742" s="1"/>
      <c r="K742" s="1"/>
      <c r="L742" s="8"/>
      <c r="M742" s="8"/>
      <c r="N742" s="8"/>
      <c r="O742" s="8"/>
      <c r="P742" s="104"/>
      <c r="Q742" s="5"/>
      <c r="R742" s="8"/>
    </row>
    <row r="743" spans="1:18" s="193" customFormat="1" x14ac:dyDescent="0.3">
      <c r="A743" s="389"/>
      <c r="B743" s="111"/>
      <c r="C743" s="33" t="s">
        <v>2009</v>
      </c>
      <c r="D743" s="34">
        <v>26813</v>
      </c>
      <c r="E743" s="33">
        <v>2031214</v>
      </c>
      <c r="F743" s="33">
        <f t="shared" ca="1" si="68"/>
        <v>53</v>
      </c>
      <c r="G743" s="33" t="s">
        <v>2010</v>
      </c>
      <c r="H743" s="33"/>
      <c r="I743" s="32"/>
      <c r="J743" s="1"/>
      <c r="K743" s="1"/>
      <c r="L743" s="8"/>
      <c r="M743" s="8"/>
      <c r="N743" s="8"/>
      <c r="O743" s="8"/>
      <c r="P743" s="104"/>
      <c r="Q743" s="5"/>
      <c r="R743" s="8"/>
    </row>
    <row r="744" spans="1:18" s="193" customFormat="1" x14ac:dyDescent="0.3">
      <c r="A744" s="389"/>
      <c r="B744" s="111"/>
      <c r="C744" s="33" t="s">
        <v>2011</v>
      </c>
      <c r="D744" s="34">
        <v>36557</v>
      </c>
      <c r="E744" s="33">
        <v>4449524</v>
      </c>
      <c r="F744" s="33">
        <f t="shared" ca="1" si="68"/>
        <v>26</v>
      </c>
      <c r="G744" s="33"/>
      <c r="H744" s="33"/>
      <c r="I744" s="32"/>
      <c r="J744" s="1"/>
      <c r="K744" s="1"/>
      <c r="L744" s="8"/>
      <c r="M744" s="8"/>
      <c r="N744" s="8"/>
      <c r="O744" s="8"/>
      <c r="P744" s="104"/>
      <c r="Q744" s="5"/>
      <c r="R744" s="8"/>
    </row>
    <row r="745" spans="1:18" s="193" customFormat="1" x14ac:dyDescent="0.3">
      <c r="A745" s="389"/>
      <c r="B745" s="111"/>
      <c r="C745" s="33" t="s">
        <v>2012</v>
      </c>
      <c r="D745" s="34">
        <v>38006</v>
      </c>
      <c r="E745" s="33">
        <v>3407817</v>
      </c>
      <c r="F745" s="33">
        <f t="shared" ca="1" si="68"/>
        <v>22</v>
      </c>
      <c r="G745" s="33"/>
      <c r="H745" s="33"/>
      <c r="I745" s="32"/>
      <c r="J745" s="1"/>
      <c r="K745" s="1"/>
      <c r="L745" s="8"/>
      <c r="M745" s="8"/>
      <c r="N745" s="8"/>
      <c r="O745" s="8"/>
      <c r="P745" s="104"/>
      <c r="Q745" s="5"/>
      <c r="R745" s="8"/>
    </row>
    <row r="746" spans="1:18" x14ac:dyDescent="0.3">
      <c r="A746" s="183" t="s">
        <v>1251</v>
      </c>
      <c r="B746" s="112">
        <v>44776</v>
      </c>
      <c r="C746" s="30" t="s">
        <v>99</v>
      </c>
      <c r="D746" s="31">
        <v>18224</v>
      </c>
      <c r="E746" s="30">
        <v>1823616</v>
      </c>
      <c r="F746" s="30">
        <f t="shared" ca="1" si="68"/>
        <v>77</v>
      </c>
      <c r="G746" s="30" t="s">
        <v>1255</v>
      </c>
      <c r="H746" s="30"/>
      <c r="I746" s="29" t="s">
        <v>2013</v>
      </c>
      <c r="J746" s="1"/>
      <c r="K746" s="1"/>
      <c r="L746" s="8"/>
      <c r="M746" s="8"/>
      <c r="N746" s="8"/>
      <c r="O746" s="8"/>
      <c r="P746" s="104"/>
      <c r="Q746" s="5"/>
      <c r="R746" s="8"/>
    </row>
    <row r="747" spans="1:18" x14ac:dyDescent="0.3">
      <c r="A747" s="239" t="s">
        <v>1697</v>
      </c>
      <c r="B747" s="116">
        <v>45143</v>
      </c>
      <c r="C747" s="22" t="s">
        <v>218</v>
      </c>
      <c r="D747" s="25">
        <v>29689</v>
      </c>
      <c r="E747" s="22">
        <v>1462415</v>
      </c>
      <c r="F747" s="22">
        <f t="shared" ca="1" si="68"/>
        <v>45</v>
      </c>
      <c r="G747" s="22" t="s">
        <v>1743</v>
      </c>
      <c r="H747" s="22"/>
      <c r="I747" s="21" t="s">
        <v>2014</v>
      </c>
      <c r="J747" s="1"/>
      <c r="K747" s="1"/>
      <c r="L747" s="8"/>
      <c r="M747" s="8"/>
      <c r="N747" s="8"/>
      <c r="O747" s="8"/>
      <c r="P747" s="104"/>
      <c r="Q747" s="5"/>
      <c r="R747" s="8"/>
    </row>
    <row r="748" spans="1:18" x14ac:dyDescent="0.3">
      <c r="A748" s="198" t="s">
        <v>1871</v>
      </c>
      <c r="B748" s="119">
        <v>44779</v>
      </c>
      <c r="C748" s="36" t="s">
        <v>252</v>
      </c>
      <c r="D748" s="37">
        <v>28318</v>
      </c>
      <c r="E748" s="36">
        <v>2464517</v>
      </c>
      <c r="F748" s="36">
        <f t="shared" ca="1" si="68"/>
        <v>49</v>
      </c>
      <c r="G748" s="36" t="s">
        <v>1874</v>
      </c>
      <c r="H748" s="36"/>
      <c r="I748" s="35" t="s">
        <v>2015</v>
      </c>
      <c r="J748" s="1"/>
      <c r="K748" s="1"/>
      <c r="L748" s="8"/>
      <c r="M748" s="8"/>
      <c r="N748" s="8"/>
      <c r="O748" s="8"/>
      <c r="P748" s="104"/>
      <c r="Q748" s="5"/>
      <c r="R748" s="8"/>
    </row>
    <row r="749" spans="1:18" x14ac:dyDescent="0.3">
      <c r="A749" s="398" t="s">
        <v>2016</v>
      </c>
      <c r="B749" s="121"/>
      <c r="C749" s="27" t="s">
        <v>2017</v>
      </c>
      <c r="D749" s="28">
        <v>19622</v>
      </c>
      <c r="E749" s="27">
        <v>1227213</v>
      </c>
      <c r="F749" s="27">
        <f t="shared" ca="1" si="68"/>
        <v>73</v>
      </c>
      <c r="G749" s="27" t="s">
        <v>2018</v>
      </c>
      <c r="H749" s="27"/>
      <c r="I749" s="26"/>
      <c r="J749" s="27" t="s">
        <v>2019</v>
      </c>
      <c r="K749" s="27" t="s">
        <v>2020</v>
      </c>
      <c r="L749" s="8"/>
      <c r="M749" s="8"/>
      <c r="N749" s="8"/>
      <c r="O749" s="8"/>
      <c r="P749" s="9"/>
      <c r="Q749" s="3"/>
      <c r="R749" s="8"/>
    </row>
    <row r="750" spans="1:18" x14ac:dyDescent="0.3">
      <c r="A750" s="438"/>
      <c r="B750" s="117">
        <v>45147</v>
      </c>
      <c r="C750" s="27" t="s">
        <v>2021</v>
      </c>
      <c r="D750" s="28">
        <v>19607</v>
      </c>
      <c r="E750" s="27">
        <v>2478313</v>
      </c>
      <c r="F750" s="27">
        <f t="shared" ca="1" si="68"/>
        <v>73</v>
      </c>
      <c r="G750" s="27" t="s">
        <v>2022</v>
      </c>
      <c r="H750" s="27"/>
      <c r="I750" s="26" t="s">
        <v>2023</v>
      </c>
      <c r="J750" s="27" t="s">
        <v>2024</v>
      </c>
      <c r="K750" s="27" t="s">
        <v>2025</v>
      </c>
      <c r="L750" s="8"/>
      <c r="M750" s="8"/>
      <c r="N750" s="8"/>
      <c r="O750" s="8"/>
      <c r="P750" s="9"/>
      <c r="Q750" s="3"/>
      <c r="R750" s="8"/>
    </row>
    <row r="751" spans="1:18" x14ac:dyDescent="0.3">
      <c r="A751" s="439" t="s">
        <v>757</v>
      </c>
      <c r="B751" s="118">
        <v>44783</v>
      </c>
      <c r="C751" s="40" t="s">
        <v>299</v>
      </c>
      <c r="D751" s="41">
        <v>28377</v>
      </c>
      <c r="E751" s="40">
        <v>1455911</v>
      </c>
      <c r="F751" s="40">
        <f t="shared" ca="1" si="68"/>
        <v>49</v>
      </c>
      <c r="G751" s="40" t="s">
        <v>758</v>
      </c>
      <c r="H751" s="40"/>
      <c r="I751" s="39" t="s">
        <v>2026</v>
      </c>
      <c r="J751" s="1" t="s">
        <v>300</v>
      </c>
      <c r="K751" s="1"/>
      <c r="L751" s="8"/>
      <c r="M751" s="8"/>
      <c r="N751" s="8"/>
      <c r="O751" s="8"/>
      <c r="P751" s="104"/>
      <c r="Q751" s="5"/>
      <c r="R751" s="8"/>
    </row>
    <row r="752" spans="1:18" x14ac:dyDescent="0.3">
      <c r="A752" s="440"/>
      <c r="B752" s="124"/>
      <c r="C752" s="40" t="s">
        <v>208</v>
      </c>
      <c r="D752" s="41">
        <v>29478</v>
      </c>
      <c r="E752" s="40">
        <v>2542812</v>
      </c>
      <c r="F752" s="40">
        <f t="shared" ca="1" si="68"/>
        <v>46</v>
      </c>
      <c r="G752" s="40" t="s">
        <v>2027</v>
      </c>
      <c r="H752" s="40"/>
      <c r="I752" s="39"/>
      <c r="J752" s="1" t="s">
        <v>301</v>
      </c>
      <c r="K752" s="1"/>
      <c r="L752" s="8"/>
      <c r="M752" s="8"/>
      <c r="N752" s="8"/>
      <c r="O752" s="8"/>
      <c r="P752" s="104"/>
      <c r="Q752" s="5"/>
      <c r="R752" s="8"/>
    </row>
    <row r="753" spans="1:18" x14ac:dyDescent="0.3">
      <c r="A753" s="440"/>
      <c r="B753" s="124"/>
      <c r="C753" s="40" t="s">
        <v>302</v>
      </c>
      <c r="D753" s="41">
        <v>42665</v>
      </c>
      <c r="E753" s="40">
        <v>4412919</v>
      </c>
      <c r="F753" s="40">
        <f t="shared" ca="1" si="68"/>
        <v>10</v>
      </c>
      <c r="G753" s="40"/>
      <c r="H753" s="40"/>
      <c r="I753" s="39"/>
      <c r="J753" s="1"/>
      <c r="K753" s="1"/>
      <c r="L753" s="8"/>
      <c r="M753" s="8"/>
      <c r="N753" s="8"/>
      <c r="O753" s="8"/>
      <c r="P753" s="104"/>
      <c r="Q753" s="5"/>
      <c r="R753" s="8"/>
    </row>
    <row r="754" spans="1:18" x14ac:dyDescent="0.3">
      <c r="A754" s="440"/>
      <c r="B754" s="124"/>
      <c r="C754" s="40" t="s">
        <v>303</v>
      </c>
      <c r="D754" s="41">
        <v>43693</v>
      </c>
      <c r="E754" s="40">
        <v>3542815</v>
      </c>
      <c r="F754" s="40">
        <f t="shared" ca="1" si="68"/>
        <v>7</v>
      </c>
      <c r="G754" s="40"/>
      <c r="H754" s="40"/>
      <c r="I754" s="39"/>
      <c r="J754" s="1"/>
      <c r="K754" s="1"/>
      <c r="L754" s="8"/>
      <c r="M754" s="8"/>
      <c r="N754" s="8"/>
      <c r="O754" s="8"/>
      <c r="P754" s="104"/>
      <c r="Q754" s="5"/>
      <c r="R754" s="8"/>
    </row>
    <row r="755" spans="1:18" s="8" customFormat="1" x14ac:dyDescent="0.3">
      <c r="A755" s="267" t="s">
        <v>2028</v>
      </c>
      <c r="B755" s="276">
        <v>45515</v>
      </c>
      <c r="C755" s="1" t="s">
        <v>1888</v>
      </c>
      <c r="D755" s="2">
        <v>27912</v>
      </c>
      <c r="E755" s="1">
        <v>1631825</v>
      </c>
      <c r="F755" s="1">
        <f t="shared" ref="F755:F761" ca="1" si="69">YEAR(TODAY())-YEAR(D755)</f>
        <v>50</v>
      </c>
      <c r="G755" s="8" t="s">
        <v>1889</v>
      </c>
      <c r="I755" s="8" t="s">
        <v>2029</v>
      </c>
      <c r="J755" s="1"/>
      <c r="K755" s="1"/>
      <c r="P755" s="9"/>
      <c r="Q755" s="3"/>
    </row>
    <row r="756" spans="1:18" s="8" customFormat="1" x14ac:dyDescent="0.3">
      <c r="A756" s="283"/>
      <c r="B756" s="273"/>
      <c r="C756" s="1" t="s">
        <v>2030</v>
      </c>
      <c r="D756" s="2">
        <v>28388</v>
      </c>
      <c r="E756" s="1"/>
      <c r="F756" s="1">
        <f t="shared" ca="1" si="69"/>
        <v>49</v>
      </c>
      <c r="G756" s="8" t="s">
        <v>2031</v>
      </c>
      <c r="J756" s="1"/>
      <c r="K756" s="1"/>
      <c r="P756" s="9"/>
      <c r="Q756" s="3"/>
    </row>
    <row r="757" spans="1:18" s="8" customFormat="1" x14ac:dyDescent="0.3">
      <c r="A757" s="284"/>
      <c r="B757" s="273"/>
      <c r="C757" s="1" t="s">
        <v>2032</v>
      </c>
      <c r="D757" s="2">
        <v>23335</v>
      </c>
      <c r="E757" s="1">
        <v>1478515</v>
      </c>
      <c r="F757" s="1">
        <f t="shared" ca="1" si="69"/>
        <v>63</v>
      </c>
      <c r="G757" s="8" t="s">
        <v>2033</v>
      </c>
      <c r="J757" s="1"/>
      <c r="K757" s="1"/>
      <c r="P757" s="9"/>
      <c r="Q757" s="3"/>
    </row>
    <row r="758" spans="1:18" s="189" customFormat="1" x14ac:dyDescent="0.3">
      <c r="A758" s="414" t="s">
        <v>1653</v>
      </c>
      <c r="B758" s="112">
        <v>45150</v>
      </c>
      <c r="C758" s="30" t="s">
        <v>212</v>
      </c>
      <c r="D758" s="31">
        <v>21353</v>
      </c>
      <c r="E758" s="30">
        <v>1079515</v>
      </c>
      <c r="F758" s="30">
        <f t="shared" ca="1" si="69"/>
        <v>68</v>
      </c>
      <c r="G758" s="30" t="s">
        <v>1654</v>
      </c>
      <c r="H758" s="30"/>
      <c r="I758" s="29" t="s">
        <v>2034</v>
      </c>
      <c r="J758" s="1"/>
      <c r="K758" s="1"/>
      <c r="L758" s="8"/>
      <c r="M758" s="8"/>
      <c r="N758" s="8"/>
      <c r="O758" s="8"/>
      <c r="P758" s="104"/>
      <c r="Q758" s="5"/>
      <c r="R758" s="8"/>
    </row>
    <row r="759" spans="1:18" s="189" customFormat="1" x14ac:dyDescent="0.3">
      <c r="A759" s="415"/>
      <c r="B759" s="113"/>
      <c r="C759" s="30" t="s">
        <v>213</v>
      </c>
      <c r="D759" s="31">
        <v>24793</v>
      </c>
      <c r="E759" s="30">
        <v>2173425</v>
      </c>
      <c r="F759" s="30">
        <f t="shared" ca="1" si="69"/>
        <v>59</v>
      </c>
      <c r="G759" s="30" t="s">
        <v>1655</v>
      </c>
      <c r="H759" s="30"/>
      <c r="I759" s="29"/>
      <c r="J759" s="1">
        <v>202006</v>
      </c>
      <c r="K759" s="1"/>
      <c r="L759" s="8"/>
      <c r="M759" s="8"/>
      <c r="N759" s="8"/>
      <c r="O759" s="8"/>
      <c r="P759" s="104"/>
      <c r="Q759" s="5"/>
      <c r="R759" s="8"/>
    </row>
    <row r="760" spans="1:18" s="189" customFormat="1" x14ac:dyDescent="0.3">
      <c r="A760" s="415"/>
      <c r="B760" s="113"/>
      <c r="C760" s="30" t="s">
        <v>214</v>
      </c>
      <c r="D760" s="31">
        <v>33526</v>
      </c>
      <c r="E760" s="30">
        <v>2083211</v>
      </c>
      <c r="F760" s="30">
        <f t="shared" ca="1" si="69"/>
        <v>35</v>
      </c>
      <c r="G760" s="30" t="s">
        <v>1657</v>
      </c>
      <c r="H760" s="30"/>
      <c r="I760" s="29"/>
      <c r="J760" s="1"/>
      <c r="K760" s="1"/>
      <c r="L760" s="8"/>
      <c r="M760" s="8"/>
      <c r="N760" s="8"/>
      <c r="O760" s="8"/>
      <c r="P760" s="104"/>
      <c r="Q760" s="5"/>
      <c r="R760" s="8"/>
    </row>
    <row r="761" spans="1:18" s="189" customFormat="1" x14ac:dyDescent="0.3">
      <c r="A761" s="415"/>
      <c r="B761" s="113"/>
      <c r="C761" s="30" t="s">
        <v>215</v>
      </c>
      <c r="D761" s="31">
        <v>34295</v>
      </c>
      <c r="E761" s="30">
        <v>1083212</v>
      </c>
      <c r="F761" s="30">
        <f t="shared" ca="1" si="69"/>
        <v>33</v>
      </c>
      <c r="G761" s="30" t="s">
        <v>1658</v>
      </c>
      <c r="H761" s="30"/>
      <c r="I761" s="29"/>
      <c r="J761" s="1"/>
      <c r="K761" s="1"/>
      <c r="L761" s="8"/>
      <c r="M761" s="8"/>
      <c r="N761" s="8"/>
      <c r="O761" s="8"/>
      <c r="P761" s="104"/>
      <c r="Q761" s="5"/>
      <c r="R761" s="8"/>
    </row>
    <row r="762" spans="1:18" x14ac:dyDescent="0.3">
      <c r="A762" s="187" t="s">
        <v>1808</v>
      </c>
      <c r="B762" s="118">
        <v>45150</v>
      </c>
      <c r="C762" s="207" t="s">
        <v>2035</v>
      </c>
      <c r="D762" s="208">
        <v>25162</v>
      </c>
      <c r="E762" s="207">
        <v>1388315</v>
      </c>
      <c r="F762" s="207">
        <f t="shared" ref="F762" ca="1" si="70">YEAR(TODAY())-YEAR(D762)</f>
        <v>58</v>
      </c>
      <c r="G762" s="207" t="s">
        <v>1810</v>
      </c>
      <c r="H762" s="207"/>
      <c r="I762" s="209" t="s">
        <v>2036</v>
      </c>
      <c r="J762" s="1"/>
      <c r="K762" s="1"/>
      <c r="L762" s="8"/>
      <c r="M762" s="8"/>
      <c r="N762" s="8"/>
      <c r="O762" s="8"/>
      <c r="P762" s="104"/>
      <c r="Q762" s="5"/>
      <c r="R762" s="8"/>
    </row>
    <row r="763" spans="1:18" s="204" customFormat="1" x14ac:dyDescent="0.3">
      <c r="A763" s="398" t="s">
        <v>2037</v>
      </c>
      <c r="B763" s="117">
        <v>45150</v>
      </c>
      <c r="C763" s="27" t="s">
        <v>583</v>
      </c>
      <c r="D763" s="28">
        <v>25325</v>
      </c>
      <c r="E763" s="27">
        <v>1031330</v>
      </c>
      <c r="F763" s="27">
        <f t="shared" ca="1" si="68"/>
        <v>57</v>
      </c>
      <c r="G763" s="27" t="s">
        <v>2038</v>
      </c>
      <c r="H763" s="27"/>
      <c r="I763" s="26" t="s">
        <v>2039</v>
      </c>
      <c r="J763" s="1"/>
      <c r="K763" s="1"/>
      <c r="L763" s="8"/>
      <c r="M763" s="8"/>
      <c r="N763" s="8"/>
      <c r="O763" s="8"/>
      <c r="P763" s="104"/>
      <c r="Q763" s="5"/>
      <c r="R763" s="8"/>
    </row>
    <row r="764" spans="1:18" s="204" customFormat="1" x14ac:dyDescent="0.3">
      <c r="A764" s="399"/>
      <c r="B764" s="121"/>
      <c r="C764" s="27" t="s">
        <v>584</v>
      </c>
      <c r="D764" s="28">
        <v>26410</v>
      </c>
      <c r="E764" s="27">
        <v>2031324</v>
      </c>
      <c r="F764" s="27">
        <f t="shared" ca="1" si="68"/>
        <v>54</v>
      </c>
      <c r="G764" s="27" t="s">
        <v>2040</v>
      </c>
      <c r="H764" s="27"/>
      <c r="I764" s="26"/>
      <c r="J764" s="1"/>
      <c r="K764" s="1"/>
      <c r="L764" s="8"/>
      <c r="M764" s="8"/>
      <c r="N764" s="8"/>
      <c r="O764" s="8"/>
      <c r="P764" s="104"/>
      <c r="Q764" s="5"/>
      <c r="R764" s="8"/>
    </row>
    <row r="765" spans="1:18" s="204" customFormat="1" x14ac:dyDescent="0.3">
      <c r="A765" s="399"/>
      <c r="B765" s="121"/>
      <c r="C765" s="27" t="s">
        <v>585</v>
      </c>
      <c r="D765" s="28">
        <v>40326</v>
      </c>
      <c r="E765" s="27">
        <v>3412525</v>
      </c>
      <c r="F765" s="27">
        <f t="shared" ca="1" si="68"/>
        <v>16</v>
      </c>
      <c r="G765" s="27"/>
      <c r="H765" s="27"/>
      <c r="I765" s="26"/>
      <c r="J765" s="1"/>
      <c r="K765" s="1"/>
      <c r="L765" s="8"/>
      <c r="M765" s="8"/>
      <c r="N765" s="8"/>
      <c r="O765" s="8"/>
      <c r="P765" s="104"/>
      <c r="Q765" s="5"/>
      <c r="R765" s="8"/>
    </row>
    <row r="766" spans="1:18" s="204" customFormat="1" x14ac:dyDescent="0.3">
      <c r="A766" s="379"/>
      <c r="B766" s="121"/>
      <c r="C766" s="27" t="s">
        <v>2041</v>
      </c>
      <c r="D766" s="28">
        <v>14580</v>
      </c>
      <c r="E766" s="27">
        <v>2031313</v>
      </c>
      <c r="F766" s="27"/>
      <c r="G766" s="27" t="s">
        <v>2042</v>
      </c>
      <c r="H766" s="27"/>
      <c r="I766" s="26"/>
      <c r="J766" s="1"/>
      <c r="K766" s="1"/>
      <c r="L766" s="8" t="s">
        <v>2043</v>
      </c>
      <c r="M766" s="8"/>
      <c r="N766" s="8"/>
      <c r="O766" s="8"/>
      <c r="P766" s="104"/>
      <c r="Q766" s="5"/>
      <c r="R766" s="8"/>
    </row>
    <row r="767" spans="1:18" s="185" customFormat="1" x14ac:dyDescent="0.3">
      <c r="A767" s="198" t="s">
        <v>1697</v>
      </c>
      <c r="B767" s="119">
        <v>45151</v>
      </c>
      <c r="C767" s="36" t="s">
        <v>218</v>
      </c>
      <c r="D767" s="37">
        <v>29689</v>
      </c>
      <c r="E767" s="36">
        <v>1462415</v>
      </c>
      <c r="F767" s="36">
        <f t="shared" ref="F767" ca="1" si="71">YEAR(TODAY())-YEAR(D767)</f>
        <v>45</v>
      </c>
      <c r="G767" s="36" t="s">
        <v>1743</v>
      </c>
      <c r="H767" s="36"/>
      <c r="I767" s="35" t="s">
        <v>2044</v>
      </c>
      <c r="J767" s="1"/>
      <c r="K767" s="1"/>
      <c r="L767" s="8"/>
      <c r="M767" s="8"/>
      <c r="N767" s="8"/>
      <c r="O767" s="8"/>
      <c r="P767" s="104"/>
      <c r="Q767" s="5"/>
      <c r="R767" s="8"/>
    </row>
    <row r="768" spans="1:18" x14ac:dyDescent="0.3">
      <c r="A768" s="51"/>
      <c r="B768" s="125">
        <v>44787</v>
      </c>
      <c r="C768" s="51" t="s">
        <v>32</v>
      </c>
      <c r="D768" s="25"/>
      <c r="E768" s="22" t="s">
        <v>1003</v>
      </c>
      <c r="F768" s="22"/>
      <c r="G768" s="22"/>
      <c r="H768" s="22"/>
      <c r="I768" s="50" t="s">
        <v>2045</v>
      </c>
      <c r="J768" s="1"/>
      <c r="K768" s="1"/>
      <c r="L768" s="8"/>
      <c r="M768" s="8"/>
      <c r="N768" s="8"/>
      <c r="O768" s="8"/>
      <c r="P768" s="104"/>
      <c r="Q768" s="5"/>
      <c r="R768" s="8"/>
    </row>
    <row r="769" spans="1:18" s="189" customFormat="1" x14ac:dyDescent="0.3">
      <c r="A769" s="183" t="s">
        <v>2046</v>
      </c>
      <c r="B769" s="112">
        <v>45154</v>
      </c>
      <c r="C769" s="30" t="s">
        <v>455</v>
      </c>
      <c r="D769" s="31">
        <v>28589</v>
      </c>
      <c r="E769" s="30">
        <v>1823610</v>
      </c>
      <c r="F769" s="30">
        <f ca="1">YEAR(TODAY())-YEAR(D769)</f>
        <v>48</v>
      </c>
      <c r="G769" s="30" t="s">
        <v>2047</v>
      </c>
      <c r="H769" s="30"/>
      <c r="I769" s="29" t="s">
        <v>2048</v>
      </c>
      <c r="J769" s="1"/>
      <c r="K769" s="1"/>
      <c r="L769" s="8"/>
      <c r="M769" s="8"/>
      <c r="N769" s="8"/>
      <c r="O769" s="8"/>
      <c r="P769" s="104"/>
      <c r="Q769" s="5"/>
      <c r="R769" s="8"/>
    </row>
    <row r="770" spans="1:18" x14ac:dyDescent="0.3">
      <c r="A770" s="381" t="s">
        <v>2049</v>
      </c>
      <c r="B770" s="115">
        <v>44790</v>
      </c>
      <c r="C770" s="1" t="s">
        <v>306</v>
      </c>
      <c r="D770" s="2">
        <v>25606</v>
      </c>
      <c r="E770" s="1">
        <v>1055511</v>
      </c>
      <c r="F770" s="1">
        <f t="shared" ca="1" si="68"/>
        <v>56</v>
      </c>
      <c r="G770" s="1" t="s">
        <v>2050</v>
      </c>
      <c r="H770" s="1"/>
      <c r="I770" s="8" t="s">
        <v>2051</v>
      </c>
      <c r="J770" s="1"/>
      <c r="K770" s="1"/>
      <c r="L770" s="8"/>
      <c r="M770" s="8"/>
      <c r="N770" s="8"/>
      <c r="O770" s="8"/>
      <c r="P770" s="104"/>
      <c r="Q770" s="5"/>
      <c r="R770" s="8"/>
    </row>
    <row r="771" spans="1:18" x14ac:dyDescent="0.3">
      <c r="A771" s="379"/>
      <c r="B771" s="115"/>
      <c r="C771" s="1" t="s">
        <v>184</v>
      </c>
      <c r="D771" s="2">
        <v>29031</v>
      </c>
      <c r="E771" s="1">
        <v>2149238</v>
      </c>
      <c r="F771" s="1">
        <f t="shared" ca="1" si="68"/>
        <v>47</v>
      </c>
      <c r="G771" s="1" t="s">
        <v>2052</v>
      </c>
      <c r="H771" s="1"/>
      <c r="I771" s="8"/>
      <c r="J771" s="1"/>
      <c r="K771" s="1"/>
      <c r="L771" s="8"/>
      <c r="M771" s="8"/>
      <c r="N771" s="8"/>
      <c r="O771" s="8"/>
      <c r="P771" s="104"/>
      <c r="Q771" s="5"/>
      <c r="R771" s="8"/>
    </row>
    <row r="772" spans="1:18" s="189" customFormat="1" x14ac:dyDescent="0.3">
      <c r="A772" s="240" t="s">
        <v>1401</v>
      </c>
      <c r="B772" s="112">
        <v>45155</v>
      </c>
      <c r="C772" s="30" t="s">
        <v>493</v>
      </c>
      <c r="D772" s="31">
        <v>27138</v>
      </c>
      <c r="E772" s="30">
        <v>1149612</v>
      </c>
      <c r="F772" s="30">
        <f t="shared" ca="1" si="68"/>
        <v>52</v>
      </c>
      <c r="G772" s="30" t="s">
        <v>1404</v>
      </c>
      <c r="H772" s="30"/>
      <c r="I772" s="29" t="s">
        <v>2053</v>
      </c>
      <c r="J772" s="30" t="s">
        <v>432</v>
      </c>
      <c r="K772" s="30" t="s">
        <v>432</v>
      </c>
      <c r="L772" s="8"/>
      <c r="M772" s="8"/>
      <c r="N772" s="8"/>
      <c r="O772" s="8"/>
      <c r="P772" s="104"/>
      <c r="Q772" s="5"/>
      <c r="R772" s="8"/>
    </row>
    <row r="773" spans="1:18" x14ac:dyDescent="0.3">
      <c r="A773" s="455" t="s">
        <v>2049</v>
      </c>
      <c r="B773" s="123"/>
      <c r="C773" s="18" t="s">
        <v>184</v>
      </c>
      <c r="D773" s="19">
        <v>29031</v>
      </c>
      <c r="E773" s="18">
        <v>2149238</v>
      </c>
      <c r="F773" s="18">
        <f t="shared" ca="1" si="68"/>
        <v>47</v>
      </c>
      <c r="G773" s="18" t="s">
        <v>2052</v>
      </c>
      <c r="H773" s="17"/>
      <c r="I773" s="212"/>
      <c r="J773" s="1"/>
      <c r="K773" s="1"/>
      <c r="L773" s="8"/>
      <c r="M773" s="8"/>
      <c r="N773" s="8"/>
      <c r="O773" s="8"/>
      <c r="P773" s="104"/>
      <c r="Q773" s="5"/>
      <c r="R773" s="8"/>
    </row>
    <row r="774" spans="1:18" x14ac:dyDescent="0.3">
      <c r="A774" s="469"/>
      <c r="B774" s="122">
        <v>45155</v>
      </c>
      <c r="C774" s="18" t="s">
        <v>306</v>
      </c>
      <c r="D774" s="19">
        <v>25606</v>
      </c>
      <c r="E774" s="18">
        <v>1055511</v>
      </c>
      <c r="F774" s="18">
        <f t="shared" ca="1" si="68"/>
        <v>56</v>
      </c>
      <c r="G774" s="18" t="s">
        <v>2050</v>
      </c>
      <c r="H774" s="18"/>
      <c r="I774" s="17" t="s">
        <v>2051</v>
      </c>
      <c r="J774" s="1"/>
      <c r="K774" s="1"/>
      <c r="L774" s="8"/>
      <c r="M774" s="8"/>
      <c r="N774" s="8"/>
      <c r="O774" s="8"/>
      <c r="P774" s="104"/>
      <c r="Q774" s="5"/>
      <c r="R774" s="8"/>
    </row>
    <row r="775" spans="1:18" x14ac:dyDescent="0.3">
      <c r="A775" s="470"/>
      <c r="B775" s="123"/>
      <c r="C775" s="18" t="s">
        <v>2054</v>
      </c>
      <c r="D775" s="19">
        <v>40224</v>
      </c>
      <c r="E775" s="18">
        <v>3412614</v>
      </c>
      <c r="F775" s="18">
        <f t="shared" ca="1" si="68"/>
        <v>16</v>
      </c>
      <c r="G775" s="18"/>
      <c r="H775" s="18"/>
      <c r="I775" s="17"/>
      <c r="J775" s="1"/>
      <c r="K775" s="1"/>
      <c r="L775" s="8"/>
      <c r="M775" s="8"/>
      <c r="N775" s="8"/>
      <c r="O775" s="8"/>
      <c r="P775" s="104"/>
      <c r="Q775" s="5"/>
      <c r="R775" s="8"/>
    </row>
    <row r="776" spans="1:18" s="189" customFormat="1" x14ac:dyDescent="0.3">
      <c r="A776" s="183" t="s">
        <v>1334</v>
      </c>
      <c r="B776" s="112">
        <v>45158</v>
      </c>
      <c r="C776" s="30" t="s">
        <v>556</v>
      </c>
      <c r="D776" s="31">
        <v>29817</v>
      </c>
      <c r="E776" s="30">
        <v>1344116</v>
      </c>
      <c r="F776" s="30">
        <f t="shared" ca="1" si="68"/>
        <v>45</v>
      </c>
      <c r="G776" s="30" t="s">
        <v>2055</v>
      </c>
      <c r="H776" s="30"/>
      <c r="I776" s="29" t="s">
        <v>2056</v>
      </c>
      <c r="J776" s="30" t="s">
        <v>2057</v>
      </c>
      <c r="K776" s="30" t="s">
        <v>432</v>
      </c>
      <c r="L776" s="8"/>
      <c r="M776" s="8"/>
      <c r="N776" s="8"/>
      <c r="O776" s="8"/>
      <c r="P776" s="104"/>
      <c r="Q776" s="5"/>
      <c r="R776" s="8"/>
    </row>
    <row r="777" spans="1:18" x14ac:dyDescent="0.3">
      <c r="A777" s="51"/>
      <c r="B777" s="125">
        <v>44794</v>
      </c>
      <c r="C777" s="51" t="s">
        <v>83</v>
      </c>
      <c r="D777" s="52"/>
      <c r="E777" s="51"/>
      <c r="F777" s="51"/>
      <c r="G777" s="51"/>
      <c r="H777" s="51"/>
      <c r="I777" s="50" t="s">
        <v>305</v>
      </c>
      <c r="J777" s="1"/>
      <c r="K777" s="1"/>
      <c r="L777" s="8"/>
      <c r="M777" s="8"/>
      <c r="N777" s="8"/>
      <c r="O777" s="8"/>
      <c r="P777" s="104"/>
      <c r="Q777" s="5"/>
      <c r="R777" s="8"/>
    </row>
    <row r="778" spans="1:18" x14ac:dyDescent="0.3">
      <c r="A778" s="414" t="s">
        <v>2058</v>
      </c>
      <c r="B778" s="112">
        <v>45159</v>
      </c>
      <c r="C778" s="30" t="s">
        <v>2059</v>
      </c>
      <c r="D778" s="31">
        <v>32442</v>
      </c>
      <c r="E778" s="30">
        <v>1074518</v>
      </c>
      <c r="F778" s="30">
        <f t="shared" ref="F778:F779" ca="1" si="72">YEAR(TODAY())-YEAR(D778)</f>
        <v>38</v>
      </c>
      <c r="G778" s="30" t="s">
        <v>2060</v>
      </c>
      <c r="H778" s="30"/>
      <c r="I778" s="29" t="s">
        <v>2061</v>
      </c>
      <c r="J778" s="30" t="s">
        <v>432</v>
      </c>
      <c r="K778" s="30" t="s">
        <v>432</v>
      </c>
      <c r="L778" s="8"/>
      <c r="M778" s="8"/>
      <c r="N778" s="8"/>
      <c r="O778" s="8"/>
      <c r="P778" s="104"/>
      <c r="Q778" s="5"/>
      <c r="R778" s="8"/>
    </row>
    <row r="779" spans="1:18" x14ac:dyDescent="0.3">
      <c r="A779" s="414"/>
      <c r="B779" s="113"/>
      <c r="C779" s="30" t="s">
        <v>2062</v>
      </c>
      <c r="D779" s="31">
        <v>30900</v>
      </c>
      <c r="E779" s="30">
        <v>2018915</v>
      </c>
      <c r="F779" s="30">
        <f t="shared" ca="1" si="72"/>
        <v>42</v>
      </c>
      <c r="G779" s="30" t="s">
        <v>2063</v>
      </c>
      <c r="H779" s="30"/>
      <c r="I779" s="29"/>
      <c r="J779" s="30"/>
      <c r="K779" s="30"/>
      <c r="L779" s="8"/>
      <c r="M779" s="8"/>
      <c r="N779" s="8"/>
      <c r="O779" s="8"/>
      <c r="P779" s="104"/>
      <c r="Q779" s="5"/>
      <c r="R779" s="8"/>
    </row>
    <row r="780" spans="1:18" x14ac:dyDescent="0.3">
      <c r="A780" s="381" t="s">
        <v>2064</v>
      </c>
      <c r="B780" s="115">
        <v>44794</v>
      </c>
      <c r="C780" s="1" t="s">
        <v>308</v>
      </c>
      <c r="D780" s="2">
        <v>19591</v>
      </c>
      <c r="E780" s="1">
        <v>1792613</v>
      </c>
      <c r="F780" s="1">
        <f t="shared" ref="F780:F787" ca="1" si="73">YEAR(TODAY())-YEAR(D780)</f>
        <v>73</v>
      </c>
      <c r="G780" s="1" t="s">
        <v>2065</v>
      </c>
      <c r="H780" s="1"/>
      <c r="I780" s="8" t="s">
        <v>2066</v>
      </c>
      <c r="J780" s="1" t="s">
        <v>2067</v>
      </c>
      <c r="K780" s="1" t="s">
        <v>432</v>
      </c>
      <c r="L780" s="8"/>
      <c r="M780" s="8"/>
      <c r="N780" s="8"/>
      <c r="O780" s="8"/>
      <c r="P780" s="104"/>
      <c r="Q780" s="5"/>
      <c r="R780" s="8"/>
    </row>
    <row r="781" spans="1:18" x14ac:dyDescent="0.3">
      <c r="A781" s="387"/>
      <c r="B781" s="109" t="s">
        <v>169</v>
      </c>
      <c r="C781" s="1" t="s">
        <v>310</v>
      </c>
      <c r="D781" s="2">
        <v>31006</v>
      </c>
      <c r="E781" s="1">
        <v>2691810</v>
      </c>
      <c r="F781" s="1">
        <f t="shared" ca="1" si="73"/>
        <v>42</v>
      </c>
      <c r="G781" s="1" t="s">
        <v>2068</v>
      </c>
      <c r="H781" s="1"/>
      <c r="I781" s="8"/>
      <c r="J781" s="1"/>
      <c r="K781" s="1"/>
      <c r="L781" s="8"/>
      <c r="M781" s="8"/>
      <c r="N781" s="8"/>
      <c r="O781" s="8"/>
      <c r="P781" s="104"/>
      <c r="Q781" s="5"/>
      <c r="R781" s="8"/>
    </row>
    <row r="782" spans="1:18" x14ac:dyDescent="0.3">
      <c r="A782" s="387"/>
      <c r="B782" s="109" t="s">
        <v>169</v>
      </c>
      <c r="C782" s="1" t="s">
        <v>311</v>
      </c>
      <c r="D782" s="2">
        <v>29314</v>
      </c>
      <c r="E782" s="1">
        <v>1697012</v>
      </c>
      <c r="F782" s="1">
        <f t="shared" ca="1" si="73"/>
        <v>46</v>
      </c>
      <c r="G782" s="1" t="s">
        <v>2069</v>
      </c>
      <c r="H782" s="1"/>
      <c r="I782" s="8"/>
      <c r="J782" s="1"/>
      <c r="K782" s="1"/>
      <c r="L782" s="8"/>
      <c r="M782" s="8"/>
      <c r="N782" s="8"/>
      <c r="O782" s="8"/>
      <c r="P782" s="104"/>
      <c r="Q782" s="5"/>
      <c r="R782" s="8"/>
    </row>
    <row r="783" spans="1:18" x14ac:dyDescent="0.3">
      <c r="A783" s="434"/>
      <c r="B783" s="109"/>
      <c r="C783" s="1" t="s">
        <v>312</v>
      </c>
      <c r="D783" s="2">
        <v>40825</v>
      </c>
      <c r="E783" s="1">
        <v>3692114</v>
      </c>
      <c r="F783" s="1">
        <f t="shared" ca="1" si="73"/>
        <v>15</v>
      </c>
      <c r="G783" s="1"/>
      <c r="H783" s="1"/>
      <c r="I783" s="8"/>
      <c r="J783" s="1"/>
      <c r="K783" s="1"/>
      <c r="L783" s="8"/>
      <c r="M783" s="8"/>
      <c r="N783" s="8"/>
      <c r="O783" s="8"/>
      <c r="P783" s="104"/>
      <c r="Q783" s="5"/>
      <c r="R783" s="8"/>
    </row>
    <row r="784" spans="1:18" x14ac:dyDescent="0.3">
      <c r="A784" s="420" t="s">
        <v>2070</v>
      </c>
      <c r="B784" s="117">
        <v>44797</v>
      </c>
      <c r="C784" s="27" t="s">
        <v>313</v>
      </c>
      <c r="D784" s="28">
        <v>28135</v>
      </c>
      <c r="E784" s="27">
        <v>1457427</v>
      </c>
      <c r="F784" s="27">
        <f t="shared" ca="1" si="73"/>
        <v>49</v>
      </c>
      <c r="G784" s="27" t="s">
        <v>2071</v>
      </c>
      <c r="H784" s="27"/>
      <c r="I784" s="26" t="s">
        <v>2072</v>
      </c>
      <c r="J784" s="27" t="s">
        <v>2073</v>
      </c>
      <c r="K784" s="27" t="s">
        <v>432</v>
      </c>
      <c r="L784" s="8"/>
      <c r="M784" s="8"/>
      <c r="N784" s="8"/>
      <c r="O784" s="8"/>
      <c r="P784" s="104"/>
      <c r="Q784" s="5"/>
      <c r="R784" s="8"/>
    </row>
    <row r="785" spans="1:18" x14ac:dyDescent="0.3">
      <c r="A785" s="420"/>
      <c r="B785" s="121"/>
      <c r="C785" s="27" t="s">
        <v>314</v>
      </c>
      <c r="D785" s="28">
        <v>28358</v>
      </c>
      <c r="E785" s="27">
        <v>2709815</v>
      </c>
      <c r="F785" s="27">
        <f t="shared" ca="1" si="73"/>
        <v>49</v>
      </c>
      <c r="G785" s="27" t="s">
        <v>2074</v>
      </c>
      <c r="H785" s="27"/>
      <c r="I785" s="26"/>
      <c r="J785" s="27"/>
      <c r="K785" s="27"/>
      <c r="L785" s="8"/>
      <c r="M785" s="8"/>
      <c r="N785" s="8"/>
      <c r="O785" s="8"/>
      <c r="P785" s="104"/>
      <c r="Q785" s="5"/>
      <c r="R785" s="8"/>
    </row>
    <row r="786" spans="1:18" x14ac:dyDescent="0.3">
      <c r="A786" s="420"/>
      <c r="B786" s="121"/>
      <c r="C786" s="27" t="s">
        <v>315</v>
      </c>
      <c r="D786" s="28">
        <v>40263</v>
      </c>
      <c r="E786" s="27">
        <v>4412514</v>
      </c>
      <c r="F786" s="27">
        <f t="shared" ca="1" si="73"/>
        <v>16</v>
      </c>
      <c r="G786" s="27"/>
      <c r="H786" s="27"/>
      <c r="I786" s="26"/>
      <c r="J786" s="27"/>
      <c r="K786" s="27"/>
      <c r="L786" s="8"/>
      <c r="M786" s="8"/>
      <c r="N786" s="8"/>
      <c r="O786" s="8"/>
      <c r="P786" s="104"/>
      <c r="Q786" s="5"/>
      <c r="R786" s="8"/>
    </row>
    <row r="787" spans="1:18" x14ac:dyDescent="0.3">
      <c r="A787" s="420"/>
      <c r="B787" s="121"/>
      <c r="C787" s="27" t="s">
        <v>316</v>
      </c>
      <c r="D787" s="28">
        <v>41039</v>
      </c>
      <c r="E787" s="27">
        <v>3412526</v>
      </c>
      <c r="F787" s="27">
        <f t="shared" ca="1" si="73"/>
        <v>14</v>
      </c>
      <c r="G787" s="27"/>
      <c r="H787" s="27"/>
      <c r="I787" s="26"/>
      <c r="J787" s="27"/>
      <c r="K787" s="27"/>
      <c r="L787" s="8"/>
      <c r="M787" s="8"/>
      <c r="N787" s="8"/>
      <c r="O787" s="8"/>
      <c r="P787" s="104"/>
      <c r="Q787" s="5"/>
      <c r="R787" s="8"/>
    </row>
    <row r="788" spans="1:18" x14ac:dyDescent="0.3">
      <c r="A788" s="282"/>
      <c r="B788" s="118">
        <v>44801</v>
      </c>
      <c r="C788" s="40" t="s">
        <v>317</v>
      </c>
      <c r="D788" s="41" t="s">
        <v>2075</v>
      </c>
      <c r="E788" s="40"/>
      <c r="F788" s="40"/>
      <c r="G788" s="40"/>
      <c r="H788" s="40"/>
      <c r="I788" s="39" t="s">
        <v>33</v>
      </c>
      <c r="J788" s="40"/>
      <c r="K788" s="40"/>
      <c r="L788" s="8"/>
      <c r="M788" s="8"/>
      <c r="N788" s="8"/>
      <c r="O788" s="8"/>
      <c r="P788" s="104"/>
      <c r="Q788" s="5"/>
      <c r="R788" s="8"/>
    </row>
    <row r="789" spans="1:18" x14ac:dyDescent="0.3">
      <c r="A789" s="183" t="s">
        <v>2076</v>
      </c>
      <c r="B789" s="112">
        <v>44435</v>
      </c>
      <c r="C789" s="30" t="s">
        <v>318</v>
      </c>
      <c r="D789" s="31">
        <v>28502</v>
      </c>
      <c r="E789" s="30">
        <v>1823612</v>
      </c>
      <c r="F789" s="30">
        <f t="shared" ref="F789:F823" ca="1" si="74">YEAR(TODAY())-YEAR(D789)</f>
        <v>48</v>
      </c>
      <c r="G789" s="30" t="s">
        <v>2077</v>
      </c>
      <c r="H789" s="30"/>
      <c r="I789" s="29" t="s">
        <v>2078</v>
      </c>
      <c r="J789" s="30"/>
      <c r="K789" s="30"/>
      <c r="L789" s="8"/>
      <c r="M789" s="8"/>
      <c r="N789" s="8"/>
      <c r="O789" s="8"/>
      <c r="P789" s="104"/>
      <c r="Q789" s="5"/>
      <c r="R789" s="8"/>
    </row>
    <row r="790" spans="1:18" x14ac:dyDescent="0.3">
      <c r="A790" s="187" t="s">
        <v>1201</v>
      </c>
      <c r="B790" s="118">
        <v>44437</v>
      </c>
      <c r="C790" s="40" t="s">
        <v>319</v>
      </c>
      <c r="D790" s="41">
        <v>28918</v>
      </c>
      <c r="E790" s="40">
        <v>2468714</v>
      </c>
      <c r="F790" s="40">
        <f t="shared" ca="1" si="74"/>
        <v>47</v>
      </c>
      <c r="G790" s="40" t="s">
        <v>1202</v>
      </c>
      <c r="H790" s="40"/>
      <c r="I790" s="39" t="s">
        <v>2079</v>
      </c>
      <c r="J790" s="40" t="s">
        <v>2080</v>
      </c>
      <c r="K790" s="40" t="s">
        <v>432</v>
      </c>
      <c r="L790" s="8"/>
      <c r="M790" s="8"/>
      <c r="N790" s="8"/>
      <c r="O790" s="8"/>
      <c r="P790" s="104"/>
      <c r="Q790" s="5"/>
      <c r="R790" s="8"/>
    </row>
    <row r="791" spans="1:18" x14ac:dyDescent="0.3">
      <c r="A791" s="183" t="s">
        <v>1323</v>
      </c>
      <c r="B791" s="112">
        <v>45167</v>
      </c>
      <c r="C791" s="30" t="s">
        <v>708</v>
      </c>
      <c r="D791" s="31">
        <v>28941</v>
      </c>
      <c r="E791" s="30">
        <v>1462419</v>
      </c>
      <c r="F791" s="30">
        <f t="shared" ca="1" si="74"/>
        <v>47</v>
      </c>
      <c r="G791" s="30" t="s">
        <v>1924</v>
      </c>
      <c r="H791" s="30"/>
      <c r="I791" s="29" t="s">
        <v>2081</v>
      </c>
      <c r="J791" s="30" t="s">
        <v>1926</v>
      </c>
      <c r="K791" s="30" t="s">
        <v>432</v>
      </c>
      <c r="L791" s="8"/>
      <c r="M791" s="8"/>
      <c r="N791" s="8"/>
      <c r="O791" s="8"/>
      <c r="P791" s="104"/>
      <c r="Q791" s="5"/>
      <c r="R791" s="8"/>
    </row>
    <row r="792" spans="1:18" s="242" customFormat="1" ht="33" x14ac:dyDescent="0.3">
      <c r="A792" s="394" t="s">
        <v>1247</v>
      </c>
      <c r="B792" s="119">
        <v>45167</v>
      </c>
      <c r="C792" s="135" t="s">
        <v>2082</v>
      </c>
      <c r="D792" s="136">
        <v>25525</v>
      </c>
      <c r="E792" s="135">
        <v>1067323</v>
      </c>
      <c r="F792" s="135">
        <f t="shared" ca="1" si="74"/>
        <v>57</v>
      </c>
      <c r="G792" s="135"/>
      <c r="H792" s="135"/>
      <c r="I792" s="156" t="s">
        <v>2083</v>
      </c>
      <c r="J792" s="241" t="s">
        <v>2084</v>
      </c>
      <c r="K792" s="135" t="s">
        <v>432</v>
      </c>
      <c r="L792" s="147"/>
      <c r="M792" s="147"/>
      <c r="N792" s="147"/>
      <c r="O792" s="147"/>
      <c r="P792" s="218"/>
      <c r="Q792" s="219"/>
      <c r="R792" s="147"/>
    </row>
    <row r="793" spans="1:18" s="242" customFormat="1" x14ac:dyDescent="0.3">
      <c r="A793" s="436"/>
      <c r="B793" s="119"/>
      <c r="C793" s="135" t="s">
        <v>1248</v>
      </c>
      <c r="D793" s="136">
        <v>27226</v>
      </c>
      <c r="E793" s="135">
        <v>2520510</v>
      </c>
      <c r="F793" s="135">
        <f t="shared" ca="1" si="74"/>
        <v>52</v>
      </c>
      <c r="G793" s="135" t="s">
        <v>1249</v>
      </c>
      <c r="H793" s="135"/>
      <c r="I793" s="156"/>
      <c r="J793" s="135"/>
      <c r="K793" s="135"/>
      <c r="L793" s="147"/>
      <c r="M793" s="147"/>
      <c r="N793" s="147"/>
      <c r="O793" s="147"/>
      <c r="P793" s="218"/>
      <c r="Q793" s="219"/>
      <c r="R793" s="147"/>
    </row>
    <row r="794" spans="1:18" s="242" customFormat="1" x14ac:dyDescent="0.3">
      <c r="A794" s="436"/>
      <c r="B794" s="119"/>
      <c r="C794" s="135" t="s">
        <v>2085</v>
      </c>
      <c r="D794" s="136">
        <v>35624</v>
      </c>
      <c r="E794" s="135">
        <v>1064015</v>
      </c>
      <c r="F794" s="135">
        <f t="shared" ca="1" si="74"/>
        <v>29</v>
      </c>
      <c r="G794" s="135"/>
      <c r="H794" s="135"/>
      <c r="I794" s="156"/>
      <c r="J794" s="135"/>
      <c r="K794" s="135"/>
      <c r="L794" s="147"/>
      <c r="M794" s="147"/>
      <c r="N794" s="147"/>
      <c r="O794" s="147"/>
      <c r="P794" s="218"/>
      <c r="Q794" s="219"/>
      <c r="R794" s="147"/>
    </row>
    <row r="795" spans="1:18" s="189" customFormat="1" x14ac:dyDescent="0.3">
      <c r="A795" s="183" t="s">
        <v>1368</v>
      </c>
      <c r="B795" s="112">
        <v>45169</v>
      </c>
      <c r="C795" s="30" t="s">
        <v>1372</v>
      </c>
      <c r="D795" s="31">
        <v>36408</v>
      </c>
      <c r="E795" s="30">
        <v>1419219</v>
      </c>
      <c r="F795" s="30">
        <f t="shared" ca="1" si="74"/>
        <v>27</v>
      </c>
      <c r="G795" s="30"/>
      <c r="H795" s="30"/>
      <c r="I795" s="29" t="s">
        <v>2086</v>
      </c>
      <c r="J795" s="30"/>
      <c r="K795" s="30"/>
      <c r="L795" s="8"/>
      <c r="M795" s="8"/>
      <c r="N795" s="8"/>
      <c r="O795" s="8"/>
      <c r="P795" s="104"/>
      <c r="Q795" s="5"/>
      <c r="R795" s="8"/>
    </row>
    <row r="796" spans="1:18" s="204" customFormat="1" x14ac:dyDescent="0.3">
      <c r="A796" s="398" t="s">
        <v>2087</v>
      </c>
      <c r="B796" s="117">
        <v>45169</v>
      </c>
      <c r="C796" s="27" t="s">
        <v>2088</v>
      </c>
      <c r="D796" s="28">
        <v>34657</v>
      </c>
      <c r="E796" s="27">
        <v>1200521</v>
      </c>
      <c r="F796" s="27">
        <f t="shared" ca="1" si="74"/>
        <v>32</v>
      </c>
      <c r="G796" s="27" t="s">
        <v>2089</v>
      </c>
      <c r="H796" s="27"/>
      <c r="I796" s="26" t="s">
        <v>2090</v>
      </c>
      <c r="J796" s="27"/>
      <c r="K796" s="27"/>
      <c r="L796" s="8"/>
      <c r="M796" s="8"/>
      <c r="N796" s="8"/>
      <c r="O796" s="8"/>
      <c r="P796" s="104"/>
      <c r="Q796" s="5"/>
      <c r="R796" s="8"/>
    </row>
    <row r="797" spans="1:18" s="204" customFormat="1" x14ac:dyDescent="0.3">
      <c r="A797" s="384"/>
      <c r="B797" s="117"/>
      <c r="C797" s="27" t="s">
        <v>2091</v>
      </c>
      <c r="D797" s="28">
        <v>22520</v>
      </c>
      <c r="E797" s="27">
        <v>1775212</v>
      </c>
      <c r="F797" s="27">
        <f t="shared" ca="1" si="74"/>
        <v>65</v>
      </c>
      <c r="G797" s="27" t="s">
        <v>2092</v>
      </c>
      <c r="H797" s="27"/>
      <c r="I797" s="26"/>
      <c r="J797" s="27"/>
      <c r="K797" s="27"/>
      <c r="L797" s="8"/>
      <c r="M797" s="8"/>
      <c r="N797" s="8"/>
      <c r="O797" s="8"/>
      <c r="P797" s="104"/>
      <c r="Q797" s="5"/>
      <c r="R797" s="8"/>
    </row>
    <row r="798" spans="1:18" s="204" customFormat="1" x14ac:dyDescent="0.3">
      <c r="A798" s="379"/>
      <c r="B798" s="117"/>
      <c r="C798" s="27" t="s">
        <v>2093</v>
      </c>
      <c r="D798" s="28">
        <v>24506</v>
      </c>
      <c r="E798" s="27">
        <v>2178325</v>
      </c>
      <c r="F798" s="27"/>
      <c r="G798" s="27" t="s">
        <v>2094</v>
      </c>
      <c r="H798" s="27"/>
      <c r="I798" s="26"/>
      <c r="J798" s="27"/>
      <c r="K798" s="27"/>
      <c r="L798" s="8"/>
      <c r="M798" s="8"/>
      <c r="N798" s="8"/>
      <c r="O798" s="8"/>
      <c r="P798" s="104"/>
      <c r="Q798" s="5"/>
      <c r="R798" s="8"/>
    </row>
    <row r="799" spans="1:18" x14ac:dyDescent="0.3">
      <c r="A799" s="183" t="s">
        <v>1323</v>
      </c>
      <c r="B799" s="112">
        <v>45170</v>
      </c>
      <c r="C799" s="30" t="s">
        <v>708</v>
      </c>
      <c r="D799" s="31">
        <v>28941</v>
      </c>
      <c r="E799" s="30">
        <v>1462419</v>
      </c>
      <c r="F799" s="30">
        <f t="shared" ca="1" si="74"/>
        <v>47</v>
      </c>
      <c r="G799" s="30" t="s">
        <v>1924</v>
      </c>
      <c r="H799" s="30"/>
      <c r="I799" s="29" t="s">
        <v>2095</v>
      </c>
      <c r="J799" s="30" t="s">
        <v>1926</v>
      </c>
      <c r="K799" s="30" t="s">
        <v>432</v>
      </c>
      <c r="L799" s="8"/>
      <c r="M799" s="8"/>
      <c r="N799" s="8"/>
      <c r="O799" s="8"/>
      <c r="P799" s="104"/>
      <c r="Q799" s="5"/>
      <c r="R799" s="8"/>
    </row>
    <row r="800" spans="1:18" x14ac:dyDescent="0.3">
      <c r="A800" s="395" t="s">
        <v>1760</v>
      </c>
      <c r="B800" s="116">
        <v>44441</v>
      </c>
      <c r="C800" s="22" t="s">
        <v>322</v>
      </c>
      <c r="D800" s="25">
        <v>29594</v>
      </c>
      <c r="E800" s="22">
        <v>1411810</v>
      </c>
      <c r="F800" s="22">
        <f t="shared" ca="1" si="74"/>
        <v>45</v>
      </c>
      <c r="G800" s="22"/>
      <c r="H800" s="22"/>
      <c r="I800" s="21" t="s">
        <v>2096</v>
      </c>
      <c r="J800" s="22" t="s">
        <v>2097</v>
      </c>
      <c r="K800" s="22" t="s">
        <v>432</v>
      </c>
      <c r="L800" s="8"/>
      <c r="M800" s="8"/>
      <c r="N800" s="8"/>
      <c r="O800" s="8"/>
      <c r="P800" s="104"/>
      <c r="Q800" s="5"/>
      <c r="R800" s="8"/>
    </row>
    <row r="801" spans="1:18" x14ac:dyDescent="0.3">
      <c r="A801" s="395"/>
      <c r="B801" s="127"/>
      <c r="C801" s="22" t="s">
        <v>324</v>
      </c>
      <c r="D801" s="25">
        <v>32370</v>
      </c>
      <c r="E801" s="22">
        <v>2520519</v>
      </c>
      <c r="F801" s="22">
        <f t="shared" ca="1" si="74"/>
        <v>38</v>
      </c>
      <c r="G801" s="22" t="s">
        <v>2098</v>
      </c>
      <c r="H801" s="22"/>
      <c r="I801" s="21"/>
      <c r="J801" s="22"/>
      <c r="K801" s="22"/>
      <c r="L801" s="8"/>
      <c r="M801" s="8"/>
      <c r="N801" s="8"/>
      <c r="O801" s="8"/>
      <c r="P801" s="104"/>
      <c r="Q801" s="5"/>
      <c r="R801" s="8"/>
    </row>
    <row r="802" spans="1:18" x14ac:dyDescent="0.3">
      <c r="A802" s="395"/>
      <c r="B802" s="127"/>
      <c r="C802" s="22" t="s">
        <v>325</v>
      </c>
      <c r="D802" s="25">
        <v>40730</v>
      </c>
      <c r="E802" s="22">
        <v>4412717</v>
      </c>
      <c r="F802" s="22">
        <f t="shared" ca="1" si="74"/>
        <v>15</v>
      </c>
      <c r="G802" s="22"/>
      <c r="H802" s="22"/>
      <c r="I802" s="21"/>
      <c r="J802" s="22"/>
      <c r="K802" s="22"/>
      <c r="L802" s="8"/>
      <c r="M802" s="8"/>
      <c r="N802" s="8"/>
      <c r="O802" s="8"/>
      <c r="P802" s="104"/>
      <c r="Q802" s="5"/>
      <c r="R802" s="8"/>
    </row>
    <row r="803" spans="1:18" x14ac:dyDescent="0.3">
      <c r="A803" s="395"/>
      <c r="B803" s="127"/>
      <c r="C803" s="22" t="s">
        <v>326</v>
      </c>
      <c r="D803" s="25">
        <v>41372</v>
      </c>
      <c r="E803" s="22">
        <v>3412731</v>
      </c>
      <c r="F803" s="22">
        <f t="shared" ca="1" si="74"/>
        <v>13</v>
      </c>
      <c r="G803" s="22"/>
      <c r="H803" s="22"/>
      <c r="I803" s="21"/>
      <c r="J803" s="22"/>
      <c r="K803" s="22"/>
      <c r="L803" s="8"/>
      <c r="M803" s="8"/>
      <c r="N803" s="8"/>
      <c r="O803" s="8"/>
      <c r="P803" s="104"/>
      <c r="Q803" s="5"/>
      <c r="R803" s="8"/>
    </row>
    <row r="804" spans="1:18" x14ac:dyDescent="0.3">
      <c r="A804" s="414" t="s">
        <v>799</v>
      </c>
      <c r="B804" s="113"/>
      <c r="C804" s="30" t="s">
        <v>327</v>
      </c>
      <c r="D804" s="31">
        <v>30584</v>
      </c>
      <c r="E804" s="30">
        <v>2716811</v>
      </c>
      <c r="F804" s="30">
        <f t="shared" ca="1" si="74"/>
        <v>43</v>
      </c>
      <c r="G804" s="30" t="s">
        <v>2099</v>
      </c>
      <c r="H804" s="30"/>
      <c r="I804" s="29"/>
      <c r="J804" s="30"/>
      <c r="K804" s="30"/>
      <c r="L804" s="8"/>
      <c r="M804" s="8"/>
      <c r="N804" s="8"/>
      <c r="O804" s="8"/>
      <c r="P804" s="104"/>
      <c r="Q804" s="5"/>
      <c r="R804" s="8"/>
    </row>
    <row r="805" spans="1:18" x14ac:dyDescent="0.3">
      <c r="A805" s="414"/>
      <c r="B805" s="416"/>
      <c r="C805" s="30" t="s">
        <v>328</v>
      </c>
      <c r="D805" s="31">
        <v>42907</v>
      </c>
      <c r="E805" s="30">
        <v>4475910</v>
      </c>
      <c r="F805" s="30">
        <f t="shared" ca="1" si="74"/>
        <v>9</v>
      </c>
      <c r="G805" s="30"/>
      <c r="H805" s="30"/>
      <c r="I805" s="29"/>
      <c r="J805" s="30"/>
      <c r="K805" s="30"/>
      <c r="L805" s="8"/>
      <c r="M805" s="8"/>
      <c r="N805" s="8"/>
      <c r="O805" s="8"/>
      <c r="P805" s="104"/>
      <c r="Q805" s="5"/>
      <c r="R805" s="8"/>
    </row>
    <row r="806" spans="1:18" x14ac:dyDescent="0.3">
      <c r="A806" s="414"/>
      <c r="B806" s="417"/>
      <c r="C806" s="30" t="s">
        <v>2100</v>
      </c>
      <c r="D806" s="31">
        <v>44291</v>
      </c>
      <c r="E806" s="30">
        <v>3348221</v>
      </c>
      <c r="F806" s="30">
        <f t="shared" ca="1" si="74"/>
        <v>5</v>
      </c>
      <c r="G806" s="30"/>
      <c r="H806" s="30"/>
      <c r="I806" s="29"/>
      <c r="J806" s="30"/>
      <c r="K806" s="30"/>
      <c r="L806" s="8"/>
      <c r="M806" s="8"/>
      <c r="N806" s="8"/>
      <c r="O806" s="8"/>
      <c r="P806" s="104"/>
      <c r="Q806" s="5"/>
      <c r="R806" s="8"/>
    </row>
    <row r="807" spans="1:18" x14ac:dyDescent="0.3">
      <c r="A807" s="414"/>
      <c r="B807" s="418"/>
      <c r="C807" s="30" t="s">
        <v>2101</v>
      </c>
      <c r="D807" s="31">
        <v>44291</v>
      </c>
      <c r="E807" s="30">
        <v>4928107</v>
      </c>
      <c r="F807" s="30">
        <f t="shared" ca="1" si="74"/>
        <v>5</v>
      </c>
      <c r="G807" s="30"/>
      <c r="H807" s="30"/>
      <c r="I807" s="29"/>
      <c r="J807" s="30"/>
      <c r="K807" s="30"/>
      <c r="L807" s="8"/>
      <c r="M807" s="8"/>
      <c r="N807" s="8"/>
      <c r="O807" s="8"/>
      <c r="P807" s="104"/>
      <c r="Q807" s="5"/>
      <c r="R807" s="8"/>
    </row>
    <row r="808" spans="1:18" ht="33" x14ac:dyDescent="0.3">
      <c r="A808" s="414"/>
      <c r="B808" s="112">
        <v>44442</v>
      </c>
      <c r="C808" s="30" t="s">
        <v>329</v>
      </c>
      <c r="D808" s="31">
        <v>21611</v>
      </c>
      <c r="E808" s="30">
        <v>2357318</v>
      </c>
      <c r="F808" s="30">
        <f t="shared" ca="1" si="74"/>
        <v>67</v>
      </c>
      <c r="G808" s="30" t="s">
        <v>2102</v>
      </c>
      <c r="H808" s="30"/>
      <c r="I808" s="29" t="s">
        <v>2103</v>
      </c>
      <c r="J808" s="186" t="s">
        <v>2104</v>
      </c>
      <c r="K808" s="30" t="s">
        <v>432</v>
      </c>
      <c r="L808" s="8"/>
      <c r="M808" s="8"/>
      <c r="N808" s="8"/>
      <c r="O808" s="8"/>
      <c r="P808" s="104"/>
      <c r="Q808" s="5"/>
      <c r="R808" s="8"/>
    </row>
    <row r="809" spans="1:18" x14ac:dyDescent="0.3">
      <c r="A809" s="414"/>
      <c r="B809" s="113"/>
      <c r="C809" s="30" t="s">
        <v>330</v>
      </c>
      <c r="D809" s="31">
        <v>21224</v>
      </c>
      <c r="E809" s="30">
        <v>2047313</v>
      </c>
      <c r="F809" s="30">
        <f t="shared" ca="1" si="74"/>
        <v>68</v>
      </c>
      <c r="G809" s="30" t="s">
        <v>2105</v>
      </c>
      <c r="H809" s="30"/>
      <c r="I809" s="29"/>
      <c r="J809" s="30"/>
      <c r="K809" s="30"/>
      <c r="L809" s="8"/>
      <c r="M809" s="8"/>
      <c r="N809" s="8"/>
      <c r="O809" s="8"/>
      <c r="P809" s="104"/>
      <c r="Q809" s="5"/>
      <c r="R809" s="8"/>
    </row>
    <row r="810" spans="1:18" s="76" customFormat="1" x14ac:dyDescent="0.3">
      <c r="A810" s="411" t="s">
        <v>2106</v>
      </c>
      <c r="B810" s="119">
        <v>45172</v>
      </c>
      <c r="C810" s="36" t="s">
        <v>2107</v>
      </c>
      <c r="D810" s="37">
        <v>24834</v>
      </c>
      <c r="E810" s="36">
        <v>1475710</v>
      </c>
      <c r="F810" s="36">
        <f t="shared" ca="1" si="74"/>
        <v>59</v>
      </c>
      <c r="G810" s="36" t="s">
        <v>2108</v>
      </c>
      <c r="H810" s="36"/>
      <c r="I810" s="35" t="s">
        <v>2109</v>
      </c>
      <c r="J810" s="36"/>
      <c r="K810" s="36"/>
      <c r="L810" s="8"/>
      <c r="M810" s="8"/>
      <c r="N810" s="8"/>
      <c r="O810" s="8"/>
      <c r="P810" s="104"/>
      <c r="Q810" s="5"/>
      <c r="R810" s="8"/>
    </row>
    <row r="811" spans="1:18" s="76" customFormat="1" x14ac:dyDescent="0.3">
      <c r="A811" s="412"/>
      <c r="B811" s="120"/>
      <c r="C811" s="36" t="s">
        <v>2110</v>
      </c>
      <c r="D811" s="37">
        <v>26481</v>
      </c>
      <c r="E811" s="36">
        <v>2411621</v>
      </c>
      <c r="F811" s="36">
        <f t="shared" ca="1" si="74"/>
        <v>54</v>
      </c>
      <c r="G811" s="36" t="s">
        <v>2111</v>
      </c>
      <c r="H811" s="36"/>
      <c r="I811" s="35"/>
      <c r="J811" s="36"/>
      <c r="K811" s="36"/>
      <c r="L811" s="8"/>
      <c r="M811" s="8"/>
      <c r="N811" s="8"/>
      <c r="O811" s="8"/>
      <c r="P811" s="104"/>
      <c r="Q811" s="5"/>
      <c r="R811" s="8"/>
    </row>
    <row r="812" spans="1:18" s="76" customFormat="1" x14ac:dyDescent="0.3">
      <c r="A812" s="412"/>
      <c r="B812" s="120"/>
      <c r="C812" s="36" t="s">
        <v>2112</v>
      </c>
      <c r="D812" s="37">
        <v>35342</v>
      </c>
      <c r="E812" s="36">
        <v>1419317</v>
      </c>
      <c r="F812" s="36">
        <f t="shared" ca="1" si="74"/>
        <v>30</v>
      </c>
      <c r="G812" s="36"/>
      <c r="H812" s="36"/>
      <c r="I812" s="35"/>
      <c r="J812" s="36"/>
      <c r="K812" s="36"/>
      <c r="L812" s="8"/>
      <c r="M812" s="8"/>
      <c r="N812" s="8"/>
      <c r="O812" s="8"/>
      <c r="P812" s="104"/>
      <c r="Q812" s="5"/>
      <c r="R812" s="8"/>
    </row>
    <row r="813" spans="1:18" s="204" customFormat="1" x14ac:dyDescent="0.3">
      <c r="A813" s="413"/>
      <c r="B813" s="120"/>
      <c r="C813" s="36" t="s">
        <v>2113</v>
      </c>
      <c r="D813" s="37">
        <v>35839</v>
      </c>
      <c r="E813" s="36">
        <v>2419310</v>
      </c>
      <c r="F813" s="36">
        <f t="shared" ca="1" si="74"/>
        <v>28</v>
      </c>
      <c r="G813" s="36" t="s">
        <v>2114</v>
      </c>
      <c r="H813" s="36"/>
      <c r="I813" s="35"/>
      <c r="J813" s="36"/>
      <c r="K813" s="36"/>
      <c r="L813" s="8"/>
      <c r="M813" s="8"/>
      <c r="N813" s="8"/>
      <c r="O813" s="8"/>
      <c r="P813" s="104"/>
      <c r="Q813" s="5"/>
      <c r="R813" s="8"/>
    </row>
    <row r="814" spans="1:18" s="204" customFormat="1" x14ac:dyDescent="0.3">
      <c r="A814" s="402" t="s">
        <v>2115</v>
      </c>
      <c r="B814" s="118">
        <v>45174</v>
      </c>
      <c r="C814" s="40" t="s">
        <v>2116</v>
      </c>
      <c r="D814" s="41">
        <v>30443</v>
      </c>
      <c r="E814" s="40">
        <v>1119911</v>
      </c>
      <c r="F814" s="40">
        <f ca="1">YEAR(TODAY())-YEAR(D814)</f>
        <v>43</v>
      </c>
      <c r="G814" s="40" t="s">
        <v>2117</v>
      </c>
      <c r="H814" s="40"/>
      <c r="I814" s="39" t="s">
        <v>2118</v>
      </c>
      <c r="J814" s="1"/>
      <c r="K814" s="1"/>
      <c r="L814" s="8"/>
      <c r="M814" s="8"/>
      <c r="N814" s="8"/>
      <c r="O814" s="8"/>
      <c r="P814" s="104"/>
      <c r="Q814" s="5"/>
      <c r="R814" s="8"/>
    </row>
    <row r="815" spans="1:18" s="204" customFormat="1" x14ac:dyDescent="0.3">
      <c r="A815" s="437"/>
      <c r="B815" s="124"/>
      <c r="C815" s="40" t="s">
        <v>610</v>
      </c>
      <c r="D815" s="41">
        <v>22239</v>
      </c>
      <c r="E815" s="40">
        <v>2812342</v>
      </c>
      <c r="F815" s="40">
        <f ca="1">YEAR(TODAY())-YEAR(D815)</f>
        <v>66</v>
      </c>
      <c r="G815" s="40" t="s">
        <v>2119</v>
      </c>
      <c r="H815" s="40"/>
      <c r="I815" s="39"/>
      <c r="J815" s="1"/>
      <c r="K815" s="1"/>
      <c r="L815" s="8"/>
      <c r="M815" s="8"/>
      <c r="N815" s="8"/>
      <c r="O815" s="8"/>
      <c r="P815" s="104"/>
      <c r="Q815" s="5"/>
      <c r="R815" s="8"/>
    </row>
    <row r="816" spans="1:18" s="204" customFormat="1" x14ac:dyDescent="0.3">
      <c r="A816" s="437"/>
      <c r="B816" s="124"/>
      <c r="C816" s="40" t="s">
        <v>611</v>
      </c>
      <c r="D816" s="41">
        <v>17411</v>
      </c>
      <c r="E816" s="40">
        <v>1822832</v>
      </c>
      <c r="F816" s="40">
        <f t="shared" ref="F816" ca="1" si="75">YEAR(TODAY())-YEAR(D816)</f>
        <v>79</v>
      </c>
      <c r="G816" s="40" t="s">
        <v>2120</v>
      </c>
      <c r="H816" s="40"/>
      <c r="I816" s="39"/>
      <c r="J816" s="1"/>
      <c r="K816" s="1"/>
      <c r="L816" s="8"/>
      <c r="M816" s="8"/>
      <c r="N816" s="8"/>
      <c r="O816" s="8"/>
      <c r="P816" s="104"/>
      <c r="Q816" s="5"/>
      <c r="R816" s="8"/>
    </row>
    <row r="817" spans="1:96" s="204" customFormat="1" x14ac:dyDescent="0.3">
      <c r="A817" s="243"/>
      <c r="B817" s="124" t="s">
        <v>2121</v>
      </c>
      <c r="C817" s="40" t="s">
        <v>1345</v>
      </c>
      <c r="D817" s="41" t="s">
        <v>1346</v>
      </c>
      <c r="E817" s="40"/>
      <c r="F817" s="40"/>
      <c r="G817" s="40"/>
      <c r="H817" s="40"/>
      <c r="I817" s="39" t="s">
        <v>2122</v>
      </c>
      <c r="J817" s="1"/>
      <c r="K817" s="1"/>
      <c r="L817" s="8"/>
      <c r="M817" s="8"/>
      <c r="N817" s="8"/>
      <c r="O817" s="8"/>
      <c r="P817" s="104"/>
      <c r="Q817" s="5"/>
      <c r="R817" s="8"/>
    </row>
    <row r="818" spans="1:96" s="8" customFormat="1" x14ac:dyDescent="0.3">
      <c r="A818" s="378" t="s">
        <v>2123</v>
      </c>
      <c r="B818" s="273"/>
      <c r="C818" s="1" t="s">
        <v>333</v>
      </c>
      <c r="D818" s="2">
        <v>39062</v>
      </c>
      <c r="E818" s="1">
        <v>4850919</v>
      </c>
      <c r="F818" s="1">
        <f ca="1">YEAR(TODAY())-YEAR(D818)</f>
        <v>20</v>
      </c>
      <c r="J818" s="1"/>
      <c r="K818" s="1"/>
      <c r="L818" s="8" t="s">
        <v>2124</v>
      </c>
      <c r="P818" s="9"/>
      <c r="Q818" s="3"/>
    </row>
    <row r="819" spans="1:96" s="8" customFormat="1" x14ac:dyDescent="0.3">
      <c r="A819" s="379"/>
      <c r="B819" s="276">
        <v>45541</v>
      </c>
      <c r="C819" s="1" t="s">
        <v>2125</v>
      </c>
      <c r="D819" s="2">
        <v>27454</v>
      </c>
      <c r="E819" s="1">
        <v>2903814</v>
      </c>
      <c r="F819" s="1">
        <f ca="1">YEAR(TODAY())-YEAR(D819)</f>
        <v>51</v>
      </c>
      <c r="G819" s="8" t="s">
        <v>2126</v>
      </c>
      <c r="I819" s="8" t="s">
        <v>2127</v>
      </c>
      <c r="J819" s="1"/>
      <c r="K819" s="1"/>
      <c r="P819" s="9"/>
      <c r="Q819" s="3"/>
    </row>
    <row r="820" spans="1:96" x14ac:dyDescent="0.3">
      <c r="A820" s="398" t="s">
        <v>2128</v>
      </c>
      <c r="B820" s="117">
        <v>45175</v>
      </c>
      <c r="C820" s="27" t="s">
        <v>112</v>
      </c>
      <c r="D820" s="28">
        <v>27127</v>
      </c>
      <c r="E820" s="27">
        <v>1536627</v>
      </c>
      <c r="F820" s="27">
        <f t="shared" ca="1" si="74"/>
        <v>52</v>
      </c>
      <c r="G820" s="27" t="s">
        <v>2129</v>
      </c>
      <c r="H820" s="27"/>
      <c r="I820" s="26" t="s">
        <v>2130</v>
      </c>
      <c r="J820" s="27" t="s">
        <v>2131</v>
      </c>
      <c r="K820" s="27" t="s">
        <v>432</v>
      </c>
      <c r="L820" s="8"/>
      <c r="M820" s="8"/>
      <c r="N820" s="8"/>
      <c r="O820" s="8"/>
      <c r="P820" s="104"/>
      <c r="Q820" s="5"/>
      <c r="R820" s="8"/>
    </row>
    <row r="821" spans="1:96" x14ac:dyDescent="0.3">
      <c r="A821" s="433"/>
      <c r="B821" s="121"/>
      <c r="C821" s="27" t="s">
        <v>114</v>
      </c>
      <c r="D821" s="28">
        <v>27530</v>
      </c>
      <c r="E821" s="27">
        <v>2675911</v>
      </c>
      <c r="F821" s="27">
        <f t="shared" ca="1" si="74"/>
        <v>51</v>
      </c>
      <c r="G821" s="27" t="s">
        <v>2132</v>
      </c>
      <c r="H821" s="27"/>
      <c r="I821" s="26"/>
      <c r="J821" s="27"/>
      <c r="K821" s="27"/>
      <c r="L821" s="8"/>
      <c r="M821" s="8"/>
      <c r="N821" s="8"/>
      <c r="O821" s="8"/>
      <c r="P821" s="104"/>
      <c r="Q821" s="5"/>
      <c r="R821" s="8"/>
    </row>
    <row r="822" spans="1:96" x14ac:dyDescent="0.3">
      <c r="A822" s="433"/>
      <c r="B822" s="121"/>
      <c r="C822" s="27" t="s">
        <v>115</v>
      </c>
      <c r="D822" s="28">
        <v>40093</v>
      </c>
      <c r="E822" s="27">
        <v>3211213</v>
      </c>
      <c r="F822" s="27">
        <f t="shared" ca="1" si="74"/>
        <v>17</v>
      </c>
      <c r="G822" s="27"/>
      <c r="H822" s="27"/>
      <c r="I822" s="26"/>
      <c r="J822" s="27"/>
      <c r="K822" s="27"/>
      <c r="L822" s="8"/>
      <c r="M822" s="8"/>
      <c r="N822" s="8"/>
      <c r="O822" s="8"/>
      <c r="P822" s="104"/>
      <c r="Q822" s="5"/>
      <c r="R822" s="8"/>
    </row>
    <row r="823" spans="1:96" x14ac:dyDescent="0.3">
      <c r="A823" s="419"/>
      <c r="B823" s="121"/>
      <c r="C823" s="27" t="s">
        <v>116</v>
      </c>
      <c r="D823" s="28">
        <v>39169</v>
      </c>
      <c r="E823" s="27">
        <v>4253227</v>
      </c>
      <c r="F823" s="27">
        <f t="shared" ca="1" si="74"/>
        <v>19</v>
      </c>
      <c r="G823" s="27"/>
      <c r="H823" s="27"/>
      <c r="I823" s="26"/>
      <c r="J823" s="27"/>
      <c r="K823" s="27"/>
      <c r="L823" s="8"/>
      <c r="M823" s="8"/>
      <c r="N823" s="8"/>
      <c r="O823" s="8"/>
      <c r="P823" s="104"/>
      <c r="Q823" s="5"/>
      <c r="R823" s="8"/>
    </row>
    <row r="824" spans="1:96" x14ac:dyDescent="0.3">
      <c r="A824" s="431" t="s">
        <v>1610</v>
      </c>
      <c r="B824" s="116">
        <v>44447</v>
      </c>
      <c r="C824" s="22" t="s">
        <v>331</v>
      </c>
      <c r="D824" s="25">
        <v>29028</v>
      </c>
      <c r="E824" s="22">
        <v>1334917</v>
      </c>
      <c r="F824" s="22">
        <f t="shared" ref="F824:F862" ca="1" si="76">YEAR(TODAY())-YEAR(D824)</f>
        <v>47</v>
      </c>
      <c r="G824" s="22" t="s">
        <v>1611</v>
      </c>
      <c r="H824" s="22"/>
      <c r="I824" s="21" t="s">
        <v>2133</v>
      </c>
      <c r="J824" s="22" t="s">
        <v>2134</v>
      </c>
      <c r="K824" s="22" t="s">
        <v>432</v>
      </c>
      <c r="L824" s="8"/>
      <c r="M824" s="8"/>
      <c r="N824" s="8"/>
      <c r="O824" s="8"/>
      <c r="P824" s="104"/>
      <c r="Q824" s="5"/>
      <c r="R824" s="8"/>
    </row>
    <row r="825" spans="1:96" s="185" customFormat="1" x14ac:dyDescent="0.3">
      <c r="A825" s="435"/>
      <c r="B825" s="127"/>
      <c r="C825" s="22" t="s">
        <v>332</v>
      </c>
      <c r="D825" s="25">
        <v>30916</v>
      </c>
      <c r="E825" s="22">
        <v>2223510</v>
      </c>
      <c r="F825" s="22">
        <f t="shared" ca="1" si="76"/>
        <v>42</v>
      </c>
      <c r="G825" s="22" t="s">
        <v>1615</v>
      </c>
      <c r="H825" s="22"/>
      <c r="I825" s="21"/>
      <c r="J825" s="22"/>
      <c r="K825" s="22"/>
      <c r="L825" s="8"/>
      <c r="M825" s="8"/>
      <c r="N825" s="8"/>
      <c r="O825" s="8"/>
      <c r="P825" s="104"/>
      <c r="Q825" s="5"/>
      <c r="R825" s="8"/>
    </row>
    <row r="826" spans="1:96" s="185" customFormat="1" x14ac:dyDescent="0.3">
      <c r="A826" s="435"/>
      <c r="B826" s="127"/>
      <c r="C826" s="22" t="s">
        <v>333</v>
      </c>
      <c r="D826" s="25">
        <v>39278</v>
      </c>
      <c r="E826" s="22">
        <v>4408911</v>
      </c>
      <c r="F826" s="22">
        <f t="shared" ca="1" si="76"/>
        <v>19</v>
      </c>
      <c r="G826" s="22"/>
      <c r="H826" s="22"/>
      <c r="I826" s="21"/>
      <c r="J826" s="22"/>
      <c r="K826" s="22"/>
      <c r="L826" s="8"/>
      <c r="M826" s="8"/>
      <c r="N826" s="8"/>
      <c r="O826" s="8"/>
      <c r="P826" s="104"/>
      <c r="Q826" s="5"/>
      <c r="R826" s="8"/>
    </row>
    <row r="827" spans="1:96" s="185" customFormat="1" x14ac:dyDescent="0.3">
      <c r="A827" s="435"/>
      <c r="B827" s="127"/>
      <c r="C827" s="22" t="s">
        <v>1616</v>
      </c>
      <c r="D827" s="25">
        <v>40656</v>
      </c>
      <c r="E827" s="22">
        <v>4475933</v>
      </c>
      <c r="F827" s="22">
        <f t="shared" ref="F827:F828" ca="1" si="77">YEAR(TODAY())-YEAR(D827)</f>
        <v>15</v>
      </c>
      <c r="G827" s="22"/>
      <c r="H827" s="22"/>
      <c r="I827" s="21"/>
      <c r="J827" s="22"/>
      <c r="K827" s="22"/>
      <c r="L827" s="8"/>
      <c r="M827" s="8"/>
      <c r="N827" s="8"/>
      <c r="O827" s="8"/>
      <c r="P827" s="104"/>
      <c r="Q827" s="5"/>
      <c r="R827" s="8"/>
    </row>
    <row r="828" spans="1:96" s="185" customFormat="1" x14ac:dyDescent="0.3">
      <c r="A828" s="432"/>
      <c r="B828" s="127"/>
      <c r="C828" s="22" t="s">
        <v>1617</v>
      </c>
      <c r="D828" s="25">
        <v>41351</v>
      </c>
      <c r="E828" s="22">
        <v>3475933</v>
      </c>
      <c r="F828" s="22">
        <f t="shared" ca="1" si="77"/>
        <v>13</v>
      </c>
      <c r="G828" s="22"/>
      <c r="H828" s="22"/>
      <c r="I828" s="21"/>
      <c r="J828" s="22"/>
      <c r="K828" s="22"/>
      <c r="L828" s="8"/>
      <c r="M828" s="8"/>
      <c r="N828" s="8"/>
      <c r="O828" s="8"/>
      <c r="P828" s="104"/>
      <c r="Q828" s="5"/>
      <c r="R828" s="8"/>
    </row>
    <row r="829" spans="1:96" x14ac:dyDescent="0.3">
      <c r="A829" s="382" t="s">
        <v>2135</v>
      </c>
      <c r="B829" s="169"/>
      <c r="C829" s="176" t="s">
        <v>2136</v>
      </c>
      <c r="D829" s="269">
        <v>36194</v>
      </c>
      <c r="E829" s="176">
        <v>2164813</v>
      </c>
      <c r="F829" s="270"/>
      <c r="G829" s="176" t="s">
        <v>2137</v>
      </c>
      <c r="H829" s="270"/>
      <c r="I829" s="270"/>
      <c r="J829" s="176"/>
      <c r="K829" s="176"/>
      <c r="L829" s="270" t="s">
        <v>2138</v>
      </c>
      <c r="M829" s="270"/>
      <c r="N829" s="270"/>
      <c r="O829" s="270"/>
      <c r="P829" s="170"/>
      <c r="Q829" s="171"/>
      <c r="R829" s="270"/>
      <c r="S829" s="270"/>
      <c r="T829" s="270"/>
      <c r="U829" s="270"/>
      <c r="V829" s="270"/>
      <c r="W829" s="270"/>
      <c r="X829" s="270"/>
      <c r="Y829" s="270"/>
      <c r="Z829" s="270"/>
      <c r="AA829" s="270"/>
      <c r="AB829" s="270"/>
      <c r="AC829" s="270"/>
      <c r="AD829" s="270"/>
      <c r="AE829" s="270"/>
      <c r="AF829" s="270"/>
      <c r="AG829" s="270"/>
      <c r="AH829" s="270"/>
      <c r="AI829" s="270"/>
      <c r="AJ829" s="270"/>
      <c r="AK829" s="270"/>
      <c r="AL829" s="270"/>
      <c r="AM829" s="270"/>
      <c r="AN829" s="270"/>
      <c r="AO829" s="270"/>
      <c r="AP829" s="270"/>
      <c r="AQ829" s="270"/>
      <c r="AR829" s="270"/>
      <c r="AS829" s="270"/>
      <c r="AT829" s="270"/>
      <c r="AU829" s="270"/>
      <c r="AV829" s="270"/>
      <c r="AW829" s="270"/>
      <c r="AX829" s="270"/>
      <c r="AY829" s="270"/>
      <c r="AZ829" s="270"/>
      <c r="BA829" s="270"/>
      <c r="BB829" s="270"/>
      <c r="BC829" s="270"/>
      <c r="BD829" s="270"/>
      <c r="BE829" s="270"/>
      <c r="BF829" s="270"/>
      <c r="BG829" s="270"/>
      <c r="BH829" s="270"/>
      <c r="BI829" s="270"/>
      <c r="BJ829" s="270"/>
      <c r="BK829" s="270"/>
      <c r="BL829" s="270"/>
      <c r="BM829" s="270"/>
      <c r="BN829" s="270"/>
      <c r="BO829" s="270"/>
      <c r="BP829" s="270"/>
      <c r="BQ829" s="270"/>
      <c r="BR829" s="270"/>
      <c r="BS829" s="270"/>
      <c r="BT829" s="270"/>
      <c r="BU829" s="270"/>
      <c r="BV829" s="270"/>
      <c r="BW829" s="270"/>
      <c r="BX829" s="270"/>
      <c r="BY829" s="270"/>
      <c r="BZ829" s="270"/>
      <c r="CA829" s="270"/>
      <c r="CB829" s="270"/>
      <c r="CC829" s="270"/>
      <c r="CD829" s="270"/>
      <c r="CE829" s="270"/>
      <c r="CF829" s="270"/>
      <c r="CG829" s="270"/>
      <c r="CH829" s="270"/>
      <c r="CI829" s="270"/>
      <c r="CJ829" s="270"/>
      <c r="CK829" s="270"/>
      <c r="CL829" s="270"/>
      <c r="CM829" s="270"/>
      <c r="CN829" s="270"/>
      <c r="CO829" s="270"/>
      <c r="CP829" s="270"/>
      <c r="CQ829" s="270"/>
      <c r="CR829" s="270"/>
    </row>
    <row r="830" spans="1:96" x14ac:dyDescent="0.3">
      <c r="A830" s="385"/>
      <c r="B830" s="169"/>
      <c r="C830" s="176" t="s">
        <v>2139</v>
      </c>
      <c r="D830" s="269">
        <v>36670</v>
      </c>
      <c r="E830" s="176">
        <v>3164816</v>
      </c>
      <c r="F830" s="270"/>
      <c r="G830" s="176" t="s">
        <v>2140</v>
      </c>
      <c r="H830" s="270"/>
      <c r="I830" s="270"/>
      <c r="J830" s="176"/>
      <c r="K830" s="176"/>
      <c r="L830" s="270" t="s">
        <v>2141</v>
      </c>
      <c r="M830" s="270"/>
      <c r="N830" s="270"/>
      <c r="O830" s="270"/>
      <c r="P830" s="170"/>
      <c r="Q830" s="171"/>
      <c r="R830" s="270"/>
      <c r="S830" s="270"/>
      <c r="T830" s="270"/>
      <c r="U830" s="270"/>
      <c r="V830" s="270"/>
      <c r="W830" s="270"/>
      <c r="X830" s="270"/>
      <c r="Y830" s="270"/>
      <c r="Z830" s="270"/>
      <c r="AA830" s="270"/>
      <c r="AB830" s="270"/>
      <c r="AC830" s="270"/>
      <c r="AD830" s="270"/>
      <c r="AE830" s="270"/>
      <c r="AF830" s="270"/>
      <c r="AG830" s="270"/>
      <c r="AH830" s="270"/>
      <c r="AI830" s="270"/>
      <c r="AJ830" s="270"/>
      <c r="AK830" s="270"/>
      <c r="AL830" s="270"/>
      <c r="AM830" s="270"/>
      <c r="AN830" s="270"/>
      <c r="AO830" s="270"/>
      <c r="AP830" s="270"/>
      <c r="AQ830" s="270"/>
      <c r="AR830" s="270"/>
      <c r="AS830" s="270"/>
      <c r="AT830" s="270"/>
      <c r="AU830" s="270"/>
      <c r="AV830" s="270"/>
      <c r="AW830" s="270"/>
      <c r="AX830" s="270"/>
      <c r="AY830" s="270"/>
      <c r="AZ830" s="270"/>
      <c r="BA830" s="270"/>
      <c r="BB830" s="270"/>
      <c r="BC830" s="270"/>
      <c r="BD830" s="270"/>
      <c r="BE830" s="270"/>
      <c r="BF830" s="270"/>
      <c r="BG830" s="270"/>
      <c r="BH830" s="270"/>
      <c r="BI830" s="270"/>
      <c r="BJ830" s="270"/>
      <c r="BK830" s="270"/>
      <c r="BL830" s="270"/>
      <c r="BM830" s="270"/>
      <c r="BN830" s="270"/>
      <c r="BO830" s="270"/>
      <c r="BP830" s="270"/>
      <c r="BQ830" s="270"/>
      <c r="BR830" s="270"/>
      <c r="BS830" s="270"/>
      <c r="BT830" s="270"/>
      <c r="BU830" s="270"/>
      <c r="BV830" s="270"/>
      <c r="BW830" s="270"/>
      <c r="BX830" s="270"/>
      <c r="BY830" s="270"/>
      <c r="BZ830" s="270"/>
      <c r="CA830" s="270"/>
      <c r="CB830" s="270"/>
      <c r="CC830" s="270"/>
      <c r="CD830" s="270"/>
      <c r="CE830" s="270"/>
      <c r="CF830" s="270"/>
      <c r="CG830" s="270"/>
      <c r="CH830" s="270"/>
      <c r="CI830" s="270"/>
      <c r="CJ830" s="270"/>
      <c r="CK830" s="270"/>
      <c r="CL830" s="270"/>
      <c r="CM830" s="270"/>
      <c r="CN830" s="270"/>
      <c r="CO830" s="270"/>
      <c r="CP830" s="270"/>
      <c r="CQ830" s="270"/>
      <c r="CR830" s="270"/>
    </row>
    <row r="831" spans="1:96" x14ac:dyDescent="0.3">
      <c r="A831" s="384"/>
      <c r="B831" s="169"/>
      <c r="C831" s="176" t="s">
        <v>2142</v>
      </c>
      <c r="D831" s="269">
        <v>26155</v>
      </c>
      <c r="E831" s="176">
        <v>2222713</v>
      </c>
      <c r="F831" s="270"/>
      <c r="G831" s="176" t="s">
        <v>2143</v>
      </c>
      <c r="H831" s="270"/>
      <c r="I831" s="270"/>
      <c r="J831" s="176"/>
      <c r="K831" s="176"/>
      <c r="L831" s="270"/>
      <c r="M831" s="270"/>
      <c r="N831" s="270"/>
      <c r="O831" s="270"/>
      <c r="P831" s="170"/>
      <c r="Q831" s="171"/>
      <c r="R831" s="270"/>
      <c r="S831" s="270"/>
      <c r="T831" s="270"/>
      <c r="U831" s="270"/>
      <c r="V831" s="270"/>
      <c r="W831" s="270"/>
      <c r="X831" s="270"/>
      <c r="Y831" s="270"/>
      <c r="Z831" s="270"/>
      <c r="AA831" s="270"/>
      <c r="AB831" s="270"/>
      <c r="AC831" s="270"/>
      <c r="AD831" s="270"/>
      <c r="AE831" s="270"/>
      <c r="AF831" s="270"/>
      <c r="AG831" s="270"/>
      <c r="AH831" s="270"/>
      <c r="AI831" s="270"/>
      <c r="AJ831" s="270"/>
      <c r="AK831" s="270"/>
      <c r="AL831" s="270"/>
      <c r="AM831" s="270"/>
      <c r="AN831" s="270"/>
      <c r="AO831" s="270"/>
      <c r="AP831" s="270"/>
      <c r="AQ831" s="270"/>
      <c r="AR831" s="270"/>
      <c r="AS831" s="270"/>
      <c r="AT831" s="270"/>
      <c r="AU831" s="270"/>
      <c r="AV831" s="270"/>
      <c r="AW831" s="270"/>
      <c r="AX831" s="270"/>
      <c r="AY831" s="270"/>
      <c r="AZ831" s="270"/>
      <c r="BA831" s="270"/>
      <c r="BB831" s="270"/>
      <c r="BC831" s="270"/>
      <c r="BD831" s="270"/>
      <c r="BE831" s="270"/>
      <c r="BF831" s="270"/>
      <c r="BG831" s="270"/>
      <c r="BH831" s="270"/>
      <c r="BI831" s="270"/>
      <c r="BJ831" s="270"/>
      <c r="BK831" s="270"/>
      <c r="BL831" s="270"/>
      <c r="BM831" s="270"/>
      <c r="BN831" s="270"/>
      <c r="BO831" s="270"/>
      <c r="BP831" s="270"/>
      <c r="BQ831" s="270"/>
      <c r="BR831" s="270"/>
      <c r="BS831" s="270"/>
      <c r="BT831" s="270"/>
      <c r="BU831" s="270"/>
      <c r="BV831" s="270"/>
      <c r="BW831" s="270"/>
      <c r="BX831" s="270"/>
      <c r="BY831" s="270"/>
      <c r="BZ831" s="270"/>
      <c r="CA831" s="270"/>
      <c r="CB831" s="270"/>
      <c r="CC831" s="270"/>
      <c r="CD831" s="270"/>
      <c r="CE831" s="270"/>
      <c r="CF831" s="270"/>
      <c r="CG831" s="270"/>
      <c r="CH831" s="270"/>
      <c r="CI831" s="270"/>
      <c r="CJ831" s="270"/>
      <c r="CK831" s="270"/>
      <c r="CL831" s="270"/>
      <c r="CM831" s="270"/>
      <c r="CN831" s="270"/>
      <c r="CO831" s="270"/>
      <c r="CP831" s="270"/>
      <c r="CQ831" s="270"/>
      <c r="CR831" s="270"/>
    </row>
    <row r="832" spans="1:96" x14ac:dyDescent="0.3">
      <c r="A832" s="379"/>
      <c r="B832" s="277">
        <v>45543</v>
      </c>
      <c r="C832" s="176" t="s">
        <v>2144</v>
      </c>
      <c r="D832" s="269">
        <v>24400</v>
      </c>
      <c r="E832" s="176">
        <v>1023314</v>
      </c>
      <c r="F832" s="270"/>
      <c r="G832" s="176" t="s">
        <v>2145</v>
      </c>
      <c r="H832" s="270"/>
      <c r="I832" s="270"/>
      <c r="J832" s="176"/>
      <c r="K832" s="176"/>
      <c r="L832" s="270"/>
      <c r="M832" s="270"/>
      <c r="N832" s="270"/>
      <c r="O832" s="270"/>
      <c r="P832" s="170"/>
      <c r="Q832" s="171"/>
      <c r="R832" s="270"/>
      <c r="S832" s="270"/>
      <c r="T832" s="270"/>
      <c r="U832" s="270"/>
      <c r="V832" s="270"/>
      <c r="W832" s="270"/>
      <c r="X832" s="270"/>
      <c r="Y832" s="270"/>
      <c r="Z832" s="270"/>
      <c r="AA832" s="270"/>
      <c r="AB832" s="270"/>
      <c r="AC832" s="270"/>
      <c r="AD832" s="270"/>
      <c r="AE832" s="270"/>
      <c r="AF832" s="270"/>
      <c r="AG832" s="270"/>
      <c r="AH832" s="270"/>
      <c r="AI832" s="270"/>
      <c r="AJ832" s="270"/>
      <c r="AK832" s="270"/>
      <c r="AL832" s="270"/>
      <c r="AM832" s="270"/>
      <c r="AN832" s="270"/>
      <c r="AO832" s="270"/>
      <c r="AP832" s="270"/>
      <c r="AQ832" s="270"/>
      <c r="AR832" s="270"/>
      <c r="AS832" s="270"/>
      <c r="AT832" s="270"/>
      <c r="AU832" s="270"/>
      <c r="AV832" s="270"/>
      <c r="AW832" s="270"/>
      <c r="AX832" s="270"/>
      <c r="AY832" s="270"/>
      <c r="AZ832" s="270"/>
      <c r="BA832" s="270"/>
      <c r="BB832" s="270"/>
      <c r="BC832" s="270"/>
      <c r="BD832" s="270"/>
      <c r="BE832" s="270"/>
      <c r="BF832" s="270"/>
      <c r="BG832" s="270"/>
      <c r="BH832" s="270"/>
      <c r="BI832" s="270"/>
      <c r="BJ832" s="270"/>
      <c r="BK832" s="270"/>
      <c r="BL832" s="270"/>
      <c r="BM832" s="270"/>
      <c r="BN832" s="270"/>
      <c r="BO832" s="270"/>
      <c r="BP832" s="270"/>
      <c r="BQ832" s="270"/>
      <c r="BR832" s="270"/>
      <c r="BS832" s="270"/>
      <c r="BT832" s="270"/>
      <c r="BU832" s="270"/>
      <c r="BV832" s="270"/>
      <c r="BW832" s="270"/>
      <c r="BX832" s="270"/>
      <c r="BY832" s="270"/>
      <c r="BZ832" s="270"/>
      <c r="CA832" s="270"/>
      <c r="CB832" s="270"/>
      <c r="CC832" s="270"/>
      <c r="CD832" s="270"/>
      <c r="CE832" s="270"/>
      <c r="CF832" s="270"/>
      <c r="CG832" s="270"/>
      <c r="CH832" s="270"/>
      <c r="CI832" s="270"/>
      <c r="CJ832" s="270"/>
      <c r="CK832" s="270"/>
      <c r="CL832" s="270"/>
      <c r="CM832" s="270"/>
      <c r="CN832" s="270"/>
      <c r="CO832" s="270"/>
      <c r="CP832" s="270"/>
      <c r="CQ832" s="270"/>
      <c r="CR832" s="270"/>
    </row>
    <row r="833" spans="1:18" s="185" customFormat="1" x14ac:dyDescent="0.3">
      <c r="A833" s="390" t="s">
        <v>1189</v>
      </c>
      <c r="B833" s="119">
        <v>45179</v>
      </c>
      <c r="C833" s="36" t="s">
        <v>1190</v>
      </c>
      <c r="D833" s="37">
        <v>28629</v>
      </c>
      <c r="E833" s="36">
        <v>1468611</v>
      </c>
      <c r="F833" s="36">
        <f t="shared" ca="1" si="76"/>
        <v>48</v>
      </c>
      <c r="G833" s="36" t="s">
        <v>1191</v>
      </c>
      <c r="H833" s="36"/>
      <c r="I833" s="35" t="s">
        <v>2146</v>
      </c>
      <c r="J833" s="36" t="s">
        <v>2147</v>
      </c>
      <c r="K833" s="36" t="s">
        <v>432</v>
      </c>
      <c r="L833" s="8"/>
      <c r="M833" s="8"/>
      <c r="N833" s="8"/>
      <c r="O833" s="8"/>
      <c r="P833" s="104"/>
      <c r="Q833" s="5"/>
      <c r="R833" s="8"/>
    </row>
    <row r="834" spans="1:18" x14ac:dyDescent="0.3">
      <c r="A834" s="458"/>
      <c r="B834" s="120"/>
      <c r="C834" s="36" t="s">
        <v>1598</v>
      </c>
      <c r="D834" s="37">
        <v>29014</v>
      </c>
      <c r="E834" s="36">
        <v>2227519</v>
      </c>
      <c r="F834" s="36">
        <f t="shared" ca="1" si="76"/>
        <v>47</v>
      </c>
      <c r="G834" s="36" t="s">
        <v>1599</v>
      </c>
      <c r="H834" s="36"/>
      <c r="I834" s="35"/>
      <c r="J834" s="36"/>
      <c r="K834" s="36"/>
      <c r="L834" s="8"/>
      <c r="M834" s="8"/>
      <c r="N834" s="8"/>
      <c r="O834" s="8"/>
      <c r="P834" s="104"/>
      <c r="Q834" s="5"/>
      <c r="R834" s="8"/>
    </row>
    <row r="835" spans="1:18" s="76" customFormat="1" x14ac:dyDescent="0.3">
      <c r="A835" s="458"/>
      <c r="B835" s="120"/>
      <c r="C835" s="36" t="s">
        <v>2148</v>
      </c>
      <c r="D835" s="37"/>
      <c r="E835" s="36"/>
      <c r="F835" s="36">
        <f t="shared" ca="1" si="76"/>
        <v>126</v>
      </c>
      <c r="G835" s="36"/>
      <c r="H835" s="36"/>
      <c r="I835" s="35"/>
      <c r="J835" s="36"/>
      <c r="K835" s="36"/>
      <c r="L835" s="8"/>
      <c r="M835" s="8"/>
      <c r="N835" s="8"/>
      <c r="O835" s="8"/>
      <c r="P835" s="104"/>
      <c r="Q835" s="5"/>
      <c r="R835" s="8"/>
    </row>
    <row r="836" spans="1:18" x14ac:dyDescent="0.3">
      <c r="A836" s="458"/>
      <c r="B836" s="120"/>
      <c r="C836" s="36" t="s">
        <v>2149</v>
      </c>
      <c r="D836" s="37"/>
      <c r="E836" s="36"/>
      <c r="F836" s="36">
        <f t="shared" ca="1" si="76"/>
        <v>126</v>
      </c>
      <c r="G836" s="36"/>
      <c r="H836" s="36"/>
      <c r="I836" s="35"/>
      <c r="J836" s="36"/>
      <c r="K836" s="36"/>
      <c r="L836" s="8"/>
      <c r="M836" s="8"/>
      <c r="N836" s="8"/>
      <c r="O836" s="8"/>
      <c r="P836" s="104"/>
      <c r="Q836" s="5"/>
      <c r="R836" s="8"/>
    </row>
    <row r="837" spans="1:18" s="204" customFormat="1" x14ac:dyDescent="0.3">
      <c r="A837" s="391"/>
      <c r="B837" s="120"/>
      <c r="C837" s="36" t="s">
        <v>2150</v>
      </c>
      <c r="D837" s="37"/>
      <c r="E837" s="36"/>
      <c r="F837" s="36">
        <f t="shared" ca="1" si="76"/>
        <v>126</v>
      </c>
      <c r="G837" s="36"/>
      <c r="H837" s="36"/>
      <c r="I837" s="35"/>
      <c r="J837" s="36"/>
      <c r="K837" s="36"/>
      <c r="L837" s="8"/>
      <c r="M837" s="8"/>
      <c r="N837" s="8"/>
      <c r="O837" s="8"/>
      <c r="P837" s="104"/>
      <c r="Q837" s="5"/>
      <c r="R837" s="8"/>
    </row>
    <row r="838" spans="1:18" x14ac:dyDescent="0.3">
      <c r="A838" s="182" t="s">
        <v>2151</v>
      </c>
      <c r="B838" s="115">
        <v>44814</v>
      </c>
      <c r="C838" s="1" t="s">
        <v>334</v>
      </c>
      <c r="D838" s="2">
        <v>32528</v>
      </c>
      <c r="E838" s="1">
        <v>1852815</v>
      </c>
      <c r="F838" s="1">
        <f t="shared" ca="1" si="76"/>
        <v>37</v>
      </c>
      <c r="G838" s="1" t="s">
        <v>2152</v>
      </c>
      <c r="H838" s="1"/>
      <c r="I838" s="8" t="s">
        <v>2153</v>
      </c>
      <c r="J838" s="1" t="s">
        <v>2154</v>
      </c>
      <c r="K838" s="1" t="s">
        <v>432</v>
      </c>
      <c r="L838" s="8"/>
      <c r="M838" s="8"/>
      <c r="N838" s="8"/>
      <c r="O838" s="8"/>
      <c r="P838" s="104"/>
      <c r="Q838" s="5"/>
      <c r="R838" s="8"/>
    </row>
    <row r="839" spans="1:18" x14ac:dyDescent="0.3">
      <c r="A839" s="402" t="s">
        <v>2155</v>
      </c>
      <c r="B839" s="118">
        <v>45180</v>
      </c>
      <c r="C839" s="40" t="s">
        <v>2156</v>
      </c>
      <c r="D839" s="41">
        <v>22418</v>
      </c>
      <c r="E839" s="40">
        <v>2350812</v>
      </c>
      <c r="F839" s="40">
        <f t="shared" ca="1" si="76"/>
        <v>65</v>
      </c>
      <c r="G839" s="40" t="s">
        <v>2157</v>
      </c>
      <c r="H839" s="40"/>
      <c r="I839" s="39" t="s">
        <v>2158</v>
      </c>
      <c r="J839" s="40" t="s">
        <v>2159</v>
      </c>
      <c r="K839" s="40" t="s">
        <v>2160</v>
      </c>
      <c r="L839" s="8" t="s">
        <v>2161</v>
      </c>
      <c r="M839" s="8"/>
      <c r="N839" s="8"/>
      <c r="O839" s="8"/>
      <c r="P839" s="104"/>
      <c r="Q839" s="5"/>
      <c r="R839" s="8"/>
    </row>
    <row r="840" spans="1:18" x14ac:dyDescent="0.3">
      <c r="A840" s="379"/>
      <c r="B840" s="118"/>
      <c r="C840" s="40" t="s">
        <v>2162</v>
      </c>
      <c r="D840" s="41">
        <v>33872</v>
      </c>
      <c r="E840" s="40">
        <v>1352612</v>
      </c>
      <c r="F840" s="40"/>
      <c r="G840" s="40" t="s">
        <v>2163</v>
      </c>
      <c r="H840" s="40"/>
      <c r="I840" s="39"/>
      <c r="J840" s="40"/>
      <c r="K840" s="40"/>
      <c r="L840" s="8"/>
      <c r="M840" s="8"/>
      <c r="N840" s="8"/>
      <c r="O840" s="8"/>
      <c r="P840" s="104"/>
      <c r="Q840" s="5"/>
      <c r="R840" s="8"/>
    </row>
    <row r="841" spans="1:18" x14ac:dyDescent="0.3">
      <c r="A841" s="1" t="s">
        <v>1570</v>
      </c>
      <c r="B841" s="115">
        <v>45182</v>
      </c>
      <c r="C841" s="1" t="s">
        <v>167</v>
      </c>
      <c r="D841" s="2">
        <v>29146</v>
      </c>
      <c r="E841" s="1">
        <v>1011129</v>
      </c>
      <c r="F841" s="1">
        <f t="shared" ca="1" si="76"/>
        <v>47</v>
      </c>
      <c r="G841" s="1" t="s">
        <v>1572</v>
      </c>
      <c r="H841" s="1"/>
      <c r="I841" s="8" t="s">
        <v>2164</v>
      </c>
      <c r="J841" s="1" t="s">
        <v>2165</v>
      </c>
      <c r="K841" s="1" t="s">
        <v>432</v>
      </c>
      <c r="L841" s="8"/>
      <c r="M841" s="8"/>
      <c r="N841" s="8"/>
      <c r="O841" s="8"/>
      <c r="P841" s="104"/>
      <c r="Q841" s="5"/>
      <c r="R841" s="8"/>
    </row>
    <row r="842" spans="1:18" ht="33" x14ac:dyDescent="0.3">
      <c r="A842" s="202" t="s">
        <v>1587</v>
      </c>
      <c r="B842" s="117">
        <v>45185</v>
      </c>
      <c r="C842" s="27" t="s">
        <v>174</v>
      </c>
      <c r="D842" s="28">
        <v>28521</v>
      </c>
      <c r="E842" s="27">
        <v>1822829</v>
      </c>
      <c r="F842" s="27">
        <f t="shared" ca="1" si="76"/>
        <v>48</v>
      </c>
      <c r="G842" s="27" t="s">
        <v>1588</v>
      </c>
      <c r="H842" s="27"/>
      <c r="I842" s="26" t="s">
        <v>2166</v>
      </c>
      <c r="J842" s="244" t="s">
        <v>2167</v>
      </c>
      <c r="K842" s="27" t="s">
        <v>2168</v>
      </c>
      <c r="L842" s="1" t="s">
        <v>336</v>
      </c>
      <c r="M842" s="8"/>
      <c r="N842" s="8"/>
      <c r="O842" s="8"/>
      <c r="P842" s="104"/>
      <c r="Q842" s="5"/>
      <c r="R842" s="8"/>
    </row>
    <row r="843" spans="1:18" x14ac:dyDescent="0.3">
      <c r="A843" s="455" t="s">
        <v>2169</v>
      </c>
      <c r="B843" s="122">
        <v>45185</v>
      </c>
      <c r="C843" s="18" t="s">
        <v>698</v>
      </c>
      <c r="D843" s="19">
        <v>17126</v>
      </c>
      <c r="E843" s="18">
        <v>1140122</v>
      </c>
      <c r="F843" s="18">
        <f t="shared" ca="1" si="76"/>
        <v>80</v>
      </c>
      <c r="G843" s="18" t="s">
        <v>2170</v>
      </c>
      <c r="H843" s="18"/>
      <c r="I843" s="17" t="s">
        <v>2171</v>
      </c>
      <c r="J843" s="18" t="s">
        <v>432</v>
      </c>
      <c r="K843" s="18" t="s">
        <v>432</v>
      </c>
      <c r="L843" s="8"/>
      <c r="M843" s="8"/>
      <c r="N843" s="8"/>
      <c r="O843" s="8"/>
      <c r="P843" s="104"/>
      <c r="Q843" s="5"/>
      <c r="R843" s="8"/>
    </row>
    <row r="844" spans="1:18" x14ac:dyDescent="0.3">
      <c r="A844" s="456"/>
      <c r="B844" s="123"/>
      <c r="C844" s="18" t="s">
        <v>699</v>
      </c>
      <c r="D844" s="19">
        <v>18295</v>
      </c>
      <c r="E844" s="18">
        <v>2155112</v>
      </c>
      <c r="F844" s="18">
        <f t="shared" ca="1" si="76"/>
        <v>76</v>
      </c>
      <c r="G844" s="18" t="s">
        <v>2172</v>
      </c>
      <c r="H844" s="18"/>
      <c r="I844" s="17"/>
      <c r="J844" s="18"/>
      <c r="K844" s="18"/>
      <c r="L844" s="8"/>
      <c r="M844" s="8"/>
      <c r="N844" s="8"/>
      <c r="O844" s="8"/>
      <c r="P844" s="104"/>
      <c r="Q844" s="5"/>
      <c r="R844" s="8"/>
    </row>
    <row r="845" spans="1:18" x14ac:dyDescent="0.3">
      <c r="A845" s="457"/>
      <c r="B845" s="123"/>
      <c r="C845" s="18" t="s">
        <v>700</v>
      </c>
      <c r="D845" s="19">
        <v>29446</v>
      </c>
      <c r="E845" s="18">
        <v>1140317</v>
      </c>
      <c r="F845" s="18">
        <f t="shared" ca="1" si="76"/>
        <v>46</v>
      </c>
      <c r="G845" s="18" t="s">
        <v>2173</v>
      </c>
      <c r="H845" s="18"/>
      <c r="I845" s="17"/>
      <c r="J845" s="18"/>
      <c r="K845" s="18"/>
      <c r="L845" s="8"/>
      <c r="M845" s="8"/>
      <c r="N845" s="8"/>
      <c r="O845" s="8"/>
      <c r="P845" s="104"/>
      <c r="Q845" s="5"/>
      <c r="R845" s="8"/>
    </row>
    <row r="846" spans="1:18" s="189" customFormat="1" x14ac:dyDescent="0.3">
      <c r="A846" s="183" t="s">
        <v>799</v>
      </c>
      <c r="B846" s="112">
        <v>44821</v>
      </c>
      <c r="C846" s="30" t="s">
        <v>335</v>
      </c>
      <c r="D846" s="31">
        <v>30041</v>
      </c>
      <c r="E846" s="30">
        <v>1475911</v>
      </c>
      <c r="F846" s="30">
        <f t="shared" ca="1" si="76"/>
        <v>44</v>
      </c>
      <c r="G846" s="30" t="s">
        <v>2174</v>
      </c>
      <c r="H846" s="30"/>
      <c r="I846" s="29" t="s">
        <v>2175</v>
      </c>
      <c r="J846" s="30" t="s">
        <v>2176</v>
      </c>
      <c r="K846" s="30" t="s">
        <v>432</v>
      </c>
      <c r="L846" s="8"/>
      <c r="M846" s="8"/>
      <c r="N846" s="8"/>
      <c r="O846" s="8"/>
      <c r="P846" s="104"/>
      <c r="Q846" s="5"/>
      <c r="R846" s="8"/>
    </row>
    <row r="847" spans="1:18" x14ac:dyDescent="0.3">
      <c r="A847" s="420" t="s">
        <v>844</v>
      </c>
      <c r="B847" s="117">
        <v>45187</v>
      </c>
      <c r="C847" s="27" t="s">
        <v>1445</v>
      </c>
      <c r="D847" s="28">
        <v>24828</v>
      </c>
      <c r="E847" s="27">
        <v>1469410</v>
      </c>
      <c r="F847" s="27">
        <f t="shared" ca="1" si="76"/>
        <v>59</v>
      </c>
      <c r="G847" s="27" t="s">
        <v>1446</v>
      </c>
      <c r="H847" s="27"/>
      <c r="I847" s="26" t="s">
        <v>2177</v>
      </c>
      <c r="J847" s="27" t="s">
        <v>2178</v>
      </c>
      <c r="K847" s="27" t="s">
        <v>432</v>
      </c>
      <c r="L847" s="8"/>
      <c r="M847" s="8"/>
      <c r="N847" s="8"/>
      <c r="O847" s="8"/>
      <c r="P847" s="104"/>
      <c r="Q847" s="5"/>
      <c r="R847" s="8"/>
    </row>
    <row r="848" spans="1:18" s="76" customFormat="1" x14ac:dyDescent="0.3">
      <c r="A848" s="421"/>
      <c r="B848" s="121"/>
      <c r="C848" s="27" t="s">
        <v>845</v>
      </c>
      <c r="D848" s="28">
        <v>26037</v>
      </c>
      <c r="E848" s="27">
        <v>2470610</v>
      </c>
      <c r="F848" s="27">
        <f t="shared" ca="1" si="76"/>
        <v>55</v>
      </c>
      <c r="G848" s="27" t="s">
        <v>846</v>
      </c>
      <c r="H848" s="27"/>
      <c r="I848" s="26"/>
      <c r="J848" s="27" t="s">
        <v>432</v>
      </c>
      <c r="K848" s="27" t="s">
        <v>432</v>
      </c>
      <c r="L848" s="8"/>
      <c r="M848" s="8"/>
      <c r="N848" s="8"/>
      <c r="O848" s="8"/>
      <c r="P848" s="104"/>
      <c r="Q848" s="5"/>
      <c r="R848" s="8"/>
    </row>
    <row r="849" spans="1:96" s="76" customFormat="1" x14ac:dyDescent="0.3">
      <c r="A849" s="421"/>
      <c r="B849" s="121"/>
      <c r="C849" s="27" t="s">
        <v>2179</v>
      </c>
      <c r="D849" s="28">
        <v>34966</v>
      </c>
      <c r="E849" s="27">
        <v>1412311</v>
      </c>
      <c r="F849" s="27">
        <f t="shared" ca="1" si="76"/>
        <v>31</v>
      </c>
      <c r="G849" s="27"/>
      <c r="H849" s="27"/>
      <c r="I849" s="26"/>
      <c r="J849" s="27"/>
      <c r="K849" s="27"/>
      <c r="L849" s="8"/>
      <c r="M849" s="8"/>
      <c r="N849" s="8"/>
      <c r="O849" s="8"/>
      <c r="P849" s="104"/>
      <c r="Q849" s="5"/>
      <c r="R849" s="8"/>
    </row>
    <row r="850" spans="1:96" s="76" customFormat="1" x14ac:dyDescent="0.3">
      <c r="A850" s="183" t="s">
        <v>1044</v>
      </c>
      <c r="B850" s="112">
        <v>45188</v>
      </c>
      <c r="C850" s="30" t="s">
        <v>1056</v>
      </c>
      <c r="D850" s="31">
        <v>21008</v>
      </c>
      <c r="E850" s="30">
        <v>1403013</v>
      </c>
      <c r="F850" s="30">
        <f t="shared" ca="1" si="76"/>
        <v>69</v>
      </c>
      <c r="G850" s="30" t="s">
        <v>1057</v>
      </c>
      <c r="H850" s="30"/>
      <c r="I850" s="29" t="s">
        <v>2180</v>
      </c>
      <c r="J850" s="30" t="s">
        <v>432</v>
      </c>
      <c r="K850" s="30" t="s">
        <v>432</v>
      </c>
      <c r="L850" s="8"/>
      <c r="M850" s="8"/>
      <c r="N850" s="8"/>
      <c r="O850" s="8"/>
      <c r="P850" s="104"/>
      <c r="Q850" s="5"/>
      <c r="R850" s="8"/>
    </row>
    <row r="851" spans="1:96" s="76" customFormat="1" x14ac:dyDescent="0.3">
      <c r="A851" s="182" t="s">
        <v>1992</v>
      </c>
      <c r="B851" s="115">
        <v>45193</v>
      </c>
      <c r="C851" s="1" t="s">
        <v>2181</v>
      </c>
      <c r="D851" s="2">
        <v>22231</v>
      </c>
      <c r="E851" s="1">
        <v>1476518</v>
      </c>
      <c r="F851" s="1">
        <f t="shared" ca="1" si="76"/>
        <v>66</v>
      </c>
      <c r="G851" s="1"/>
      <c r="H851" s="1"/>
      <c r="I851" s="8" t="s">
        <v>2182</v>
      </c>
      <c r="J851" s="1" t="s">
        <v>2183</v>
      </c>
      <c r="K851" s="1" t="s">
        <v>432</v>
      </c>
      <c r="L851" s="8"/>
      <c r="M851" s="8"/>
      <c r="N851" s="8"/>
      <c r="O851" s="8"/>
      <c r="P851" s="104"/>
      <c r="Q851" s="5"/>
      <c r="R851" s="8"/>
    </row>
    <row r="852" spans="1:96" x14ac:dyDescent="0.3">
      <c r="A852" s="176" t="s">
        <v>2184</v>
      </c>
      <c r="B852" s="169" t="s">
        <v>2185</v>
      </c>
      <c r="C852" s="176" t="s">
        <v>2186</v>
      </c>
      <c r="D852" s="269">
        <v>24456</v>
      </c>
      <c r="E852" s="176">
        <v>1221136</v>
      </c>
      <c r="F852" s="270"/>
      <c r="G852" s="176" t="s">
        <v>2187</v>
      </c>
      <c r="H852" s="270"/>
      <c r="I852" s="270"/>
      <c r="J852" s="176"/>
      <c r="K852" s="176"/>
      <c r="L852" s="270"/>
      <c r="M852" s="270"/>
      <c r="N852" s="270"/>
      <c r="O852" s="270"/>
      <c r="P852" s="170"/>
      <c r="Q852" s="171"/>
      <c r="R852" s="270"/>
      <c r="S852" s="270"/>
      <c r="T852" s="270"/>
      <c r="U852" s="270"/>
      <c r="V852" s="270"/>
      <c r="W852" s="270"/>
      <c r="X852" s="270"/>
      <c r="Y852" s="270"/>
      <c r="Z852" s="270"/>
      <c r="AA852" s="270"/>
      <c r="AB852" s="270"/>
      <c r="AC852" s="270"/>
      <c r="AD852" s="270"/>
      <c r="AE852" s="270"/>
      <c r="AF852" s="270"/>
      <c r="AG852" s="270"/>
      <c r="AH852" s="270"/>
      <c r="AI852" s="270"/>
      <c r="AJ852" s="270"/>
      <c r="AK852" s="270"/>
      <c r="AL852" s="270"/>
      <c r="AM852" s="270"/>
      <c r="AN852" s="270"/>
      <c r="AO852" s="270"/>
      <c r="AP852" s="270"/>
      <c r="AQ852" s="270"/>
      <c r="AR852" s="270"/>
      <c r="AS852" s="270"/>
      <c r="AT852" s="270"/>
      <c r="AU852" s="270"/>
      <c r="AV852" s="270"/>
      <c r="AW852" s="270"/>
      <c r="AX852" s="270"/>
      <c r="AY852" s="270"/>
      <c r="AZ852" s="270"/>
      <c r="BA852" s="270"/>
      <c r="BB852" s="270"/>
      <c r="BC852" s="270"/>
      <c r="BD852" s="270"/>
      <c r="BE852" s="270"/>
      <c r="BF852" s="270"/>
      <c r="BG852" s="270"/>
      <c r="BH852" s="270"/>
      <c r="BI852" s="270"/>
      <c r="BJ852" s="270"/>
      <c r="BK852" s="270"/>
      <c r="BL852" s="270"/>
      <c r="BM852" s="270"/>
      <c r="BN852" s="270"/>
      <c r="BO852" s="270"/>
      <c r="BP852" s="270"/>
      <c r="BQ852" s="270"/>
      <c r="BR852" s="270"/>
      <c r="BS852" s="270"/>
      <c r="BT852" s="270"/>
      <c r="BU852" s="270"/>
      <c r="BV852" s="270"/>
      <c r="BW852" s="270"/>
      <c r="BX852" s="270"/>
      <c r="BY852" s="270"/>
      <c r="BZ852" s="270"/>
      <c r="CA852" s="270"/>
      <c r="CB852" s="270"/>
      <c r="CC852" s="270"/>
      <c r="CD852" s="270"/>
      <c r="CE852" s="270"/>
      <c r="CF852" s="270"/>
      <c r="CG852" s="270"/>
      <c r="CH852" s="270"/>
      <c r="CI852" s="270"/>
      <c r="CJ852" s="270"/>
      <c r="CK852" s="270"/>
      <c r="CL852" s="270"/>
      <c r="CM852" s="270"/>
      <c r="CN852" s="270"/>
      <c r="CO852" s="270"/>
      <c r="CP852" s="270"/>
      <c r="CQ852" s="270"/>
      <c r="CR852" s="270"/>
    </row>
    <row r="853" spans="1:96" s="76" customFormat="1" x14ac:dyDescent="0.3">
      <c r="A853" s="439" t="s">
        <v>880</v>
      </c>
      <c r="B853" s="118">
        <v>45194</v>
      </c>
      <c r="C853" s="40" t="s">
        <v>516</v>
      </c>
      <c r="D853" s="41">
        <v>34008</v>
      </c>
      <c r="E853" s="40">
        <v>1519914</v>
      </c>
      <c r="F853" s="40">
        <f t="shared" ca="1" si="76"/>
        <v>33</v>
      </c>
      <c r="G853" s="40" t="s">
        <v>2188</v>
      </c>
      <c r="H853" s="40"/>
      <c r="I853" s="39" t="s">
        <v>2189</v>
      </c>
      <c r="J853" s="40" t="s">
        <v>2190</v>
      </c>
      <c r="K853" s="40" t="s">
        <v>432</v>
      </c>
      <c r="L853" s="8"/>
      <c r="M853" s="8"/>
      <c r="N853" s="8"/>
      <c r="O853" s="8"/>
      <c r="P853" s="104"/>
      <c r="Q853" s="5"/>
      <c r="R853" s="8"/>
    </row>
    <row r="854" spans="1:96" x14ac:dyDescent="0.3">
      <c r="A854" s="439"/>
      <c r="B854" s="124"/>
      <c r="C854" s="40" t="s">
        <v>517</v>
      </c>
      <c r="D854" s="41">
        <v>30015</v>
      </c>
      <c r="E854" s="40">
        <v>1449617</v>
      </c>
      <c r="F854" s="40">
        <f t="shared" ca="1" si="76"/>
        <v>44</v>
      </c>
      <c r="G854" s="40" t="s">
        <v>1109</v>
      </c>
      <c r="H854" s="40"/>
      <c r="I854" s="39"/>
      <c r="J854" s="40"/>
      <c r="K854" s="40"/>
      <c r="L854" s="8"/>
      <c r="M854" s="8"/>
      <c r="N854" s="8"/>
      <c r="O854" s="8"/>
      <c r="P854" s="104"/>
      <c r="Q854" s="5"/>
      <c r="R854" s="8"/>
    </row>
    <row r="855" spans="1:96" x14ac:dyDescent="0.3">
      <c r="A855" s="439"/>
      <c r="B855" s="124"/>
      <c r="C855" s="40" t="s">
        <v>518</v>
      </c>
      <c r="D855" s="41">
        <v>31851</v>
      </c>
      <c r="E855" s="40">
        <v>2519917</v>
      </c>
      <c r="F855" s="40">
        <f t="shared" ca="1" si="76"/>
        <v>39</v>
      </c>
      <c r="G855" s="40" t="s">
        <v>2191</v>
      </c>
      <c r="H855" s="40"/>
      <c r="I855" s="39"/>
      <c r="J855" s="40"/>
      <c r="K855" s="40"/>
      <c r="L855" s="8"/>
      <c r="M855" s="8"/>
      <c r="N855" s="8"/>
      <c r="O855" s="8"/>
      <c r="P855" s="104"/>
      <c r="Q855" s="5"/>
      <c r="R855" s="8"/>
    </row>
    <row r="856" spans="1:96" x14ac:dyDescent="0.3">
      <c r="A856" s="439"/>
      <c r="B856" s="124"/>
      <c r="C856" s="40" t="s">
        <v>519</v>
      </c>
      <c r="D856" s="41">
        <v>41492</v>
      </c>
      <c r="E856" s="40">
        <v>3476018</v>
      </c>
      <c r="F856" s="40">
        <f t="shared" ca="1" si="76"/>
        <v>13</v>
      </c>
      <c r="G856" s="40"/>
      <c r="H856" s="40"/>
      <c r="I856" s="39"/>
      <c r="J856" s="40"/>
      <c r="K856" s="40"/>
      <c r="L856" s="8"/>
      <c r="M856" s="8"/>
      <c r="N856" s="8"/>
      <c r="O856" s="8"/>
      <c r="P856" s="104"/>
      <c r="Q856" s="5"/>
      <c r="R856" s="8"/>
    </row>
    <row r="857" spans="1:96" s="185" customFormat="1" x14ac:dyDescent="0.3">
      <c r="A857" s="439"/>
      <c r="B857" s="124"/>
      <c r="C857" s="40" t="s">
        <v>520</v>
      </c>
      <c r="D857" s="41">
        <v>42564</v>
      </c>
      <c r="E857" s="40">
        <v>4</v>
      </c>
      <c r="F857" s="40">
        <f t="shared" ca="1" si="76"/>
        <v>10</v>
      </c>
      <c r="G857" s="40"/>
      <c r="H857" s="40"/>
      <c r="I857" s="39"/>
      <c r="J857" s="40"/>
      <c r="K857" s="40"/>
      <c r="L857" s="8"/>
      <c r="M857" s="8"/>
      <c r="N857" s="8"/>
      <c r="O857" s="8"/>
      <c r="P857" s="104"/>
      <c r="Q857" s="5"/>
      <c r="R857" s="8"/>
    </row>
    <row r="858" spans="1:96" s="185" customFormat="1" x14ac:dyDescent="0.3">
      <c r="A858" s="327"/>
      <c r="B858" s="328"/>
      <c r="C858" s="223" t="s">
        <v>304</v>
      </c>
      <c r="D858" s="224" t="s">
        <v>1003</v>
      </c>
      <c r="E858" s="223"/>
      <c r="F858" s="223"/>
      <c r="G858" s="223"/>
      <c r="H858" s="223"/>
      <c r="I858" s="225" t="s">
        <v>3331</v>
      </c>
      <c r="J858" s="223"/>
      <c r="K858" s="223"/>
      <c r="L858" s="8"/>
      <c r="M858" s="8"/>
      <c r="N858" s="8"/>
      <c r="O858" s="8"/>
      <c r="P858" s="104"/>
      <c r="Q858" s="5"/>
      <c r="R858" s="8"/>
    </row>
    <row r="859" spans="1:96" s="185" customFormat="1" x14ac:dyDescent="0.3">
      <c r="A859" s="455" t="s">
        <v>2192</v>
      </c>
      <c r="B859" s="122">
        <v>45195</v>
      </c>
      <c r="C859" s="18" t="s">
        <v>2193</v>
      </c>
      <c r="D859" s="19">
        <v>30443</v>
      </c>
      <c r="E859" s="18">
        <v>2853121</v>
      </c>
      <c r="F859" s="18">
        <f t="shared" ca="1" si="76"/>
        <v>43</v>
      </c>
      <c r="G859" s="18" t="s">
        <v>2194</v>
      </c>
      <c r="H859" s="18"/>
      <c r="I859" s="17" t="s">
        <v>2195</v>
      </c>
      <c r="J859" s="18" t="s">
        <v>2196</v>
      </c>
      <c r="K859" s="18" t="s">
        <v>432</v>
      </c>
      <c r="L859" s="8"/>
      <c r="M859" s="8"/>
      <c r="N859" s="8"/>
      <c r="O859" s="8"/>
      <c r="P859" s="104"/>
      <c r="Q859" s="5"/>
      <c r="R859" s="8"/>
    </row>
    <row r="860" spans="1:96" x14ac:dyDescent="0.3">
      <c r="A860" s="470"/>
      <c r="B860" s="123"/>
      <c r="C860" s="18" t="s">
        <v>2197</v>
      </c>
      <c r="D860" s="19">
        <v>29553</v>
      </c>
      <c r="E860" s="18">
        <v>1849615</v>
      </c>
      <c r="F860" s="18">
        <f t="shared" ca="1" si="76"/>
        <v>46</v>
      </c>
      <c r="G860" s="18" t="s">
        <v>2198</v>
      </c>
      <c r="H860" s="18"/>
      <c r="I860" s="17"/>
      <c r="J860" s="18"/>
      <c r="K860" s="18"/>
      <c r="L860" s="8"/>
      <c r="M860" s="8"/>
      <c r="N860" s="8"/>
      <c r="O860" s="8"/>
      <c r="P860" s="104"/>
      <c r="Q860" s="5"/>
      <c r="R860" s="8"/>
    </row>
    <row r="861" spans="1:96" x14ac:dyDescent="0.3">
      <c r="A861" s="182" t="s">
        <v>1449</v>
      </c>
      <c r="B861" s="115">
        <v>44831</v>
      </c>
      <c r="C861" s="1" t="s">
        <v>337</v>
      </c>
      <c r="D861" s="2">
        <v>29993</v>
      </c>
      <c r="E861" s="1">
        <v>1682734</v>
      </c>
      <c r="F861" s="1">
        <f t="shared" ca="1" si="76"/>
        <v>44</v>
      </c>
      <c r="G861" s="1" t="s">
        <v>1450</v>
      </c>
      <c r="H861" s="1"/>
      <c r="I861" s="8" t="s">
        <v>2199</v>
      </c>
      <c r="J861" s="1" t="s">
        <v>2200</v>
      </c>
      <c r="K861" s="1" t="s">
        <v>432</v>
      </c>
      <c r="L861" s="8"/>
      <c r="M861" s="8"/>
      <c r="N861" s="8"/>
      <c r="O861" s="8"/>
      <c r="P861" s="104"/>
      <c r="Q861" s="5"/>
      <c r="R861" s="8"/>
    </row>
    <row r="862" spans="1:96" x14ac:dyDescent="0.3">
      <c r="A862" s="394" t="s">
        <v>1028</v>
      </c>
      <c r="B862" s="119">
        <v>45198</v>
      </c>
      <c r="C862" s="36" t="s">
        <v>461</v>
      </c>
      <c r="D862" s="37">
        <v>28620</v>
      </c>
      <c r="E862" s="36">
        <v>2466414</v>
      </c>
      <c r="F862" s="36">
        <f t="shared" ca="1" si="76"/>
        <v>48</v>
      </c>
      <c r="G862" s="36" t="s">
        <v>1029</v>
      </c>
      <c r="H862" s="36"/>
      <c r="I862" s="35" t="s">
        <v>2201</v>
      </c>
      <c r="J862" s="36" t="s">
        <v>432</v>
      </c>
      <c r="K862" s="36" t="s">
        <v>432</v>
      </c>
      <c r="L862" s="8"/>
      <c r="M862" s="8"/>
      <c r="N862" s="8"/>
      <c r="O862" s="8"/>
      <c r="P862" s="104"/>
      <c r="Q862" s="5"/>
      <c r="R862" s="8"/>
    </row>
    <row r="863" spans="1:96" x14ac:dyDescent="0.3">
      <c r="A863" s="394"/>
      <c r="B863" s="120"/>
      <c r="C863" s="36" t="s">
        <v>460</v>
      </c>
      <c r="D863" s="37">
        <v>28091</v>
      </c>
      <c r="E863" s="36">
        <v>2466414</v>
      </c>
      <c r="F863" s="36">
        <f t="shared" ref="F863:F864" ca="1" si="78">YEAR(TODAY())-YEAR(D863)</f>
        <v>50</v>
      </c>
      <c r="G863" s="36" t="s">
        <v>1029</v>
      </c>
      <c r="H863" s="36"/>
      <c r="I863" s="35"/>
      <c r="J863" s="36"/>
      <c r="K863" s="36"/>
      <c r="L863" s="8"/>
      <c r="M863" s="8"/>
      <c r="N863" s="8"/>
      <c r="O863" s="8"/>
      <c r="P863" s="104"/>
      <c r="Q863" s="5"/>
      <c r="R863" s="8"/>
    </row>
    <row r="864" spans="1:96" x14ac:dyDescent="0.3">
      <c r="B864" s="115">
        <v>45199</v>
      </c>
      <c r="C864" s="1" t="s">
        <v>546</v>
      </c>
      <c r="D864" s="2">
        <v>28887</v>
      </c>
      <c r="E864" s="1">
        <v>1475748</v>
      </c>
      <c r="F864" s="1">
        <f t="shared" ca="1" si="78"/>
        <v>47</v>
      </c>
      <c r="G864" s="1"/>
      <c r="H864" s="1"/>
      <c r="I864" s="8" t="s">
        <v>2202</v>
      </c>
      <c r="J864" s="1" t="s">
        <v>432</v>
      </c>
      <c r="K864" s="1" t="s">
        <v>432</v>
      </c>
      <c r="L864" s="8"/>
      <c r="M864" s="8"/>
      <c r="N864" s="8"/>
      <c r="O864" s="8"/>
      <c r="P864" s="104"/>
      <c r="Q864" s="5"/>
      <c r="R864" s="8"/>
    </row>
    <row r="865" spans="1:16384" customFormat="1" x14ac:dyDescent="0.3">
      <c r="A865" s="420" t="s">
        <v>2203</v>
      </c>
      <c r="B865" s="117">
        <v>45203</v>
      </c>
      <c r="C865" s="27" t="s">
        <v>490</v>
      </c>
      <c r="D865" s="28">
        <v>28815</v>
      </c>
      <c r="E865" s="27">
        <v>1914215</v>
      </c>
      <c r="F865" s="27">
        <f t="shared" ref="F865:F867" ca="1" si="79">YEAR(TODAY())-YEAR(D865)</f>
        <v>48</v>
      </c>
      <c r="G865" s="27" t="s">
        <v>2204</v>
      </c>
      <c r="H865" s="27"/>
      <c r="I865" s="26" t="s">
        <v>2205</v>
      </c>
      <c r="J865" s="27" t="s">
        <v>2206</v>
      </c>
      <c r="K865" s="27" t="s">
        <v>432</v>
      </c>
      <c r="L865" s="8"/>
      <c r="M865" s="8"/>
      <c r="N865" s="8"/>
      <c r="O865" s="8"/>
      <c r="P865" s="104"/>
      <c r="Q865" s="5"/>
      <c r="R865" s="8"/>
    </row>
    <row r="866" spans="1:16384" customFormat="1" x14ac:dyDescent="0.3">
      <c r="A866" s="420"/>
      <c r="B866" s="121"/>
      <c r="C866" s="27" t="s">
        <v>270</v>
      </c>
      <c r="D866" s="28">
        <v>29476</v>
      </c>
      <c r="E866" s="27">
        <v>2117825</v>
      </c>
      <c r="F866" s="27">
        <f t="shared" ca="1" si="79"/>
        <v>46</v>
      </c>
      <c r="G866" s="27"/>
      <c r="H866" s="27"/>
      <c r="I866" s="26"/>
      <c r="J866" s="27"/>
      <c r="K866" s="27"/>
      <c r="L866" s="8"/>
      <c r="M866" s="8" t="s">
        <v>61</v>
      </c>
      <c r="N866" s="8"/>
      <c r="O866" s="8"/>
      <c r="P866" s="104"/>
      <c r="Q866" s="5"/>
      <c r="R866" s="8"/>
    </row>
    <row r="867" spans="1:16384" customFormat="1" x14ac:dyDescent="0.3">
      <c r="A867" s="420"/>
      <c r="B867" s="121"/>
      <c r="C867" s="27" t="s">
        <v>491</v>
      </c>
      <c r="D867" s="28">
        <v>41663</v>
      </c>
      <c r="E867" s="27">
        <v>4126111</v>
      </c>
      <c r="F867" s="27">
        <f t="shared" ca="1" si="79"/>
        <v>12</v>
      </c>
      <c r="G867" s="27"/>
      <c r="H867" s="27"/>
      <c r="I867" s="26"/>
      <c r="J867" s="27"/>
      <c r="K867" s="27"/>
      <c r="L867" s="8"/>
      <c r="M867" s="8"/>
      <c r="N867" s="8"/>
      <c r="O867" s="8"/>
      <c r="P867" s="104"/>
      <c r="Q867" s="5"/>
      <c r="R867" s="8"/>
    </row>
    <row r="868" spans="1:16384" s="8" customFormat="1" x14ac:dyDescent="0.3">
      <c r="A868" s="378" t="s">
        <v>2207</v>
      </c>
      <c r="B868" s="273" t="s">
        <v>2208</v>
      </c>
      <c r="C868" s="1" t="s">
        <v>2209</v>
      </c>
      <c r="D868" s="2">
        <v>21657</v>
      </c>
      <c r="E868" s="1">
        <v>1448912</v>
      </c>
      <c r="F868" s="1">
        <f ca="1">YEAR(TODAY())-YEAR(D868)</f>
        <v>67</v>
      </c>
      <c r="G868" s="8" t="s">
        <v>2210</v>
      </c>
      <c r="I868" s="8" t="s">
        <v>2211</v>
      </c>
      <c r="J868" s="1"/>
      <c r="K868" s="1"/>
      <c r="L868" s="8" t="s">
        <v>2212</v>
      </c>
      <c r="P868" s="9"/>
      <c r="Q868" s="3"/>
    </row>
    <row r="869" spans="1:16384" s="8" customFormat="1" x14ac:dyDescent="0.3">
      <c r="A869" s="379"/>
      <c r="B869" s="273"/>
      <c r="C869" s="1" t="s">
        <v>2213</v>
      </c>
      <c r="D869" s="2">
        <v>23882</v>
      </c>
      <c r="E869" s="1">
        <v>2403418</v>
      </c>
      <c r="F869" s="1">
        <f ca="1">YEAR(TODAY())-YEAR(D869)</f>
        <v>61</v>
      </c>
      <c r="G869" s="8" t="s">
        <v>2214</v>
      </c>
      <c r="J869" s="1"/>
      <c r="K869" s="1"/>
      <c r="L869" s="8" t="s">
        <v>2215</v>
      </c>
      <c r="P869" s="9"/>
      <c r="Q869" s="3"/>
    </row>
    <row r="870" spans="1:16384" customFormat="1" x14ac:dyDescent="0.3">
      <c r="A870" s="285" t="s">
        <v>2216</v>
      </c>
      <c r="B870" s="109"/>
      <c r="C870" s="1" t="s">
        <v>2217</v>
      </c>
      <c r="D870" s="2">
        <v>34907</v>
      </c>
      <c r="E870" s="1">
        <v>2459915</v>
      </c>
      <c r="F870" s="1">
        <f ca="1">YEAR(TODAY())-YEAR(D870)</f>
        <v>31</v>
      </c>
      <c r="G870" s="1" t="s">
        <v>2218</v>
      </c>
      <c r="H870" s="1"/>
      <c r="I870" s="8"/>
      <c r="J870" s="1"/>
      <c r="K870" s="1"/>
      <c r="L870" s="8"/>
      <c r="M870" s="8"/>
      <c r="N870" s="8"/>
      <c r="O870" s="8"/>
      <c r="P870" s="9"/>
      <c r="Q870" s="3"/>
      <c r="R870" s="8"/>
    </row>
    <row r="871" spans="1:16384" customFormat="1" x14ac:dyDescent="0.3">
      <c r="A871" s="286"/>
      <c r="B871" s="115">
        <v>45570</v>
      </c>
      <c r="C871" s="1" t="s">
        <v>1798</v>
      </c>
      <c r="D871" s="2">
        <v>33834</v>
      </c>
      <c r="E871" s="1">
        <v>1411519</v>
      </c>
      <c r="F871" s="1">
        <f t="shared" ref="F871" ca="1" si="80">YEAR(TODAY())-YEAR(D871)</f>
        <v>34</v>
      </c>
      <c r="G871" s="1"/>
      <c r="H871" s="1"/>
      <c r="I871" s="8" t="s">
        <v>2219</v>
      </c>
      <c r="J871" s="1"/>
      <c r="K871" s="1"/>
      <c r="L871" s="8"/>
      <c r="M871" s="8"/>
      <c r="N871" s="8"/>
      <c r="O871" s="8"/>
      <c r="P871" s="9"/>
      <c r="Q871" s="3"/>
      <c r="R871" s="8"/>
    </row>
    <row r="872" spans="1:16384" customFormat="1" x14ac:dyDescent="0.3">
      <c r="A872" s="284"/>
      <c r="B872" s="109"/>
      <c r="C872" s="1" t="s">
        <v>2220</v>
      </c>
      <c r="D872" s="2">
        <v>45342</v>
      </c>
      <c r="E872" s="1">
        <v>4168741</v>
      </c>
      <c r="F872" s="1">
        <f ca="1">YEAR(TODAY())-YEAR(D872)</f>
        <v>2</v>
      </c>
      <c r="G872" s="1"/>
      <c r="H872" s="1"/>
      <c r="I872" s="8"/>
      <c r="J872" s="1"/>
      <c r="K872" s="1"/>
      <c r="L872" s="8"/>
      <c r="M872" s="8"/>
      <c r="N872" s="8"/>
      <c r="O872" s="8"/>
      <c r="P872" s="9"/>
      <c r="Q872" s="3"/>
      <c r="R872" s="8"/>
    </row>
    <row r="873" spans="1:16384" customFormat="1" x14ac:dyDescent="0.3">
      <c r="A873" s="439" t="s">
        <v>2221</v>
      </c>
      <c r="B873" s="118">
        <v>45204</v>
      </c>
      <c r="C873" s="40" t="s">
        <v>118</v>
      </c>
      <c r="D873" s="41">
        <v>29991</v>
      </c>
      <c r="E873" s="40">
        <v>2114724</v>
      </c>
      <c r="F873" s="40">
        <f ca="1">YEAR(TODAY())-YEAR(D873)</f>
        <v>44</v>
      </c>
      <c r="G873" s="40" t="s">
        <v>2222</v>
      </c>
      <c r="H873" s="40"/>
      <c r="I873" s="39" t="s">
        <v>2223</v>
      </c>
      <c r="J873" s="40" t="s">
        <v>2224</v>
      </c>
      <c r="K873" s="40" t="s">
        <v>432</v>
      </c>
      <c r="L873" s="8"/>
      <c r="M873" s="8"/>
      <c r="N873" s="8"/>
      <c r="O873" s="8"/>
      <c r="P873" s="104"/>
      <c r="Q873" s="5"/>
      <c r="R873" s="8"/>
    </row>
    <row r="874" spans="1:16384" customFormat="1" x14ac:dyDescent="0.3">
      <c r="A874" s="439"/>
      <c r="B874" s="118"/>
      <c r="C874" s="40" t="s">
        <v>117</v>
      </c>
      <c r="D874" s="41">
        <v>30573</v>
      </c>
      <c r="E874" s="40">
        <v>1111123</v>
      </c>
      <c r="F874" s="40">
        <f ca="1">YEAR(TODAY())-YEAR(D874)</f>
        <v>43</v>
      </c>
      <c r="G874" s="40" t="s">
        <v>2225</v>
      </c>
      <c r="H874" s="40"/>
      <c r="I874" s="39"/>
      <c r="J874" s="40" t="s">
        <v>2226</v>
      </c>
      <c r="K874" s="40" t="s">
        <v>432</v>
      </c>
      <c r="L874" s="8"/>
      <c r="M874" s="8"/>
      <c r="N874" s="8"/>
      <c r="O874" s="8"/>
      <c r="P874" s="104"/>
      <c r="Q874" s="5"/>
      <c r="R874" s="8"/>
    </row>
    <row r="875" spans="1:16384" customFormat="1" x14ac:dyDescent="0.3">
      <c r="A875" s="439"/>
      <c r="B875" s="124"/>
      <c r="C875" s="40" t="s">
        <v>119</v>
      </c>
      <c r="D875" s="41">
        <v>40301</v>
      </c>
      <c r="E875" s="40">
        <v>4412029</v>
      </c>
      <c r="F875" s="40">
        <f t="shared" ref="F875:F883" ca="1" si="81">YEAR(TODAY())-YEAR(D875)</f>
        <v>16</v>
      </c>
      <c r="G875" s="40"/>
      <c r="H875" s="40"/>
      <c r="I875" s="39"/>
      <c r="J875" s="40"/>
      <c r="K875" s="40"/>
      <c r="L875" s="8"/>
      <c r="M875" s="8"/>
      <c r="N875" s="8"/>
      <c r="O875" s="8"/>
      <c r="P875" s="104"/>
      <c r="Q875" s="5"/>
      <c r="R875" s="8"/>
    </row>
    <row r="876" spans="1:16384" customFormat="1" x14ac:dyDescent="0.3">
      <c r="A876" s="439"/>
      <c r="B876" s="124"/>
      <c r="C876" s="40" t="s">
        <v>121</v>
      </c>
      <c r="D876" s="41">
        <v>40301</v>
      </c>
      <c r="E876" s="40">
        <v>4412034</v>
      </c>
      <c r="F876" s="40">
        <f t="shared" ca="1" si="81"/>
        <v>16</v>
      </c>
      <c r="G876" s="40"/>
      <c r="H876" s="40"/>
      <c r="I876" s="39"/>
      <c r="J876" s="40"/>
      <c r="K876" s="40"/>
      <c r="L876" s="60">
        <v>44198</v>
      </c>
      <c r="M876" s="1" t="s">
        <v>22</v>
      </c>
      <c r="N876" s="1">
        <v>1472014</v>
      </c>
      <c r="O876" s="1" t="e">
        <f ca="1">YEAR(TODAY())-YEAR(#REF!)</f>
        <v>#REF!</v>
      </c>
      <c r="P876" s="1"/>
      <c r="Q876" s="1" t="s">
        <v>23</v>
      </c>
      <c r="R876" s="8"/>
      <c r="S876" s="30"/>
      <c r="T876" s="31"/>
      <c r="U876" s="30"/>
      <c r="V876" s="30"/>
      <c r="W876" s="245"/>
      <c r="X876" s="7"/>
      <c r="Y876" s="29"/>
      <c r="Z876" s="44"/>
      <c r="AA876" s="30"/>
      <c r="AB876" s="31"/>
      <c r="AC876" s="30"/>
      <c r="AD876" s="30"/>
      <c r="AE876" s="245"/>
      <c r="AF876" s="7"/>
      <c r="AG876" s="29"/>
      <c r="AH876" s="44"/>
      <c r="AI876" s="30"/>
      <c r="AJ876" s="31"/>
      <c r="AK876" s="30"/>
      <c r="AL876" s="30"/>
      <c r="AM876" s="245"/>
      <c r="AN876" s="7"/>
      <c r="AO876" s="29"/>
      <c r="AP876" s="44"/>
      <c r="AQ876" s="30"/>
      <c r="AR876" s="31"/>
      <c r="AS876" s="30"/>
      <c r="AT876" s="30"/>
      <c r="AU876" s="245"/>
      <c r="AV876" s="7"/>
      <c r="AW876" s="29"/>
      <c r="AX876" s="44"/>
      <c r="AY876" s="30"/>
      <c r="AZ876" s="31"/>
      <c r="BA876" s="30"/>
      <c r="BB876" s="30"/>
      <c r="BC876" s="245"/>
      <c r="BD876" s="7"/>
      <c r="BE876" s="29"/>
      <c r="BF876" s="44"/>
      <c r="BG876" s="30"/>
      <c r="BH876" s="31"/>
      <c r="BI876" s="30"/>
      <c r="BJ876" s="30"/>
      <c r="BK876" s="245"/>
      <c r="BL876" s="7"/>
      <c r="BM876" s="29"/>
      <c r="BN876" s="44"/>
      <c r="BO876" s="30"/>
      <c r="BP876" s="31"/>
      <c r="BQ876" s="30"/>
      <c r="BR876" s="30"/>
      <c r="BS876" s="245"/>
      <c r="BT876" s="7"/>
      <c r="BU876" s="29"/>
      <c r="BV876" s="44"/>
      <c r="BW876" s="30"/>
      <c r="BX876" s="31"/>
      <c r="BY876" s="30"/>
      <c r="BZ876" s="30"/>
      <c r="CA876" s="245"/>
      <c r="CB876" s="7"/>
      <c r="CC876" s="29"/>
      <c r="CD876" s="44"/>
      <c r="CE876" s="30"/>
      <c r="CF876" s="31"/>
      <c r="CG876" s="30"/>
      <c r="CH876" s="30"/>
      <c r="CI876" s="245"/>
      <c r="CJ876" s="7"/>
      <c r="CK876" s="29"/>
      <c r="CL876" s="44"/>
      <c r="CM876" s="30"/>
      <c r="CN876" s="31"/>
      <c r="CO876" s="30"/>
      <c r="CP876" s="30"/>
      <c r="CQ876" s="245"/>
      <c r="CR876" s="7"/>
      <c r="CS876" s="29"/>
      <c r="CT876" s="44"/>
      <c r="CU876" s="30"/>
      <c r="CV876" s="31"/>
      <c r="CW876" s="30"/>
      <c r="CX876" s="30"/>
      <c r="CY876" s="245"/>
      <c r="CZ876" s="7"/>
      <c r="DA876" s="29"/>
      <c r="DB876" s="44"/>
      <c r="DC876" s="30"/>
      <c r="DD876" s="31"/>
      <c r="DE876" s="30"/>
      <c r="DF876" s="30"/>
      <c r="DG876" s="245"/>
      <c r="DH876" s="7"/>
      <c r="DI876" s="29"/>
      <c r="DJ876" s="44"/>
      <c r="DK876" s="30"/>
      <c r="DL876" s="31"/>
      <c r="DM876" s="30"/>
      <c r="DN876" s="30"/>
      <c r="DO876" s="245"/>
      <c r="DP876" s="7"/>
      <c r="DQ876" s="29"/>
      <c r="DR876" s="44"/>
      <c r="DS876" s="30"/>
      <c r="DT876" s="31"/>
      <c r="DU876" s="30"/>
      <c r="DV876" s="30"/>
      <c r="DW876" s="245"/>
      <c r="DX876" s="7"/>
      <c r="DY876" s="29"/>
      <c r="DZ876" s="44"/>
      <c r="EA876" s="30"/>
      <c r="EB876" s="31"/>
      <c r="EC876" s="30"/>
      <c r="ED876" s="30"/>
      <c r="EE876" s="245"/>
      <c r="EF876" s="7"/>
      <c r="EG876" s="29"/>
      <c r="EH876" s="44"/>
      <c r="EI876" s="30"/>
      <c r="EJ876" s="31"/>
      <c r="EK876" s="30"/>
      <c r="EL876" s="30"/>
      <c r="EM876" s="245"/>
      <c r="EN876" s="7"/>
      <c r="EO876" s="29"/>
      <c r="EP876" s="44"/>
      <c r="EQ876" s="30"/>
      <c r="ER876" s="31"/>
      <c r="ES876" s="30"/>
      <c r="ET876" s="30"/>
      <c r="EU876" s="245"/>
      <c r="EV876" s="7"/>
      <c r="EW876" s="29"/>
      <c r="EX876" s="44"/>
      <c r="EY876" s="30"/>
      <c r="EZ876" s="31"/>
      <c r="FA876" s="30"/>
      <c r="FB876" s="30"/>
      <c r="FC876" s="245"/>
      <c r="FD876" s="7"/>
      <c r="FE876" s="29"/>
      <c r="FF876" s="44"/>
      <c r="FG876" s="30"/>
      <c r="FH876" s="31"/>
      <c r="FI876" s="30"/>
      <c r="FJ876" s="30"/>
      <c r="FK876" s="245"/>
      <c r="FL876" s="7"/>
      <c r="FM876" s="29"/>
      <c r="FN876" s="44">
        <v>44198</v>
      </c>
      <c r="FO876" s="30" t="s">
        <v>22</v>
      </c>
      <c r="FP876" s="31">
        <v>20890</v>
      </c>
      <c r="FQ876" s="30">
        <v>1472014</v>
      </c>
      <c r="FR876" s="30">
        <f ca="1">YEAR(TODAY())-YEAR(FP876)</f>
        <v>69</v>
      </c>
      <c r="FS876" s="245"/>
      <c r="FT876" s="7" t="s">
        <v>23</v>
      </c>
      <c r="FU876" s="29"/>
      <c r="FV876" s="44">
        <v>44198</v>
      </c>
      <c r="FW876" s="30" t="s">
        <v>22</v>
      </c>
      <c r="FX876" s="31">
        <v>20890</v>
      </c>
      <c r="FY876" s="30">
        <v>1472014</v>
      </c>
      <c r="FZ876" s="30">
        <f ca="1">YEAR(TODAY())-YEAR(FX876)</f>
        <v>69</v>
      </c>
      <c r="GA876" s="245"/>
      <c r="GB876" s="7" t="s">
        <v>23</v>
      </c>
      <c r="GC876" s="29"/>
      <c r="GD876" s="44">
        <v>44198</v>
      </c>
      <c r="GE876" s="30" t="s">
        <v>22</v>
      </c>
      <c r="GF876" s="31">
        <v>20890</v>
      </c>
      <c r="GG876" s="30">
        <v>1472014</v>
      </c>
      <c r="GH876" s="30">
        <f ca="1">YEAR(TODAY())-YEAR(GF876)</f>
        <v>69</v>
      </c>
      <c r="GI876" s="245"/>
      <c r="GJ876" s="7" t="s">
        <v>23</v>
      </c>
      <c r="GK876" s="29"/>
      <c r="GL876" s="44">
        <v>44198</v>
      </c>
      <c r="GM876" s="30" t="s">
        <v>22</v>
      </c>
      <c r="GN876" s="31">
        <v>20890</v>
      </c>
      <c r="GO876" s="30">
        <v>1472014</v>
      </c>
      <c r="GP876" s="30">
        <f ca="1">YEAR(TODAY())-YEAR(GN876)</f>
        <v>69</v>
      </c>
      <c r="GQ876" s="245"/>
      <c r="GR876" s="7" t="s">
        <v>23</v>
      </c>
      <c r="GS876" s="29"/>
      <c r="GT876" s="44">
        <v>44198</v>
      </c>
      <c r="GU876" s="30" t="s">
        <v>22</v>
      </c>
      <c r="GV876" s="31">
        <v>20890</v>
      </c>
      <c r="GW876" s="30">
        <v>1472014</v>
      </c>
      <c r="GX876" s="30">
        <f ca="1">YEAR(TODAY())-YEAR(GV876)</f>
        <v>69</v>
      </c>
      <c r="GY876" s="245"/>
      <c r="GZ876" s="7" t="s">
        <v>23</v>
      </c>
      <c r="HA876" s="29"/>
      <c r="HB876" s="44">
        <v>44198</v>
      </c>
      <c r="HC876" s="30" t="s">
        <v>22</v>
      </c>
      <c r="HD876" s="31">
        <v>20890</v>
      </c>
      <c r="HE876" s="30">
        <v>1472014</v>
      </c>
      <c r="HF876" s="30">
        <f ca="1">YEAR(TODAY())-YEAR(HD876)</f>
        <v>69</v>
      </c>
      <c r="HG876" s="245"/>
      <c r="HH876" s="7" t="s">
        <v>23</v>
      </c>
      <c r="HI876" s="29"/>
      <c r="HJ876" s="44">
        <v>44198</v>
      </c>
      <c r="HK876" s="30" t="s">
        <v>22</v>
      </c>
      <c r="HL876" s="31">
        <v>20890</v>
      </c>
      <c r="HM876" s="30">
        <v>1472014</v>
      </c>
      <c r="HN876" s="30">
        <f ca="1">YEAR(TODAY())-YEAR(HL876)</f>
        <v>69</v>
      </c>
      <c r="HO876" s="245"/>
      <c r="HP876" s="7" t="s">
        <v>23</v>
      </c>
      <c r="HQ876" s="29"/>
      <c r="HR876" s="44">
        <v>44198</v>
      </c>
      <c r="HS876" s="30" t="s">
        <v>22</v>
      </c>
      <c r="HT876" s="31">
        <v>20890</v>
      </c>
      <c r="HU876" s="30">
        <v>1472014</v>
      </c>
      <c r="HV876" s="30">
        <f ca="1">YEAR(TODAY())-YEAR(HT876)</f>
        <v>69</v>
      </c>
      <c r="HW876" s="245"/>
      <c r="HX876" s="7" t="s">
        <v>23</v>
      </c>
      <c r="HY876" s="29"/>
      <c r="HZ876" s="44">
        <v>44198</v>
      </c>
      <c r="IA876" s="30" t="s">
        <v>22</v>
      </c>
      <c r="IB876" s="31">
        <v>20890</v>
      </c>
      <c r="IC876" s="30">
        <v>1472014</v>
      </c>
      <c r="ID876" s="30">
        <f ca="1">YEAR(TODAY())-YEAR(IB876)</f>
        <v>69</v>
      </c>
      <c r="IE876" s="245"/>
      <c r="IF876" s="7" t="s">
        <v>23</v>
      </c>
      <c r="IG876" s="29"/>
      <c r="IH876" s="44">
        <v>44198</v>
      </c>
      <c r="II876" s="30" t="s">
        <v>22</v>
      </c>
      <c r="IJ876" s="31">
        <v>20890</v>
      </c>
      <c r="IK876" s="30">
        <v>1472014</v>
      </c>
      <c r="IL876" s="30">
        <f ca="1">YEAR(TODAY())-YEAR(IJ876)</f>
        <v>69</v>
      </c>
      <c r="IM876" s="245"/>
      <c r="IN876" s="7" t="s">
        <v>23</v>
      </c>
      <c r="IO876" s="29"/>
      <c r="IP876" s="44">
        <v>44198</v>
      </c>
      <c r="IQ876" s="30" t="s">
        <v>22</v>
      </c>
      <c r="IR876" s="31">
        <v>20890</v>
      </c>
      <c r="IS876" s="30">
        <v>1472014</v>
      </c>
      <c r="IT876" s="30">
        <f ca="1">YEAR(TODAY())-YEAR(IR876)</f>
        <v>69</v>
      </c>
      <c r="IU876" s="245"/>
      <c r="IV876" s="7" t="s">
        <v>23</v>
      </c>
      <c r="IW876" s="29"/>
      <c r="IX876" s="44">
        <v>44198</v>
      </c>
      <c r="IY876" s="30" t="s">
        <v>22</v>
      </c>
      <c r="IZ876" s="31">
        <v>20890</v>
      </c>
      <c r="JA876" s="30">
        <v>1472014</v>
      </c>
      <c r="JB876" s="30">
        <f ca="1">YEAR(TODAY())-YEAR(IZ876)</f>
        <v>69</v>
      </c>
      <c r="JC876" s="245"/>
      <c r="JD876" s="7" t="s">
        <v>23</v>
      </c>
      <c r="JE876" s="29"/>
      <c r="JF876" s="44">
        <v>44198</v>
      </c>
      <c r="JG876" s="30" t="s">
        <v>22</v>
      </c>
      <c r="JH876" s="31">
        <v>20890</v>
      </c>
      <c r="JI876" s="30">
        <v>1472014</v>
      </c>
      <c r="JJ876" s="30">
        <f ca="1">YEAR(TODAY())-YEAR(JH876)</f>
        <v>69</v>
      </c>
      <c r="JK876" s="245"/>
      <c r="JL876" s="7" t="s">
        <v>23</v>
      </c>
      <c r="JM876" s="29"/>
      <c r="JN876" s="44">
        <v>44198</v>
      </c>
      <c r="JO876" s="30" t="s">
        <v>22</v>
      </c>
      <c r="JP876" s="31">
        <v>20890</v>
      </c>
      <c r="JQ876" s="30">
        <v>1472014</v>
      </c>
      <c r="JR876" s="30">
        <f ca="1">YEAR(TODAY())-YEAR(JP876)</f>
        <v>69</v>
      </c>
      <c r="JS876" s="245"/>
      <c r="JT876" s="7" t="s">
        <v>23</v>
      </c>
      <c r="JU876" s="29"/>
      <c r="JV876" s="44">
        <v>44198</v>
      </c>
      <c r="JW876" s="30" t="s">
        <v>22</v>
      </c>
      <c r="JX876" s="31">
        <v>20890</v>
      </c>
      <c r="JY876" s="30">
        <v>1472014</v>
      </c>
      <c r="JZ876" s="30">
        <f ca="1">YEAR(TODAY())-YEAR(JX876)</f>
        <v>69</v>
      </c>
      <c r="KA876" s="245"/>
      <c r="KB876" s="7" t="s">
        <v>23</v>
      </c>
      <c r="KC876" s="29"/>
      <c r="KD876" s="44">
        <v>44198</v>
      </c>
      <c r="KE876" s="30" t="s">
        <v>22</v>
      </c>
      <c r="KF876" s="31">
        <v>20890</v>
      </c>
      <c r="KG876" s="30">
        <v>1472014</v>
      </c>
      <c r="KH876" s="30">
        <f ca="1">YEAR(TODAY())-YEAR(KF876)</f>
        <v>69</v>
      </c>
      <c r="KI876" s="245"/>
      <c r="KJ876" s="7" t="s">
        <v>23</v>
      </c>
      <c r="KK876" s="29"/>
      <c r="KL876" s="44">
        <v>44198</v>
      </c>
      <c r="KM876" s="30" t="s">
        <v>22</v>
      </c>
      <c r="KN876" s="31">
        <v>20890</v>
      </c>
      <c r="KO876" s="30">
        <v>1472014</v>
      </c>
      <c r="KP876" s="30">
        <f ca="1">YEAR(TODAY())-YEAR(KN876)</f>
        <v>69</v>
      </c>
      <c r="KQ876" s="245"/>
      <c r="KR876" s="7" t="s">
        <v>23</v>
      </c>
      <c r="KS876" s="29"/>
      <c r="KT876" s="44">
        <v>44198</v>
      </c>
      <c r="KU876" s="30" t="s">
        <v>22</v>
      </c>
      <c r="KV876" s="31">
        <v>20890</v>
      </c>
      <c r="KW876" s="30">
        <v>1472014</v>
      </c>
      <c r="KX876" s="30">
        <f ca="1">YEAR(TODAY())-YEAR(KV876)</f>
        <v>69</v>
      </c>
      <c r="KY876" s="245"/>
      <c r="KZ876" s="7" t="s">
        <v>23</v>
      </c>
      <c r="LA876" s="29"/>
      <c r="LB876" s="44">
        <v>44198</v>
      </c>
      <c r="LC876" s="30" t="s">
        <v>22</v>
      </c>
      <c r="LD876" s="31">
        <v>20890</v>
      </c>
      <c r="LE876" s="30">
        <v>1472014</v>
      </c>
      <c r="LF876" s="30">
        <f ca="1">YEAR(TODAY())-YEAR(LD876)</f>
        <v>69</v>
      </c>
      <c r="LG876" s="245"/>
      <c r="LH876" s="7" t="s">
        <v>23</v>
      </c>
      <c r="LI876" s="29"/>
      <c r="LJ876" s="44">
        <v>44198</v>
      </c>
      <c r="LK876" s="30" t="s">
        <v>22</v>
      </c>
      <c r="LL876" s="31">
        <v>20890</v>
      </c>
      <c r="LM876" s="30">
        <v>1472014</v>
      </c>
      <c r="LN876" s="30">
        <f ca="1">YEAR(TODAY())-YEAR(LL876)</f>
        <v>69</v>
      </c>
      <c r="LO876" s="245"/>
      <c r="LP876" s="7" t="s">
        <v>23</v>
      </c>
      <c r="LQ876" s="29"/>
      <c r="LR876" s="44">
        <v>44198</v>
      </c>
      <c r="LS876" s="30" t="s">
        <v>22</v>
      </c>
      <c r="LT876" s="31">
        <v>20890</v>
      </c>
      <c r="LU876" s="30">
        <v>1472014</v>
      </c>
      <c r="LV876" s="30">
        <f ca="1">YEAR(TODAY())-YEAR(LT876)</f>
        <v>69</v>
      </c>
      <c r="LW876" s="245"/>
      <c r="LX876" s="7" t="s">
        <v>23</v>
      </c>
      <c r="LY876" s="29"/>
      <c r="LZ876" s="44">
        <v>44198</v>
      </c>
      <c r="MA876" s="30" t="s">
        <v>22</v>
      </c>
      <c r="MB876" s="31">
        <v>20890</v>
      </c>
      <c r="MC876" s="30">
        <v>1472014</v>
      </c>
      <c r="MD876" s="30">
        <f ca="1">YEAR(TODAY())-YEAR(MB876)</f>
        <v>69</v>
      </c>
      <c r="ME876" s="245"/>
      <c r="MF876" s="7" t="s">
        <v>23</v>
      </c>
      <c r="MG876" s="29"/>
      <c r="MH876" s="44">
        <v>44198</v>
      </c>
      <c r="MI876" s="30" t="s">
        <v>22</v>
      </c>
      <c r="MJ876" s="31">
        <v>20890</v>
      </c>
      <c r="MK876" s="30">
        <v>1472014</v>
      </c>
      <c r="ML876" s="30">
        <f ca="1">YEAR(TODAY())-YEAR(MJ876)</f>
        <v>69</v>
      </c>
      <c r="MM876" s="245"/>
      <c r="MN876" s="7" t="s">
        <v>23</v>
      </c>
      <c r="MO876" s="29"/>
      <c r="MP876" s="44">
        <v>44198</v>
      </c>
      <c r="MQ876" s="30" t="s">
        <v>22</v>
      </c>
      <c r="MR876" s="31">
        <v>20890</v>
      </c>
      <c r="MS876" s="30">
        <v>1472014</v>
      </c>
      <c r="MT876" s="30">
        <f ca="1">YEAR(TODAY())-YEAR(MR876)</f>
        <v>69</v>
      </c>
      <c r="MU876" s="245"/>
      <c r="MV876" s="7" t="s">
        <v>23</v>
      </c>
      <c r="MW876" s="29"/>
      <c r="MX876" s="44">
        <v>44198</v>
      </c>
      <c r="MY876" s="30" t="s">
        <v>22</v>
      </c>
      <c r="MZ876" s="31">
        <v>20890</v>
      </c>
      <c r="NA876" s="30">
        <v>1472014</v>
      </c>
      <c r="NB876" s="30">
        <f ca="1">YEAR(TODAY())-YEAR(MZ876)</f>
        <v>69</v>
      </c>
      <c r="NC876" s="245"/>
      <c r="ND876" s="7" t="s">
        <v>23</v>
      </c>
      <c r="NE876" s="29"/>
      <c r="NF876" s="44">
        <v>44198</v>
      </c>
      <c r="NG876" s="30" t="s">
        <v>22</v>
      </c>
      <c r="NH876" s="31">
        <v>20890</v>
      </c>
      <c r="NI876" s="30">
        <v>1472014</v>
      </c>
      <c r="NJ876" s="30">
        <f ca="1">YEAR(TODAY())-YEAR(NH876)</f>
        <v>69</v>
      </c>
      <c r="NK876" s="245"/>
      <c r="NL876" s="7" t="s">
        <v>23</v>
      </c>
      <c r="NM876" s="29"/>
      <c r="NN876" s="44">
        <v>44198</v>
      </c>
      <c r="NO876" s="30" t="s">
        <v>22</v>
      </c>
      <c r="NP876" s="31">
        <v>20890</v>
      </c>
      <c r="NQ876" s="30">
        <v>1472014</v>
      </c>
      <c r="NR876" s="30">
        <f ca="1">YEAR(TODAY())-YEAR(NP876)</f>
        <v>69</v>
      </c>
      <c r="NS876" s="245"/>
      <c r="NT876" s="7" t="s">
        <v>23</v>
      </c>
      <c r="NU876" s="29"/>
      <c r="NV876" s="44">
        <v>44198</v>
      </c>
      <c r="NW876" s="30" t="s">
        <v>22</v>
      </c>
      <c r="NX876" s="31">
        <v>20890</v>
      </c>
      <c r="NY876" s="30">
        <v>1472014</v>
      </c>
      <c r="NZ876" s="30">
        <f ca="1">YEAR(TODAY())-YEAR(NX876)</f>
        <v>69</v>
      </c>
      <c r="OA876" s="245"/>
      <c r="OB876" s="7" t="s">
        <v>23</v>
      </c>
      <c r="OC876" s="29"/>
      <c r="OD876" s="44">
        <v>44198</v>
      </c>
      <c r="OE876" s="30" t="s">
        <v>22</v>
      </c>
      <c r="OF876" s="31">
        <v>20890</v>
      </c>
      <c r="OG876" s="30">
        <v>1472014</v>
      </c>
      <c r="OH876" s="30">
        <f ca="1">YEAR(TODAY())-YEAR(OF876)</f>
        <v>69</v>
      </c>
      <c r="OI876" s="245"/>
      <c r="OJ876" s="7" t="s">
        <v>23</v>
      </c>
      <c r="OK876" s="29"/>
      <c r="OL876" s="44">
        <v>44198</v>
      </c>
      <c r="OM876" s="30" t="s">
        <v>22</v>
      </c>
      <c r="ON876" s="31">
        <v>20890</v>
      </c>
      <c r="OO876" s="30">
        <v>1472014</v>
      </c>
      <c r="OP876" s="30">
        <f ca="1">YEAR(TODAY())-YEAR(ON876)</f>
        <v>69</v>
      </c>
      <c r="OQ876" s="245"/>
      <c r="OR876" s="7" t="s">
        <v>23</v>
      </c>
      <c r="OS876" s="29"/>
      <c r="OT876" s="44">
        <v>44198</v>
      </c>
      <c r="OU876" s="30" t="s">
        <v>22</v>
      </c>
      <c r="OV876" s="31">
        <v>20890</v>
      </c>
      <c r="OW876" s="30">
        <v>1472014</v>
      </c>
      <c r="OX876" s="30">
        <f ca="1">YEAR(TODAY())-YEAR(OV876)</f>
        <v>69</v>
      </c>
      <c r="OY876" s="245"/>
      <c r="OZ876" s="7" t="s">
        <v>23</v>
      </c>
      <c r="PA876" s="29"/>
      <c r="PB876" s="44">
        <v>44198</v>
      </c>
      <c r="PC876" s="30" t="s">
        <v>22</v>
      </c>
      <c r="PD876" s="31">
        <v>20890</v>
      </c>
      <c r="PE876" s="30">
        <v>1472014</v>
      </c>
      <c r="PF876" s="30">
        <f ca="1">YEAR(TODAY())-YEAR(PD876)</f>
        <v>69</v>
      </c>
      <c r="PG876" s="245"/>
      <c r="PH876" s="7" t="s">
        <v>23</v>
      </c>
      <c r="PI876" s="29"/>
      <c r="PJ876" s="44">
        <v>44198</v>
      </c>
      <c r="PK876" s="30" t="s">
        <v>22</v>
      </c>
      <c r="PL876" s="31">
        <v>20890</v>
      </c>
      <c r="PM876" s="30">
        <v>1472014</v>
      </c>
      <c r="PN876" s="30">
        <f ca="1">YEAR(TODAY())-YEAR(PL876)</f>
        <v>69</v>
      </c>
      <c r="PO876" s="245"/>
      <c r="PP876" s="7" t="s">
        <v>23</v>
      </c>
      <c r="PQ876" s="29"/>
      <c r="PR876" s="44">
        <v>44198</v>
      </c>
      <c r="PS876" s="30" t="s">
        <v>22</v>
      </c>
      <c r="PT876" s="31">
        <v>20890</v>
      </c>
      <c r="PU876" s="30">
        <v>1472014</v>
      </c>
      <c r="PV876" s="30">
        <f ca="1">YEAR(TODAY())-YEAR(PT876)</f>
        <v>69</v>
      </c>
      <c r="PW876" s="245"/>
      <c r="PX876" s="7" t="s">
        <v>23</v>
      </c>
      <c r="PY876" s="29"/>
      <c r="PZ876" s="44">
        <v>44198</v>
      </c>
      <c r="QA876" s="30" t="s">
        <v>22</v>
      </c>
      <c r="QB876" s="31">
        <v>20890</v>
      </c>
      <c r="QC876" s="30">
        <v>1472014</v>
      </c>
      <c r="QD876" s="30">
        <f ca="1">YEAR(TODAY())-YEAR(QB876)</f>
        <v>69</v>
      </c>
      <c r="QE876" s="245"/>
      <c r="QF876" s="7" t="s">
        <v>23</v>
      </c>
      <c r="QG876" s="29"/>
      <c r="QH876" s="44">
        <v>44198</v>
      </c>
      <c r="QI876" s="30" t="s">
        <v>22</v>
      </c>
      <c r="QJ876" s="31">
        <v>20890</v>
      </c>
      <c r="QK876" s="30">
        <v>1472014</v>
      </c>
      <c r="QL876" s="30">
        <f ca="1">YEAR(TODAY())-YEAR(QJ876)</f>
        <v>69</v>
      </c>
      <c r="QM876" s="245"/>
      <c r="QN876" s="7" t="s">
        <v>23</v>
      </c>
      <c r="QO876" s="29"/>
      <c r="QP876" s="44">
        <v>44198</v>
      </c>
      <c r="QQ876" s="30" t="s">
        <v>22</v>
      </c>
      <c r="QR876" s="31">
        <v>20890</v>
      </c>
      <c r="QS876" s="30">
        <v>1472014</v>
      </c>
      <c r="QT876" s="30">
        <f ca="1">YEAR(TODAY())-YEAR(QR876)</f>
        <v>69</v>
      </c>
      <c r="QU876" s="245"/>
      <c r="QV876" s="7" t="s">
        <v>23</v>
      </c>
      <c r="QW876" s="29"/>
      <c r="QX876" s="44">
        <v>44198</v>
      </c>
      <c r="QY876" s="30" t="s">
        <v>22</v>
      </c>
      <c r="QZ876" s="31">
        <v>20890</v>
      </c>
      <c r="RA876" s="30">
        <v>1472014</v>
      </c>
      <c r="RB876" s="30">
        <f ca="1">YEAR(TODAY())-YEAR(QZ876)</f>
        <v>69</v>
      </c>
      <c r="RC876" s="245"/>
      <c r="RD876" s="7" t="s">
        <v>23</v>
      </c>
      <c r="RE876" s="29"/>
      <c r="RF876" s="44">
        <v>44198</v>
      </c>
      <c r="RG876" s="30" t="s">
        <v>22</v>
      </c>
      <c r="RH876" s="31">
        <v>20890</v>
      </c>
      <c r="RI876" s="30">
        <v>1472014</v>
      </c>
      <c r="RJ876" s="30">
        <f ca="1">YEAR(TODAY())-YEAR(RH876)</f>
        <v>69</v>
      </c>
      <c r="RK876" s="245"/>
      <c r="RL876" s="7" t="s">
        <v>23</v>
      </c>
      <c r="RM876" s="29"/>
      <c r="RN876" s="44">
        <v>44198</v>
      </c>
      <c r="RO876" s="30" t="s">
        <v>22</v>
      </c>
      <c r="RP876" s="31">
        <v>20890</v>
      </c>
      <c r="RQ876" s="30">
        <v>1472014</v>
      </c>
      <c r="RR876" s="30">
        <f ca="1">YEAR(TODAY())-YEAR(RP876)</f>
        <v>69</v>
      </c>
      <c r="RS876" s="245"/>
      <c r="RT876" s="7" t="s">
        <v>23</v>
      </c>
      <c r="RU876" s="29"/>
      <c r="RV876" s="44">
        <v>44198</v>
      </c>
      <c r="RW876" s="30" t="s">
        <v>22</v>
      </c>
      <c r="RX876" s="31">
        <v>20890</v>
      </c>
      <c r="RY876" s="30">
        <v>1472014</v>
      </c>
      <c r="RZ876" s="30">
        <f ca="1">YEAR(TODAY())-YEAR(RX876)</f>
        <v>69</v>
      </c>
      <c r="SA876" s="245"/>
      <c r="SB876" s="7" t="s">
        <v>23</v>
      </c>
      <c r="SC876" s="29"/>
      <c r="SD876" s="44">
        <v>44198</v>
      </c>
      <c r="SE876" s="30" t="s">
        <v>22</v>
      </c>
      <c r="SF876" s="31">
        <v>20890</v>
      </c>
      <c r="SG876" s="30">
        <v>1472014</v>
      </c>
      <c r="SH876" s="30">
        <f ca="1">YEAR(TODAY())-YEAR(SF876)</f>
        <v>69</v>
      </c>
      <c r="SI876" s="245"/>
      <c r="SJ876" s="7" t="s">
        <v>23</v>
      </c>
      <c r="SK876" s="29"/>
      <c r="SL876" s="44">
        <v>44198</v>
      </c>
      <c r="SM876" s="30" t="s">
        <v>22</v>
      </c>
      <c r="SN876" s="31">
        <v>20890</v>
      </c>
      <c r="SO876" s="30">
        <v>1472014</v>
      </c>
      <c r="SP876" s="30">
        <f ca="1">YEAR(TODAY())-YEAR(SN876)</f>
        <v>69</v>
      </c>
      <c r="SQ876" s="245"/>
      <c r="SR876" s="7" t="s">
        <v>23</v>
      </c>
      <c r="SS876" s="29"/>
      <c r="ST876" s="44">
        <v>44198</v>
      </c>
      <c r="SU876" s="30" t="s">
        <v>22</v>
      </c>
      <c r="SV876" s="31">
        <v>20890</v>
      </c>
      <c r="SW876" s="30">
        <v>1472014</v>
      </c>
      <c r="SX876" s="30">
        <f ca="1">YEAR(TODAY())-YEAR(SV876)</f>
        <v>69</v>
      </c>
      <c r="SY876" s="245"/>
      <c r="SZ876" s="7" t="s">
        <v>23</v>
      </c>
      <c r="TA876" s="29"/>
      <c r="TB876" s="44">
        <v>44198</v>
      </c>
      <c r="TC876" s="30" t="s">
        <v>22</v>
      </c>
      <c r="TD876" s="31">
        <v>20890</v>
      </c>
      <c r="TE876" s="30">
        <v>1472014</v>
      </c>
      <c r="TF876" s="30">
        <f ca="1">YEAR(TODAY())-YEAR(TD876)</f>
        <v>69</v>
      </c>
      <c r="TG876" s="245"/>
      <c r="TH876" s="7" t="s">
        <v>23</v>
      </c>
      <c r="TI876" s="29"/>
      <c r="TJ876" s="44">
        <v>44198</v>
      </c>
      <c r="TK876" s="30" t="s">
        <v>22</v>
      </c>
      <c r="TL876" s="31">
        <v>20890</v>
      </c>
      <c r="TM876" s="30">
        <v>1472014</v>
      </c>
      <c r="TN876" s="30">
        <f ca="1">YEAR(TODAY())-YEAR(TL876)</f>
        <v>69</v>
      </c>
      <c r="TO876" s="245"/>
      <c r="TP876" s="7" t="s">
        <v>23</v>
      </c>
      <c r="TQ876" s="29"/>
      <c r="TR876" s="44">
        <v>44198</v>
      </c>
      <c r="TS876" s="30" t="s">
        <v>22</v>
      </c>
      <c r="TT876" s="31">
        <v>20890</v>
      </c>
      <c r="TU876" s="30">
        <v>1472014</v>
      </c>
      <c r="TV876" s="30">
        <f ca="1">YEAR(TODAY())-YEAR(TT876)</f>
        <v>69</v>
      </c>
      <c r="TW876" s="245"/>
      <c r="TX876" s="7" t="s">
        <v>23</v>
      </c>
      <c r="TY876" s="29"/>
      <c r="TZ876" s="44">
        <v>44198</v>
      </c>
      <c r="UA876" s="30" t="s">
        <v>22</v>
      </c>
      <c r="UB876" s="31">
        <v>20890</v>
      </c>
      <c r="UC876" s="30">
        <v>1472014</v>
      </c>
      <c r="UD876" s="30">
        <f ca="1">YEAR(TODAY())-YEAR(UB876)</f>
        <v>69</v>
      </c>
      <c r="UE876" s="245"/>
      <c r="UF876" s="7" t="s">
        <v>23</v>
      </c>
      <c r="UG876" s="29"/>
      <c r="UH876" s="44">
        <v>44198</v>
      </c>
      <c r="UI876" s="30" t="s">
        <v>22</v>
      </c>
      <c r="UJ876" s="31">
        <v>20890</v>
      </c>
      <c r="UK876" s="30">
        <v>1472014</v>
      </c>
      <c r="UL876" s="30">
        <f ca="1">YEAR(TODAY())-YEAR(UJ876)</f>
        <v>69</v>
      </c>
      <c r="UM876" s="245"/>
      <c r="UN876" s="7" t="s">
        <v>23</v>
      </c>
      <c r="UO876" s="29"/>
      <c r="UP876" s="44">
        <v>44198</v>
      </c>
      <c r="UQ876" s="30" t="s">
        <v>22</v>
      </c>
      <c r="UR876" s="31">
        <v>20890</v>
      </c>
      <c r="US876" s="30">
        <v>1472014</v>
      </c>
      <c r="UT876" s="30">
        <f ca="1">YEAR(TODAY())-YEAR(UR876)</f>
        <v>69</v>
      </c>
      <c r="UU876" s="245"/>
      <c r="UV876" s="7" t="s">
        <v>23</v>
      </c>
      <c r="UW876" s="29"/>
      <c r="UX876" s="44">
        <v>44198</v>
      </c>
      <c r="UY876" s="30" t="s">
        <v>22</v>
      </c>
      <c r="UZ876" s="31">
        <v>20890</v>
      </c>
      <c r="VA876" s="30">
        <v>1472014</v>
      </c>
      <c r="VB876" s="30">
        <f ca="1">YEAR(TODAY())-YEAR(UZ876)</f>
        <v>69</v>
      </c>
      <c r="VC876" s="245"/>
      <c r="VD876" s="7" t="s">
        <v>23</v>
      </c>
      <c r="VE876" s="29"/>
      <c r="VF876" s="44">
        <v>44198</v>
      </c>
      <c r="VG876" s="30" t="s">
        <v>22</v>
      </c>
      <c r="VH876" s="31">
        <v>20890</v>
      </c>
      <c r="VI876" s="30">
        <v>1472014</v>
      </c>
      <c r="VJ876" s="30">
        <f ca="1">YEAR(TODAY())-YEAR(VH876)</f>
        <v>69</v>
      </c>
      <c r="VK876" s="245"/>
      <c r="VL876" s="7" t="s">
        <v>23</v>
      </c>
      <c r="VM876" s="29"/>
      <c r="VN876" s="44">
        <v>44198</v>
      </c>
      <c r="VO876" s="30" t="s">
        <v>22</v>
      </c>
      <c r="VP876" s="31">
        <v>20890</v>
      </c>
      <c r="VQ876" s="30">
        <v>1472014</v>
      </c>
      <c r="VR876" s="30">
        <f ca="1">YEAR(TODAY())-YEAR(VP876)</f>
        <v>69</v>
      </c>
      <c r="VS876" s="245"/>
      <c r="VT876" s="7" t="s">
        <v>23</v>
      </c>
      <c r="VU876" s="29"/>
      <c r="VV876" s="44">
        <v>44198</v>
      </c>
      <c r="VW876" s="30" t="s">
        <v>22</v>
      </c>
      <c r="VX876" s="31">
        <v>20890</v>
      </c>
      <c r="VY876" s="30">
        <v>1472014</v>
      </c>
      <c r="VZ876" s="30">
        <f ca="1">YEAR(TODAY())-YEAR(VX876)</f>
        <v>69</v>
      </c>
      <c r="WA876" s="245"/>
      <c r="WB876" s="7" t="s">
        <v>23</v>
      </c>
      <c r="WC876" s="29"/>
      <c r="WD876" s="44">
        <v>44198</v>
      </c>
      <c r="WE876" s="30" t="s">
        <v>22</v>
      </c>
      <c r="WF876" s="31">
        <v>20890</v>
      </c>
      <c r="WG876" s="30">
        <v>1472014</v>
      </c>
      <c r="WH876" s="30">
        <f ca="1">YEAR(TODAY())-YEAR(WF876)</f>
        <v>69</v>
      </c>
      <c r="WI876" s="245"/>
      <c r="WJ876" s="7" t="s">
        <v>23</v>
      </c>
      <c r="WK876" s="29"/>
      <c r="WL876" s="44">
        <v>44198</v>
      </c>
      <c r="WM876" s="30" t="s">
        <v>22</v>
      </c>
      <c r="WN876" s="31">
        <v>20890</v>
      </c>
      <c r="WO876" s="30">
        <v>1472014</v>
      </c>
      <c r="WP876" s="30">
        <f ca="1">YEAR(TODAY())-YEAR(WN876)</f>
        <v>69</v>
      </c>
      <c r="WQ876" s="245"/>
      <c r="WR876" s="7" t="s">
        <v>23</v>
      </c>
      <c r="WS876" s="29"/>
      <c r="WT876" s="44">
        <v>44198</v>
      </c>
      <c r="WU876" s="30" t="s">
        <v>22</v>
      </c>
      <c r="WV876" s="31">
        <v>20890</v>
      </c>
      <c r="WW876" s="30">
        <v>1472014</v>
      </c>
      <c r="WX876" s="30">
        <f ca="1">YEAR(TODAY())-YEAR(WV876)</f>
        <v>69</v>
      </c>
      <c r="WY876" s="245"/>
      <c r="WZ876" s="7" t="s">
        <v>23</v>
      </c>
      <c r="XA876" s="29"/>
      <c r="XB876" s="44">
        <v>44198</v>
      </c>
      <c r="XC876" s="30" t="s">
        <v>22</v>
      </c>
      <c r="XD876" s="31">
        <v>20890</v>
      </c>
      <c r="XE876" s="30">
        <v>1472014</v>
      </c>
      <c r="XF876" s="30">
        <f ca="1">YEAR(TODAY())-YEAR(XD876)</f>
        <v>69</v>
      </c>
      <c r="XG876" s="245"/>
      <c r="XH876" s="7" t="s">
        <v>23</v>
      </c>
      <c r="XI876" s="29"/>
      <c r="XJ876" s="44">
        <v>44198</v>
      </c>
      <c r="XK876" s="30" t="s">
        <v>22</v>
      </c>
      <c r="XL876" s="31">
        <v>20890</v>
      </c>
      <c r="XM876" s="30">
        <v>1472014</v>
      </c>
      <c r="XN876" s="30">
        <f ca="1">YEAR(TODAY())-YEAR(XL876)</f>
        <v>69</v>
      </c>
      <c r="XO876" s="245"/>
      <c r="XP876" s="7" t="s">
        <v>23</v>
      </c>
      <c r="XQ876" s="29"/>
      <c r="XR876" s="44">
        <v>44198</v>
      </c>
      <c r="XS876" s="30" t="s">
        <v>22</v>
      </c>
      <c r="XT876" s="31">
        <v>20890</v>
      </c>
      <c r="XU876" s="30">
        <v>1472014</v>
      </c>
      <c r="XV876" s="30">
        <f ca="1">YEAR(TODAY())-YEAR(XT876)</f>
        <v>69</v>
      </c>
      <c r="XW876" s="245"/>
      <c r="XX876" s="7" t="s">
        <v>23</v>
      </c>
      <c r="XY876" s="29"/>
      <c r="XZ876" s="44">
        <v>44198</v>
      </c>
      <c r="YA876" s="30" t="s">
        <v>22</v>
      </c>
      <c r="YB876" s="31">
        <v>20890</v>
      </c>
      <c r="YC876" s="30">
        <v>1472014</v>
      </c>
      <c r="YD876" s="30">
        <f ca="1">YEAR(TODAY())-YEAR(YB876)</f>
        <v>69</v>
      </c>
      <c r="YE876" s="245"/>
      <c r="YF876" s="7" t="s">
        <v>23</v>
      </c>
      <c r="YG876" s="29"/>
      <c r="YH876" s="44">
        <v>44198</v>
      </c>
      <c r="YI876" s="30" t="s">
        <v>22</v>
      </c>
      <c r="YJ876" s="31">
        <v>20890</v>
      </c>
      <c r="YK876" s="30">
        <v>1472014</v>
      </c>
      <c r="YL876" s="30">
        <f ca="1">YEAR(TODAY())-YEAR(YJ876)</f>
        <v>69</v>
      </c>
      <c r="YM876" s="245"/>
      <c r="YN876" s="7" t="s">
        <v>23</v>
      </c>
      <c r="YO876" s="29"/>
      <c r="YP876" s="44">
        <v>44198</v>
      </c>
      <c r="YQ876" s="30" t="s">
        <v>22</v>
      </c>
      <c r="YR876" s="31">
        <v>20890</v>
      </c>
      <c r="YS876" s="30">
        <v>1472014</v>
      </c>
      <c r="YT876" s="30">
        <f ca="1">YEAR(TODAY())-YEAR(YR876)</f>
        <v>69</v>
      </c>
      <c r="YU876" s="245"/>
      <c r="YV876" s="7" t="s">
        <v>23</v>
      </c>
      <c r="YW876" s="29"/>
      <c r="YX876" s="44">
        <v>44198</v>
      </c>
      <c r="YY876" s="30" t="s">
        <v>22</v>
      </c>
      <c r="YZ876" s="31">
        <v>20890</v>
      </c>
      <c r="ZA876" s="30">
        <v>1472014</v>
      </c>
      <c r="ZB876" s="30">
        <f ca="1">YEAR(TODAY())-YEAR(YZ876)</f>
        <v>69</v>
      </c>
      <c r="ZC876" s="245"/>
      <c r="ZD876" s="7" t="s">
        <v>23</v>
      </c>
      <c r="ZE876" s="29"/>
      <c r="ZF876" s="44">
        <v>44198</v>
      </c>
      <c r="ZG876" s="30" t="s">
        <v>22</v>
      </c>
      <c r="ZH876" s="31">
        <v>20890</v>
      </c>
      <c r="ZI876" s="30">
        <v>1472014</v>
      </c>
      <c r="ZJ876" s="30">
        <f ca="1">YEAR(TODAY())-YEAR(ZH876)</f>
        <v>69</v>
      </c>
      <c r="ZK876" s="245"/>
      <c r="ZL876" s="7" t="s">
        <v>23</v>
      </c>
      <c r="ZM876" s="29"/>
      <c r="ZN876" s="44">
        <v>44198</v>
      </c>
      <c r="ZO876" s="30" t="s">
        <v>22</v>
      </c>
      <c r="ZP876" s="31">
        <v>20890</v>
      </c>
      <c r="ZQ876" s="30">
        <v>1472014</v>
      </c>
      <c r="ZR876" s="30">
        <f ca="1">YEAR(TODAY())-YEAR(ZP876)</f>
        <v>69</v>
      </c>
      <c r="ZS876" s="245"/>
      <c r="ZT876" s="7" t="s">
        <v>23</v>
      </c>
      <c r="ZU876" s="29"/>
      <c r="ZV876" s="44">
        <v>44198</v>
      </c>
      <c r="ZW876" s="30" t="s">
        <v>22</v>
      </c>
      <c r="ZX876" s="31">
        <v>20890</v>
      </c>
      <c r="ZY876" s="30">
        <v>1472014</v>
      </c>
      <c r="ZZ876" s="30">
        <f ca="1">YEAR(TODAY())-YEAR(ZX876)</f>
        <v>69</v>
      </c>
      <c r="AAA876" s="245"/>
      <c r="AAB876" s="7" t="s">
        <v>23</v>
      </c>
      <c r="AAC876" s="29"/>
      <c r="AAD876" s="44">
        <v>44198</v>
      </c>
      <c r="AAE876" s="30" t="s">
        <v>22</v>
      </c>
      <c r="AAF876" s="31">
        <v>20890</v>
      </c>
      <c r="AAG876" s="30">
        <v>1472014</v>
      </c>
      <c r="AAH876" s="30">
        <f ca="1">YEAR(TODAY())-YEAR(AAF876)</f>
        <v>69</v>
      </c>
      <c r="AAI876" s="245"/>
      <c r="AAJ876" s="7" t="s">
        <v>23</v>
      </c>
      <c r="AAK876" s="29"/>
      <c r="AAL876" s="44">
        <v>44198</v>
      </c>
      <c r="AAM876" s="30" t="s">
        <v>22</v>
      </c>
      <c r="AAN876" s="31">
        <v>20890</v>
      </c>
      <c r="AAO876" s="30">
        <v>1472014</v>
      </c>
      <c r="AAP876" s="30">
        <f ca="1">YEAR(TODAY())-YEAR(AAN876)</f>
        <v>69</v>
      </c>
      <c r="AAQ876" s="245"/>
      <c r="AAR876" s="7" t="s">
        <v>23</v>
      </c>
      <c r="AAS876" s="29"/>
      <c r="AAT876" s="44">
        <v>44198</v>
      </c>
      <c r="AAU876" s="30" t="s">
        <v>22</v>
      </c>
      <c r="AAV876" s="31">
        <v>20890</v>
      </c>
      <c r="AAW876" s="30">
        <v>1472014</v>
      </c>
      <c r="AAX876" s="30">
        <f ca="1">YEAR(TODAY())-YEAR(AAV876)</f>
        <v>69</v>
      </c>
      <c r="AAY876" s="245"/>
      <c r="AAZ876" s="7" t="s">
        <v>23</v>
      </c>
      <c r="ABA876" s="29"/>
      <c r="ABB876" s="44">
        <v>44198</v>
      </c>
      <c r="ABC876" s="30" t="s">
        <v>22</v>
      </c>
      <c r="ABD876" s="31">
        <v>20890</v>
      </c>
      <c r="ABE876" s="30">
        <v>1472014</v>
      </c>
      <c r="ABF876" s="30">
        <f ca="1">YEAR(TODAY())-YEAR(ABD876)</f>
        <v>69</v>
      </c>
      <c r="ABG876" s="245"/>
      <c r="ABH876" s="7" t="s">
        <v>23</v>
      </c>
      <c r="ABI876" s="29"/>
      <c r="ABJ876" s="44">
        <v>44198</v>
      </c>
      <c r="ABK876" s="30" t="s">
        <v>22</v>
      </c>
      <c r="ABL876" s="31">
        <v>20890</v>
      </c>
      <c r="ABM876" s="30">
        <v>1472014</v>
      </c>
      <c r="ABN876" s="30">
        <f ca="1">YEAR(TODAY())-YEAR(ABL876)</f>
        <v>69</v>
      </c>
      <c r="ABO876" s="245"/>
      <c r="ABP876" s="7" t="s">
        <v>23</v>
      </c>
      <c r="ABQ876" s="29"/>
      <c r="ABR876" s="44">
        <v>44198</v>
      </c>
      <c r="ABS876" s="30" t="s">
        <v>22</v>
      </c>
      <c r="ABT876" s="31">
        <v>20890</v>
      </c>
      <c r="ABU876" s="30">
        <v>1472014</v>
      </c>
      <c r="ABV876" s="30">
        <f ca="1">YEAR(TODAY())-YEAR(ABT876)</f>
        <v>69</v>
      </c>
      <c r="ABW876" s="245"/>
      <c r="ABX876" s="7" t="s">
        <v>23</v>
      </c>
      <c r="ABY876" s="29"/>
      <c r="ABZ876" s="44">
        <v>44198</v>
      </c>
      <c r="ACA876" s="30" t="s">
        <v>22</v>
      </c>
      <c r="ACB876" s="31">
        <v>20890</v>
      </c>
      <c r="ACC876" s="30">
        <v>1472014</v>
      </c>
      <c r="ACD876" s="30">
        <f ca="1">YEAR(TODAY())-YEAR(ACB876)</f>
        <v>69</v>
      </c>
      <c r="ACE876" s="245"/>
      <c r="ACF876" s="7" t="s">
        <v>23</v>
      </c>
      <c r="ACG876" s="29"/>
      <c r="ACH876" s="44">
        <v>44198</v>
      </c>
      <c r="ACI876" s="30" t="s">
        <v>22</v>
      </c>
      <c r="ACJ876" s="31">
        <v>20890</v>
      </c>
      <c r="ACK876" s="30">
        <v>1472014</v>
      </c>
      <c r="ACL876" s="30">
        <f ca="1">YEAR(TODAY())-YEAR(ACJ876)</f>
        <v>69</v>
      </c>
      <c r="ACM876" s="245"/>
      <c r="ACN876" s="7" t="s">
        <v>23</v>
      </c>
      <c r="ACO876" s="29"/>
      <c r="ACP876" s="44">
        <v>44198</v>
      </c>
      <c r="ACQ876" s="30" t="s">
        <v>22</v>
      </c>
      <c r="ACR876" s="31">
        <v>20890</v>
      </c>
      <c r="ACS876" s="30">
        <v>1472014</v>
      </c>
      <c r="ACT876" s="30">
        <f ca="1">YEAR(TODAY())-YEAR(ACR876)</f>
        <v>69</v>
      </c>
      <c r="ACU876" s="245"/>
      <c r="ACV876" s="7" t="s">
        <v>23</v>
      </c>
      <c r="ACW876" s="29"/>
      <c r="ACX876" s="44">
        <v>44198</v>
      </c>
      <c r="ACY876" s="30" t="s">
        <v>22</v>
      </c>
      <c r="ACZ876" s="31">
        <v>20890</v>
      </c>
      <c r="ADA876" s="30">
        <v>1472014</v>
      </c>
      <c r="ADB876" s="30">
        <f ca="1">YEAR(TODAY())-YEAR(ACZ876)</f>
        <v>69</v>
      </c>
      <c r="ADC876" s="245"/>
      <c r="ADD876" s="7" t="s">
        <v>23</v>
      </c>
      <c r="ADE876" s="29"/>
      <c r="ADF876" s="44">
        <v>44198</v>
      </c>
      <c r="ADG876" s="30" t="s">
        <v>22</v>
      </c>
      <c r="ADH876" s="31">
        <v>20890</v>
      </c>
      <c r="ADI876" s="30">
        <v>1472014</v>
      </c>
      <c r="ADJ876" s="30">
        <f ca="1">YEAR(TODAY())-YEAR(ADH876)</f>
        <v>69</v>
      </c>
      <c r="ADK876" s="245"/>
      <c r="ADL876" s="7" t="s">
        <v>23</v>
      </c>
      <c r="ADM876" s="29"/>
      <c r="ADN876" s="44">
        <v>44198</v>
      </c>
      <c r="ADO876" s="30" t="s">
        <v>22</v>
      </c>
      <c r="ADP876" s="31">
        <v>20890</v>
      </c>
      <c r="ADQ876" s="30">
        <v>1472014</v>
      </c>
      <c r="ADR876" s="30">
        <f ca="1">YEAR(TODAY())-YEAR(ADP876)</f>
        <v>69</v>
      </c>
      <c r="ADS876" s="245"/>
      <c r="ADT876" s="7" t="s">
        <v>23</v>
      </c>
      <c r="ADU876" s="29"/>
      <c r="ADV876" s="44">
        <v>44198</v>
      </c>
      <c r="ADW876" s="30" t="s">
        <v>22</v>
      </c>
      <c r="ADX876" s="31">
        <v>20890</v>
      </c>
      <c r="ADY876" s="30">
        <v>1472014</v>
      </c>
      <c r="ADZ876" s="30">
        <f ca="1">YEAR(TODAY())-YEAR(ADX876)</f>
        <v>69</v>
      </c>
      <c r="AEA876" s="245"/>
      <c r="AEB876" s="7" t="s">
        <v>23</v>
      </c>
      <c r="AEC876" s="29"/>
      <c r="AED876" s="44">
        <v>44198</v>
      </c>
      <c r="AEE876" s="30" t="s">
        <v>22</v>
      </c>
      <c r="AEF876" s="31">
        <v>20890</v>
      </c>
      <c r="AEG876" s="30">
        <v>1472014</v>
      </c>
      <c r="AEH876" s="30">
        <f ca="1">YEAR(TODAY())-YEAR(AEF876)</f>
        <v>69</v>
      </c>
      <c r="AEI876" s="245"/>
      <c r="AEJ876" s="7" t="s">
        <v>23</v>
      </c>
      <c r="AEK876" s="29"/>
      <c r="AEL876" s="44">
        <v>44198</v>
      </c>
      <c r="AEM876" s="30" t="s">
        <v>22</v>
      </c>
      <c r="AEN876" s="31">
        <v>20890</v>
      </c>
      <c r="AEO876" s="30">
        <v>1472014</v>
      </c>
      <c r="AEP876" s="30">
        <f ca="1">YEAR(TODAY())-YEAR(AEN876)</f>
        <v>69</v>
      </c>
      <c r="AEQ876" s="245"/>
      <c r="AER876" s="7" t="s">
        <v>23</v>
      </c>
      <c r="AES876" s="29"/>
      <c r="AET876" s="44">
        <v>44198</v>
      </c>
      <c r="AEU876" s="30" t="s">
        <v>22</v>
      </c>
      <c r="AEV876" s="31">
        <v>20890</v>
      </c>
      <c r="AEW876" s="30">
        <v>1472014</v>
      </c>
      <c r="AEX876" s="30">
        <f ca="1">YEAR(TODAY())-YEAR(AEV876)</f>
        <v>69</v>
      </c>
      <c r="AEY876" s="245"/>
      <c r="AEZ876" s="7" t="s">
        <v>23</v>
      </c>
      <c r="AFA876" s="29"/>
      <c r="AFB876" s="44">
        <v>44198</v>
      </c>
      <c r="AFC876" s="30" t="s">
        <v>22</v>
      </c>
      <c r="AFD876" s="31">
        <v>20890</v>
      </c>
      <c r="AFE876" s="30">
        <v>1472014</v>
      </c>
      <c r="AFF876" s="30">
        <f ca="1">YEAR(TODAY())-YEAR(AFD876)</f>
        <v>69</v>
      </c>
      <c r="AFG876" s="245"/>
      <c r="AFH876" s="7" t="s">
        <v>23</v>
      </c>
      <c r="AFI876" s="29"/>
      <c r="AFJ876" s="44">
        <v>44198</v>
      </c>
      <c r="AFK876" s="30" t="s">
        <v>22</v>
      </c>
      <c r="AFL876" s="31">
        <v>20890</v>
      </c>
      <c r="AFM876" s="30">
        <v>1472014</v>
      </c>
      <c r="AFN876" s="30">
        <f ca="1">YEAR(TODAY())-YEAR(AFL876)</f>
        <v>69</v>
      </c>
      <c r="AFO876" s="245"/>
      <c r="AFP876" s="7" t="s">
        <v>23</v>
      </c>
      <c r="AFQ876" s="29"/>
      <c r="AFR876" s="44">
        <v>44198</v>
      </c>
      <c r="AFS876" s="30" t="s">
        <v>22</v>
      </c>
      <c r="AFT876" s="31">
        <v>20890</v>
      </c>
      <c r="AFU876" s="30">
        <v>1472014</v>
      </c>
      <c r="AFV876" s="30">
        <f ca="1">YEAR(TODAY())-YEAR(AFT876)</f>
        <v>69</v>
      </c>
      <c r="AFW876" s="245"/>
      <c r="AFX876" s="7" t="s">
        <v>23</v>
      </c>
      <c r="AFY876" s="29"/>
      <c r="AFZ876" s="44">
        <v>44198</v>
      </c>
      <c r="AGA876" s="30" t="s">
        <v>22</v>
      </c>
      <c r="AGB876" s="31">
        <v>20890</v>
      </c>
      <c r="AGC876" s="30">
        <v>1472014</v>
      </c>
      <c r="AGD876" s="30">
        <f ca="1">YEAR(TODAY())-YEAR(AGB876)</f>
        <v>69</v>
      </c>
      <c r="AGE876" s="245"/>
      <c r="AGF876" s="7" t="s">
        <v>23</v>
      </c>
      <c r="AGG876" s="29"/>
      <c r="AGH876" s="44">
        <v>44198</v>
      </c>
      <c r="AGI876" s="30" t="s">
        <v>22</v>
      </c>
      <c r="AGJ876" s="31">
        <v>20890</v>
      </c>
      <c r="AGK876" s="30">
        <v>1472014</v>
      </c>
      <c r="AGL876" s="30">
        <f ca="1">YEAR(TODAY())-YEAR(AGJ876)</f>
        <v>69</v>
      </c>
      <c r="AGM876" s="245"/>
      <c r="AGN876" s="7" t="s">
        <v>23</v>
      </c>
      <c r="AGO876" s="29"/>
      <c r="AGP876" s="44">
        <v>44198</v>
      </c>
      <c r="AGQ876" s="30" t="s">
        <v>22</v>
      </c>
      <c r="AGR876" s="31">
        <v>20890</v>
      </c>
      <c r="AGS876" s="30">
        <v>1472014</v>
      </c>
      <c r="AGT876" s="30">
        <f ca="1">YEAR(TODAY())-YEAR(AGR876)</f>
        <v>69</v>
      </c>
      <c r="AGU876" s="245"/>
      <c r="AGV876" s="7" t="s">
        <v>23</v>
      </c>
      <c r="AGW876" s="29"/>
      <c r="AGX876" s="44">
        <v>44198</v>
      </c>
      <c r="AGY876" s="30" t="s">
        <v>22</v>
      </c>
      <c r="AGZ876" s="31">
        <v>20890</v>
      </c>
      <c r="AHA876" s="30">
        <v>1472014</v>
      </c>
      <c r="AHB876" s="30">
        <f ca="1">YEAR(TODAY())-YEAR(AGZ876)</f>
        <v>69</v>
      </c>
      <c r="AHC876" s="245"/>
      <c r="AHD876" s="7" t="s">
        <v>23</v>
      </c>
      <c r="AHE876" s="29"/>
      <c r="AHF876" s="44">
        <v>44198</v>
      </c>
      <c r="AHG876" s="30" t="s">
        <v>22</v>
      </c>
      <c r="AHH876" s="31">
        <v>20890</v>
      </c>
      <c r="AHI876" s="30">
        <v>1472014</v>
      </c>
      <c r="AHJ876" s="30">
        <f ca="1">YEAR(TODAY())-YEAR(AHH876)</f>
        <v>69</v>
      </c>
      <c r="AHK876" s="245"/>
      <c r="AHL876" s="7" t="s">
        <v>23</v>
      </c>
      <c r="AHM876" s="29"/>
      <c r="AHN876" s="44">
        <v>44198</v>
      </c>
      <c r="AHO876" s="30" t="s">
        <v>22</v>
      </c>
      <c r="AHP876" s="31">
        <v>20890</v>
      </c>
      <c r="AHQ876" s="30">
        <v>1472014</v>
      </c>
      <c r="AHR876" s="30">
        <f ca="1">YEAR(TODAY())-YEAR(AHP876)</f>
        <v>69</v>
      </c>
      <c r="AHS876" s="245"/>
      <c r="AHT876" s="7" t="s">
        <v>23</v>
      </c>
      <c r="AHU876" s="29"/>
      <c r="AHV876" s="44">
        <v>44198</v>
      </c>
      <c r="AHW876" s="30" t="s">
        <v>22</v>
      </c>
      <c r="AHX876" s="31">
        <v>20890</v>
      </c>
      <c r="AHY876" s="30">
        <v>1472014</v>
      </c>
      <c r="AHZ876" s="30">
        <f ca="1">YEAR(TODAY())-YEAR(AHX876)</f>
        <v>69</v>
      </c>
      <c r="AIA876" s="245"/>
      <c r="AIB876" s="7" t="s">
        <v>23</v>
      </c>
      <c r="AIC876" s="29"/>
      <c r="AID876" s="44">
        <v>44198</v>
      </c>
      <c r="AIE876" s="30" t="s">
        <v>22</v>
      </c>
      <c r="AIF876" s="31">
        <v>20890</v>
      </c>
      <c r="AIG876" s="30">
        <v>1472014</v>
      </c>
      <c r="AIH876" s="30">
        <f ca="1">YEAR(TODAY())-YEAR(AIF876)</f>
        <v>69</v>
      </c>
      <c r="AII876" s="245"/>
      <c r="AIJ876" s="7" t="s">
        <v>23</v>
      </c>
      <c r="AIK876" s="29"/>
      <c r="AIL876" s="44">
        <v>44198</v>
      </c>
      <c r="AIM876" s="30" t="s">
        <v>22</v>
      </c>
      <c r="AIN876" s="31">
        <v>20890</v>
      </c>
      <c r="AIO876" s="30">
        <v>1472014</v>
      </c>
      <c r="AIP876" s="30">
        <f ca="1">YEAR(TODAY())-YEAR(AIN876)</f>
        <v>69</v>
      </c>
      <c r="AIQ876" s="245"/>
      <c r="AIR876" s="7" t="s">
        <v>23</v>
      </c>
      <c r="AIS876" s="29"/>
      <c r="AIT876" s="44">
        <v>44198</v>
      </c>
      <c r="AIU876" s="30" t="s">
        <v>22</v>
      </c>
      <c r="AIV876" s="31">
        <v>20890</v>
      </c>
      <c r="AIW876" s="30">
        <v>1472014</v>
      </c>
      <c r="AIX876" s="30">
        <f ca="1">YEAR(TODAY())-YEAR(AIV876)</f>
        <v>69</v>
      </c>
      <c r="AIY876" s="245"/>
      <c r="AIZ876" s="7" t="s">
        <v>23</v>
      </c>
      <c r="AJA876" s="29"/>
      <c r="AJB876" s="44">
        <v>44198</v>
      </c>
      <c r="AJC876" s="30" t="s">
        <v>22</v>
      </c>
      <c r="AJD876" s="31">
        <v>20890</v>
      </c>
      <c r="AJE876" s="30">
        <v>1472014</v>
      </c>
      <c r="AJF876" s="30">
        <f ca="1">YEAR(TODAY())-YEAR(AJD876)</f>
        <v>69</v>
      </c>
      <c r="AJG876" s="245"/>
      <c r="AJH876" s="7" t="s">
        <v>23</v>
      </c>
      <c r="AJI876" s="29"/>
      <c r="AJJ876" s="44">
        <v>44198</v>
      </c>
      <c r="AJK876" s="30" t="s">
        <v>22</v>
      </c>
      <c r="AJL876" s="31">
        <v>20890</v>
      </c>
      <c r="AJM876" s="30">
        <v>1472014</v>
      </c>
      <c r="AJN876" s="30">
        <f ca="1">YEAR(TODAY())-YEAR(AJL876)</f>
        <v>69</v>
      </c>
      <c r="AJO876" s="245"/>
      <c r="AJP876" s="7" t="s">
        <v>23</v>
      </c>
      <c r="AJQ876" s="29"/>
      <c r="AJR876" s="44">
        <v>44198</v>
      </c>
      <c r="AJS876" s="30" t="s">
        <v>22</v>
      </c>
      <c r="AJT876" s="31">
        <v>20890</v>
      </c>
      <c r="AJU876" s="30">
        <v>1472014</v>
      </c>
      <c r="AJV876" s="30">
        <f ca="1">YEAR(TODAY())-YEAR(AJT876)</f>
        <v>69</v>
      </c>
      <c r="AJW876" s="245"/>
      <c r="AJX876" s="7" t="s">
        <v>23</v>
      </c>
      <c r="AJY876" s="29"/>
      <c r="AJZ876" s="44">
        <v>44198</v>
      </c>
      <c r="AKA876" s="30" t="s">
        <v>22</v>
      </c>
      <c r="AKB876" s="31">
        <v>20890</v>
      </c>
      <c r="AKC876" s="30">
        <v>1472014</v>
      </c>
      <c r="AKD876" s="30">
        <f ca="1">YEAR(TODAY())-YEAR(AKB876)</f>
        <v>69</v>
      </c>
      <c r="AKE876" s="245"/>
      <c r="AKF876" s="7" t="s">
        <v>23</v>
      </c>
      <c r="AKG876" s="29"/>
      <c r="AKH876" s="44">
        <v>44198</v>
      </c>
      <c r="AKI876" s="30" t="s">
        <v>22</v>
      </c>
      <c r="AKJ876" s="31">
        <v>20890</v>
      </c>
      <c r="AKK876" s="30">
        <v>1472014</v>
      </c>
      <c r="AKL876" s="30">
        <f ca="1">YEAR(TODAY())-YEAR(AKJ876)</f>
        <v>69</v>
      </c>
      <c r="AKM876" s="245"/>
      <c r="AKN876" s="7" t="s">
        <v>23</v>
      </c>
      <c r="AKO876" s="29"/>
      <c r="AKP876" s="44">
        <v>44198</v>
      </c>
      <c r="AKQ876" s="30" t="s">
        <v>22</v>
      </c>
      <c r="AKR876" s="31">
        <v>20890</v>
      </c>
      <c r="AKS876" s="30">
        <v>1472014</v>
      </c>
      <c r="AKT876" s="30">
        <f ca="1">YEAR(TODAY())-YEAR(AKR876)</f>
        <v>69</v>
      </c>
      <c r="AKU876" s="245"/>
      <c r="AKV876" s="7" t="s">
        <v>23</v>
      </c>
      <c r="AKW876" s="29"/>
      <c r="AKX876" s="44">
        <v>44198</v>
      </c>
      <c r="AKY876" s="30" t="s">
        <v>22</v>
      </c>
      <c r="AKZ876" s="31">
        <v>20890</v>
      </c>
      <c r="ALA876" s="30">
        <v>1472014</v>
      </c>
      <c r="ALB876" s="30">
        <f ca="1">YEAR(TODAY())-YEAR(AKZ876)</f>
        <v>69</v>
      </c>
      <c r="ALC876" s="245"/>
      <c r="ALD876" s="7" t="s">
        <v>23</v>
      </c>
      <c r="ALE876" s="29"/>
      <c r="ALF876" s="44">
        <v>44198</v>
      </c>
      <c r="ALG876" s="30" t="s">
        <v>22</v>
      </c>
      <c r="ALH876" s="31">
        <v>20890</v>
      </c>
      <c r="ALI876" s="30">
        <v>1472014</v>
      </c>
      <c r="ALJ876" s="30">
        <f ca="1">YEAR(TODAY())-YEAR(ALH876)</f>
        <v>69</v>
      </c>
      <c r="ALK876" s="245"/>
      <c r="ALL876" s="7" t="s">
        <v>23</v>
      </c>
      <c r="ALM876" s="29"/>
      <c r="ALN876" s="44">
        <v>44198</v>
      </c>
      <c r="ALO876" s="30" t="s">
        <v>22</v>
      </c>
      <c r="ALP876" s="31">
        <v>20890</v>
      </c>
      <c r="ALQ876" s="30">
        <v>1472014</v>
      </c>
      <c r="ALR876" s="30">
        <f ca="1">YEAR(TODAY())-YEAR(ALP876)</f>
        <v>69</v>
      </c>
      <c r="ALS876" s="245"/>
      <c r="ALT876" s="7" t="s">
        <v>23</v>
      </c>
      <c r="ALU876" s="29"/>
      <c r="ALV876" s="44">
        <v>44198</v>
      </c>
      <c r="ALW876" s="30" t="s">
        <v>22</v>
      </c>
      <c r="ALX876" s="31">
        <v>20890</v>
      </c>
      <c r="ALY876" s="30">
        <v>1472014</v>
      </c>
      <c r="ALZ876" s="30">
        <f ca="1">YEAR(TODAY())-YEAR(ALX876)</f>
        <v>69</v>
      </c>
      <c r="AMA876" s="245"/>
      <c r="AMB876" s="7" t="s">
        <v>23</v>
      </c>
      <c r="AMC876" s="29"/>
      <c r="AMD876" s="44">
        <v>44198</v>
      </c>
      <c r="AME876" s="30" t="s">
        <v>22</v>
      </c>
      <c r="AMF876" s="31">
        <v>20890</v>
      </c>
      <c r="AMG876" s="30">
        <v>1472014</v>
      </c>
      <c r="AMH876" s="30">
        <f ca="1">YEAR(TODAY())-YEAR(AMF876)</f>
        <v>69</v>
      </c>
      <c r="AMI876" s="245"/>
      <c r="AMJ876" s="7" t="s">
        <v>23</v>
      </c>
      <c r="AMK876" s="29"/>
      <c r="AML876" s="44">
        <v>44198</v>
      </c>
      <c r="AMM876" s="30" t="s">
        <v>22</v>
      </c>
      <c r="AMN876" s="31">
        <v>20890</v>
      </c>
      <c r="AMO876" s="30">
        <v>1472014</v>
      </c>
      <c r="AMP876" s="30">
        <f ca="1">YEAR(TODAY())-YEAR(AMN876)</f>
        <v>69</v>
      </c>
      <c r="AMQ876" s="245"/>
      <c r="AMR876" s="7" t="s">
        <v>23</v>
      </c>
      <c r="AMS876" s="29"/>
      <c r="AMT876" s="44">
        <v>44198</v>
      </c>
      <c r="AMU876" s="30" t="s">
        <v>22</v>
      </c>
      <c r="AMV876" s="31">
        <v>20890</v>
      </c>
      <c r="AMW876" s="30">
        <v>1472014</v>
      </c>
      <c r="AMX876" s="30">
        <f ca="1">YEAR(TODAY())-YEAR(AMV876)</f>
        <v>69</v>
      </c>
      <c r="AMY876" s="245"/>
      <c r="AMZ876" s="7" t="s">
        <v>23</v>
      </c>
      <c r="ANA876" s="29"/>
      <c r="ANB876" s="44">
        <v>44198</v>
      </c>
      <c r="ANC876" s="30" t="s">
        <v>22</v>
      </c>
      <c r="AND876" s="31">
        <v>20890</v>
      </c>
      <c r="ANE876" s="30">
        <v>1472014</v>
      </c>
      <c r="ANF876" s="30">
        <f ca="1">YEAR(TODAY())-YEAR(AND876)</f>
        <v>69</v>
      </c>
      <c r="ANG876" s="245"/>
      <c r="ANH876" s="7" t="s">
        <v>23</v>
      </c>
      <c r="ANI876" s="29"/>
      <c r="ANJ876" s="44">
        <v>44198</v>
      </c>
      <c r="ANK876" s="30" t="s">
        <v>22</v>
      </c>
      <c r="ANL876" s="31">
        <v>20890</v>
      </c>
      <c r="ANM876" s="30">
        <v>1472014</v>
      </c>
      <c r="ANN876" s="30">
        <f ca="1">YEAR(TODAY())-YEAR(ANL876)</f>
        <v>69</v>
      </c>
      <c r="ANO876" s="245"/>
      <c r="ANP876" s="7" t="s">
        <v>23</v>
      </c>
      <c r="ANQ876" s="29"/>
      <c r="ANR876" s="44">
        <v>44198</v>
      </c>
      <c r="ANS876" s="30" t="s">
        <v>22</v>
      </c>
      <c r="ANT876" s="31">
        <v>20890</v>
      </c>
      <c r="ANU876" s="30">
        <v>1472014</v>
      </c>
      <c r="ANV876" s="30">
        <f ca="1">YEAR(TODAY())-YEAR(ANT876)</f>
        <v>69</v>
      </c>
      <c r="ANW876" s="245"/>
      <c r="ANX876" s="7" t="s">
        <v>23</v>
      </c>
      <c r="ANY876" s="29"/>
      <c r="ANZ876" s="44">
        <v>44198</v>
      </c>
      <c r="AOA876" s="30" t="s">
        <v>22</v>
      </c>
      <c r="AOB876" s="31">
        <v>20890</v>
      </c>
      <c r="AOC876" s="30">
        <v>1472014</v>
      </c>
      <c r="AOD876" s="30">
        <f ca="1">YEAR(TODAY())-YEAR(AOB876)</f>
        <v>69</v>
      </c>
      <c r="AOE876" s="245"/>
      <c r="AOF876" s="7" t="s">
        <v>23</v>
      </c>
      <c r="AOG876" s="29"/>
      <c r="AOH876" s="44">
        <v>44198</v>
      </c>
      <c r="AOI876" s="30" t="s">
        <v>22</v>
      </c>
      <c r="AOJ876" s="31">
        <v>20890</v>
      </c>
      <c r="AOK876" s="30">
        <v>1472014</v>
      </c>
      <c r="AOL876" s="30">
        <f ca="1">YEAR(TODAY())-YEAR(AOJ876)</f>
        <v>69</v>
      </c>
      <c r="AOM876" s="245"/>
      <c r="AON876" s="7" t="s">
        <v>23</v>
      </c>
      <c r="AOO876" s="29"/>
      <c r="AOP876" s="44">
        <v>44198</v>
      </c>
      <c r="AOQ876" s="30" t="s">
        <v>22</v>
      </c>
      <c r="AOR876" s="31">
        <v>20890</v>
      </c>
      <c r="AOS876" s="30">
        <v>1472014</v>
      </c>
      <c r="AOT876" s="30">
        <f ca="1">YEAR(TODAY())-YEAR(AOR876)</f>
        <v>69</v>
      </c>
      <c r="AOU876" s="245"/>
      <c r="AOV876" s="7" t="s">
        <v>23</v>
      </c>
      <c r="AOW876" s="29"/>
      <c r="AOX876" s="44">
        <v>44198</v>
      </c>
      <c r="AOY876" s="30" t="s">
        <v>22</v>
      </c>
      <c r="AOZ876" s="31">
        <v>20890</v>
      </c>
      <c r="APA876" s="30">
        <v>1472014</v>
      </c>
      <c r="APB876" s="30">
        <f ca="1">YEAR(TODAY())-YEAR(AOZ876)</f>
        <v>69</v>
      </c>
      <c r="APC876" s="245"/>
      <c r="APD876" s="7" t="s">
        <v>23</v>
      </c>
      <c r="APE876" s="29"/>
      <c r="APF876" s="44">
        <v>44198</v>
      </c>
      <c r="APG876" s="30" t="s">
        <v>22</v>
      </c>
      <c r="APH876" s="31">
        <v>20890</v>
      </c>
      <c r="API876" s="30">
        <v>1472014</v>
      </c>
      <c r="APJ876" s="30">
        <f ca="1">YEAR(TODAY())-YEAR(APH876)</f>
        <v>69</v>
      </c>
      <c r="APK876" s="245"/>
      <c r="APL876" s="7" t="s">
        <v>23</v>
      </c>
      <c r="APM876" s="29"/>
      <c r="APN876" s="44">
        <v>44198</v>
      </c>
      <c r="APO876" s="30" t="s">
        <v>22</v>
      </c>
      <c r="APP876" s="31">
        <v>20890</v>
      </c>
      <c r="APQ876" s="30">
        <v>1472014</v>
      </c>
      <c r="APR876" s="30">
        <f ca="1">YEAR(TODAY())-YEAR(APP876)</f>
        <v>69</v>
      </c>
      <c r="APS876" s="245"/>
      <c r="APT876" s="7" t="s">
        <v>23</v>
      </c>
      <c r="APU876" s="29"/>
      <c r="APV876" s="44">
        <v>44198</v>
      </c>
      <c r="APW876" s="30" t="s">
        <v>22</v>
      </c>
      <c r="APX876" s="31">
        <v>20890</v>
      </c>
      <c r="APY876" s="30">
        <v>1472014</v>
      </c>
      <c r="APZ876" s="30">
        <f ca="1">YEAR(TODAY())-YEAR(APX876)</f>
        <v>69</v>
      </c>
      <c r="AQA876" s="245"/>
      <c r="AQB876" s="7" t="s">
        <v>23</v>
      </c>
      <c r="AQC876" s="29"/>
      <c r="AQD876" s="44">
        <v>44198</v>
      </c>
      <c r="AQE876" s="30" t="s">
        <v>22</v>
      </c>
      <c r="AQF876" s="31">
        <v>20890</v>
      </c>
      <c r="AQG876" s="30">
        <v>1472014</v>
      </c>
      <c r="AQH876" s="30">
        <f ca="1">YEAR(TODAY())-YEAR(AQF876)</f>
        <v>69</v>
      </c>
      <c r="AQI876" s="245"/>
      <c r="AQJ876" s="7" t="s">
        <v>23</v>
      </c>
      <c r="AQK876" s="29"/>
      <c r="AQL876" s="44">
        <v>44198</v>
      </c>
      <c r="AQM876" s="30" t="s">
        <v>22</v>
      </c>
      <c r="AQN876" s="31">
        <v>20890</v>
      </c>
      <c r="AQO876" s="30">
        <v>1472014</v>
      </c>
      <c r="AQP876" s="30">
        <f ca="1">YEAR(TODAY())-YEAR(AQN876)</f>
        <v>69</v>
      </c>
      <c r="AQQ876" s="245"/>
      <c r="AQR876" s="7" t="s">
        <v>23</v>
      </c>
      <c r="AQS876" s="29"/>
      <c r="AQT876" s="44">
        <v>44198</v>
      </c>
      <c r="AQU876" s="30" t="s">
        <v>22</v>
      </c>
      <c r="AQV876" s="31">
        <v>20890</v>
      </c>
      <c r="AQW876" s="30">
        <v>1472014</v>
      </c>
      <c r="AQX876" s="30">
        <f ca="1">YEAR(TODAY())-YEAR(AQV876)</f>
        <v>69</v>
      </c>
      <c r="AQY876" s="245"/>
      <c r="AQZ876" s="7" t="s">
        <v>23</v>
      </c>
      <c r="ARA876" s="29"/>
      <c r="ARB876" s="44">
        <v>44198</v>
      </c>
      <c r="ARC876" s="30" t="s">
        <v>22</v>
      </c>
      <c r="ARD876" s="31">
        <v>20890</v>
      </c>
      <c r="ARE876" s="30">
        <v>1472014</v>
      </c>
      <c r="ARF876" s="30">
        <f ca="1">YEAR(TODAY())-YEAR(ARD876)</f>
        <v>69</v>
      </c>
      <c r="ARG876" s="245"/>
      <c r="ARH876" s="7" t="s">
        <v>23</v>
      </c>
      <c r="ARI876" s="29"/>
      <c r="ARJ876" s="44">
        <v>44198</v>
      </c>
      <c r="ARK876" s="30" t="s">
        <v>22</v>
      </c>
      <c r="ARL876" s="31">
        <v>20890</v>
      </c>
      <c r="ARM876" s="30">
        <v>1472014</v>
      </c>
      <c r="ARN876" s="30">
        <f ca="1">YEAR(TODAY())-YEAR(ARL876)</f>
        <v>69</v>
      </c>
      <c r="ARO876" s="245"/>
      <c r="ARP876" s="7" t="s">
        <v>23</v>
      </c>
      <c r="ARQ876" s="29"/>
      <c r="ARR876" s="44">
        <v>44198</v>
      </c>
      <c r="ARS876" s="30" t="s">
        <v>22</v>
      </c>
      <c r="ART876" s="31">
        <v>20890</v>
      </c>
      <c r="ARU876" s="30">
        <v>1472014</v>
      </c>
      <c r="ARV876" s="30">
        <f ca="1">YEAR(TODAY())-YEAR(ART876)</f>
        <v>69</v>
      </c>
      <c r="ARW876" s="245"/>
      <c r="ARX876" s="7" t="s">
        <v>23</v>
      </c>
      <c r="ARY876" s="29"/>
      <c r="ARZ876" s="44">
        <v>44198</v>
      </c>
      <c r="ASA876" s="30" t="s">
        <v>22</v>
      </c>
      <c r="ASB876" s="31">
        <v>20890</v>
      </c>
      <c r="ASC876" s="30">
        <v>1472014</v>
      </c>
      <c r="ASD876" s="30">
        <f ca="1">YEAR(TODAY())-YEAR(ASB876)</f>
        <v>69</v>
      </c>
      <c r="ASE876" s="245"/>
      <c r="ASF876" s="7" t="s">
        <v>23</v>
      </c>
      <c r="ASG876" s="29"/>
      <c r="ASH876" s="44">
        <v>44198</v>
      </c>
      <c r="ASI876" s="30" t="s">
        <v>22</v>
      </c>
      <c r="ASJ876" s="31">
        <v>20890</v>
      </c>
      <c r="ASK876" s="30">
        <v>1472014</v>
      </c>
      <c r="ASL876" s="30">
        <f ca="1">YEAR(TODAY())-YEAR(ASJ876)</f>
        <v>69</v>
      </c>
      <c r="ASM876" s="245"/>
      <c r="ASN876" s="7" t="s">
        <v>23</v>
      </c>
      <c r="ASO876" s="29"/>
      <c r="ASP876" s="44">
        <v>44198</v>
      </c>
      <c r="ASQ876" s="30" t="s">
        <v>22</v>
      </c>
      <c r="ASR876" s="31">
        <v>20890</v>
      </c>
      <c r="ASS876" s="30">
        <v>1472014</v>
      </c>
      <c r="AST876" s="30">
        <f ca="1">YEAR(TODAY())-YEAR(ASR876)</f>
        <v>69</v>
      </c>
      <c r="ASU876" s="245"/>
      <c r="ASV876" s="7" t="s">
        <v>23</v>
      </c>
      <c r="ASW876" s="29"/>
      <c r="ASX876" s="44">
        <v>44198</v>
      </c>
      <c r="ASY876" s="30" t="s">
        <v>22</v>
      </c>
      <c r="ASZ876" s="31">
        <v>20890</v>
      </c>
      <c r="ATA876" s="30">
        <v>1472014</v>
      </c>
      <c r="ATB876" s="30">
        <f ca="1">YEAR(TODAY())-YEAR(ASZ876)</f>
        <v>69</v>
      </c>
      <c r="ATC876" s="245"/>
      <c r="ATD876" s="7" t="s">
        <v>23</v>
      </c>
      <c r="ATE876" s="29"/>
      <c r="ATF876" s="44">
        <v>44198</v>
      </c>
      <c r="ATG876" s="30" t="s">
        <v>22</v>
      </c>
      <c r="ATH876" s="31">
        <v>20890</v>
      </c>
      <c r="ATI876" s="30">
        <v>1472014</v>
      </c>
      <c r="ATJ876" s="30">
        <f ca="1">YEAR(TODAY())-YEAR(ATH876)</f>
        <v>69</v>
      </c>
      <c r="ATK876" s="245"/>
      <c r="ATL876" s="7" t="s">
        <v>23</v>
      </c>
      <c r="ATM876" s="29"/>
      <c r="ATN876" s="44">
        <v>44198</v>
      </c>
      <c r="ATO876" s="30" t="s">
        <v>22</v>
      </c>
      <c r="ATP876" s="31">
        <v>20890</v>
      </c>
      <c r="ATQ876" s="30">
        <v>1472014</v>
      </c>
      <c r="ATR876" s="30">
        <f ca="1">YEAR(TODAY())-YEAR(ATP876)</f>
        <v>69</v>
      </c>
      <c r="ATS876" s="245"/>
      <c r="ATT876" s="7" t="s">
        <v>23</v>
      </c>
      <c r="ATU876" s="29"/>
      <c r="ATV876" s="44">
        <v>44198</v>
      </c>
      <c r="ATW876" s="30" t="s">
        <v>22</v>
      </c>
      <c r="ATX876" s="31">
        <v>20890</v>
      </c>
      <c r="ATY876" s="30">
        <v>1472014</v>
      </c>
      <c r="ATZ876" s="30">
        <f ca="1">YEAR(TODAY())-YEAR(ATX876)</f>
        <v>69</v>
      </c>
      <c r="AUA876" s="245"/>
      <c r="AUB876" s="7" t="s">
        <v>23</v>
      </c>
      <c r="AUC876" s="29"/>
      <c r="AUD876" s="44">
        <v>44198</v>
      </c>
      <c r="AUE876" s="30" t="s">
        <v>22</v>
      </c>
      <c r="AUF876" s="31">
        <v>20890</v>
      </c>
      <c r="AUG876" s="30">
        <v>1472014</v>
      </c>
      <c r="AUH876" s="30">
        <f ca="1">YEAR(TODAY())-YEAR(AUF876)</f>
        <v>69</v>
      </c>
      <c r="AUI876" s="245"/>
      <c r="AUJ876" s="7" t="s">
        <v>23</v>
      </c>
      <c r="AUK876" s="29"/>
      <c r="AUL876" s="44">
        <v>44198</v>
      </c>
      <c r="AUM876" s="30" t="s">
        <v>22</v>
      </c>
      <c r="AUN876" s="31">
        <v>20890</v>
      </c>
      <c r="AUO876" s="30">
        <v>1472014</v>
      </c>
      <c r="AUP876" s="30">
        <f ca="1">YEAR(TODAY())-YEAR(AUN876)</f>
        <v>69</v>
      </c>
      <c r="AUQ876" s="245"/>
      <c r="AUR876" s="7" t="s">
        <v>23</v>
      </c>
      <c r="AUS876" s="29"/>
      <c r="AUT876" s="44">
        <v>44198</v>
      </c>
      <c r="AUU876" s="30" t="s">
        <v>22</v>
      </c>
      <c r="AUV876" s="31">
        <v>20890</v>
      </c>
      <c r="AUW876" s="30">
        <v>1472014</v>
      </c>
      <c r="AUX876" s="30">
        <f ca="1">YEAR(TODAY())-YEAR(AUV876)</f>
        <v>69</v>
      </c>
      <c r="AUY876" s="245"/>
      <c r="AUZ876" s="7" t="s">
        <v>23</v>
      </c>
      <c r="AVA876" s="29"/>
      <c r="AVB876" s="44">
        <v>44198</v>
      </c>
      <c r="AVC876" s="30" t="s">
        <v>22</v>
      </c>
      <c r="AVD876" s="31">
        <v>20890</v>
      </c>
      <c r="AVE876" s="30">
        <v>1472014</v>
      </c>
      <c r="AVF876" s="30">
        <f ca="1">YEAR(TODAY())-YEAR(AVD876)</f>
        <v>69</v>
      </c>
      <c r="AVG876" s="245"/>
      <c r="AVH876" s="7" t="s">
        <v>23</v>
      </c>
      <c r="AVI876" s="29"/>
      <c r="AVJ876" s="44">
        <v>44198</v>
      </c>
      <c r="AVK876" s="30" t="s">
        <v>22</v>
      </c>
      <c r="AVL876" s="31">
        <v>20890</v>
      </c>
      <c r="AVM876" s="30">
        <v>1472014</v>
      </c>
      <c r="AVN876" s="30">
        <f ca="1">YEAR(TODAY())-YEAR(AVL876)</f>
        <v>69</v>
      </c>
      <c r="AVO876" s="245"/>
      <c r="AVP876" s="7" t="s">
        <v>23</v>
      </c>
      <c r="AVQ876" s="29"/>
      <c r="AVR876" s="44">
        <v>44198</v>
      </c>
      <c r="AVS876" s="30" t="s">
        <v>22</v>
      </c>
      <c r="AVT876" s="31">
        <v>20890</v>
      </c>
      <c r="AVU876" s="30">
        <v>1472014</v>
      </c>
      <c r="AVV876" s="30">
        <f ca="1">YEAR(TODAY())-YEAR(AVT876)</f>
        <v>69</v>
      </c>
      <c r="AVW876" s="245"/>
      <c r="AVX876" s="7" t="s">
        <v>23</v>
      </c>
      <c r="AVY876" s="29"/>
      <c r="AVZ876" s="44">
        <v>44198</v>
      </c>
      <c r="AWA876" s="30" t="s">
        <v>22</v>
      </c>
      <c r="AWB876" s="31">
        <v>20890</v>
      </c>
      <c r="AWC876" s="30">
        <v>1472014</v>
      </c>
      <c r="AWD876" s="30">
        <f ca="1">YEAR(TODAY())-YEAR(AWB876)</f>
        <v>69</v>
      </c>
      <c r="AWE876" s="245"/>
      <c r="AWF876" s="7" t="s">
        <v>23</v>
      </c>
      <c r="AWG876" s="29"/>
      <c r="AWH876" s="44">
        <v>44198</v>
      </c>
      <c r="AWI876" s="30" t="s">
        <v>22</v>
      </c>
      <c r="AWJ876" s="31">
        <v>20890</v>
      </c>
      <c r="AWK876" s="30">
        <v>1472014</v>
      </c>
      <c r="AWL876" s="30">
        <f ca="1">YEAR(TODAY())-YEAR(AWJ876)</f>
        <v>69</v>
      </c>
      <c r="AWM876" s="245"/>
      <c r="AWN876" s="7" t="s">
        <v>23</v>
      </c>
      <c r="AWO876" s="29"/>
      <c r="AWP876" s="44">
        <v>44198</v>
      </c>
      <c r="AWQ876" s="30" t="s">
        <v>22</v>
      </c>
      <c r="AWR876" s="31">
        <v>20890</v>
      </c>
      <c r="AWS876" s="30">
        <v>1472014</v>
      </c>
      <c r="AWT876" s="30">
        <f ca="1">YEAR(TODAY())-YEAR(AWR876)</f>
        <v>69</v>
      </c>
      <c r="AWU876" s="245"/>
      <c r="AWV876" s="7" t="s">
        <v>23</v>
      </c>
      <c r="AWW876" s="29"/>
      <c r="AWX876" s="44">
        <v>44198</v>
      </c>
      <c r="AWY876" s="30" t="s">
        <v>22</v>
      </c>
      <c r="AWZ876" s="31">
        <v>20890</v>
      </c>
      <c r="AXA876" s="30">
        <v>1472014</v>
      </c>
      <c r="AXB876" s="30">
        <f ca="1">YEAR(TODAY())-YEAR(AWZ876)</f>
        <v>69</v>
      </c>
      <c r="AXC876" s="245"/>
      <c r="AXD876" s="7" t="s">
        <v>23</v>
      </c>
      <c r="AXE876" s="29"/>
      <c r="AXF876" s="44">
        <v>44198</v>
      </c>
      <c r="AXG876" s="30" t="s">
        <v>22</v>
      </c>
      <c r="AXH876" s="31">
        <v>20890</v>
      </c>
      <c r="AXI876" s="30">
        <v>1472014</v>
      </c>
      <c r="AXJ876" s="30">
        <f ca="1">YEAR(TODAY())-YEAR(AXH876)</f>
        <v>69</v>
      </c>
      <c r="AXK876" s="245"/>
      <c r="AXL876" s="7" t="s">
        <v>23</v>
      </c>
      <c r="AXM876" s="29"/>
      <c r="AXN876" s="44">
        <v>44198</v>
      </c>
      <c r="AXO876" s="30" t="s">
        <v>22</v>
      </c>
      <c r="AXP876" s="31">
        <v>20890</v>
      </c>
      <c r="AXQ876" s="30">
        <v>1472014</v>
      </c>
      <c r="AXR876" s="30">
        <f ca="1">YEAR(TODAY())-YEAR(AXP876)</f>
        <v>69</v>
      </c>
      <c r="AXS876" s="245"/>
      <c r="AXT876" s="7" t="s">
        <v>23</v>
      </c>
      <c r="AXU876" s="29"/>
      <c r="AXV876" s="44">
        <v>44198</v>
      </c>
      <c r="AXW876" s="30" t="s">
        <v>22</v>
      </c>
      <c r="AXX876" s="31">
        <v>20890</v>
      </c>
      <c r="AXY876" s="30">
        <v>1472014</v>
      </c>
      <c r="AXZ876" s="30">
        <f ca="1">YEAR(TODAY())-YEAR(AXX876)</f>
        <v>69</v>
      </c>
      <c r="AYA876" s="245"/>
      <c r="AYB876" s="7" t="s">
        <v>23</v>
      </c>
      <c r="AYC876" s="29"/>
      <c r="AYD876" s="44">
        <v>44198</v>
      </c>
      <c r="AYE876" s="30" t="s">
        <v>22</v>
      </c>
      <c r="AYF876" s="31">
        <v>20890</v>
      </c>
      <c r="AYG876" s="30">
        <v>1472014</v>
      </c>
      <c r="AYH876" s="30">
        <f ca="1">YEAR(TODAY())-YEAR(AYF876)</f>
        <v>69</v>
      </c>
      <c r="AYI876" s="245"/>
      <c r="AYJ876" s="7" t="s">
        <v>23</v>
      </c>
      <c r="AYK876" s="29"/>
      <c r="AYL876" s="44">
        <v>44198</v>
      </c>
      <c r="AYM876" s="30" t="s">
        <v>22</v>
      </c>
      <c r="AYN876" s="31">
        <v>20890</v>
      </c>
      <c r="AYO876" s="30">
        <v>1472014</v>
      </c>
      <c r="AYP876" s="30">
        <f ca="1">YEAR(TODAY())-YEAR(AYN876)</f>
        <v>69</v>
      </c>
      <c r="AYQ876" s="245"/>
      <c r="AYR876" s="7" t="s">
        <v>23</v>
      </c>
      <c r="AYS876" s="29"/>
      <c r="AYT876" s="44">
        <v>44198</v>
      </c>
      <c r="AYU876" s="30" t="s">
        <v>22</v>
      </c>
      <c r="AYV876" s="31">
        <v>20890</v>
      </c>
      <c r="AYW876" s="30">
        <v>1472014</v>
      </c>
      <c r="AYX876" s="30">
        <f ca="1">YEAR(TODAY())-YEAR(AYV876)</f>
        <v>69</v>
      </c>
      <c r="AYY876" s="245"/>
      <c r="AYZ876" s="7" t="s">
        <v>23</v>
      </c>
      <c r="AZA876" s="29"/>
      <c r="AZB876" s="44">
        <v>44198</v>
      </c>
      <c r="AZC876" s="30" t="s">
        <v>22</v>
      </c>
      <c r="AZD876" s="31">
        <v>20890</v>
      </c>
      <c r="AZE876" s="30">
        <v>1472014</v>
      </c>
      <c r="AZF876" s="30">
        <f ca="1">YEAR(TODAY())-YEAR(AZD876)</f>
        <v>69</v>
      </c>
      <c r="AZG876" s="245"/>
      <c r="AZH876" s="7" t="s">
        <v>23</v>
      </c>
      <c r="AZI876" s="29"/>
      <c r="AZJ876" s="44">
        <v>44198</v>
      </c>
      <c r="AZK876" s="30" t="s">
        <v>22</v>
      </c>
      <c r="AZL876" s="31">
        <v>20890</v>
      </c>
      <c r="AZM876" s="30">
        <v>1472014</v>
      </c>
      <c r="AZN876" s="30">
        <f ca="1">YEAR(TODAY())-YEAR(AZL876)</f>
        <v>69</v>
      </c>
      <c r="AZO876" s="245"/>
      <c r="AZP876" s="7" t="s">
        <v>23</v>
      </c>
      <c r="AZQ876" s="29"/>
      <c r="AZR876" s="44">
        <v>44198</v>
      </c>
      <c r="AZS876" s="30" t="s">
        <v>22</v>
      </c>
      <c r="AZT876" s="31">
        <v>20890</v>
      </c>
      <c r="AZU876" s="30">
        <v>1472014</v>
      </c>
      <c r="AZV876" s="30">
        <f ca="1">YEAR(TODAY())-YEAR(AZT876)</f>
        <v>69</v>
      </c>
      <c r="AZW876" s="245"/>
      <c r="AZX876" s="7" t="s">
        <v>23</v>
      </c>
      <c r="AZY876" s="29"/>
      <c r="AZZ876" s="44">
        <v>44198</v>
      </c>
      <c r="BAA876" s="30" t="s">
        <v>22</v>
      </c>
      <c r="BAB876" s="31">
        <v>20890</v>
      </c>
      <c r="BAC876" s="30">
        <v>1472014</v>
      </c>
      <c r="BAD876" s="30">
        <f ca="1">YEAR(TODAY())-YEAR(BAB876)</f>
        <v>69</v>
      </c>
      <c r="BAE876" s="245"/>
      <c r="BAF876" s="7" t="s">
        <v>23</v>
      </c>
      <c r="BAG876" s="29"/>
      <c r="BAH876" s="44">
        <v>44198</v>
      </c>
      <c r="BAI876" s="30" t="s">
        <v>22</v>
      </c>
      <c r="BAJ876" s="31">
        <v>20890</v>
      </c>
      <c r="BAK876" s="30">
        <v>1472014</v>
      </c>
      <c r="BAL876" s="30">
        <f ca="1">YEAR(TODAY())-YEAR(BAJ876)</f>
        <v>69</v>
      </c>
      <c r="BAM876" s="245"/>
      <c r="BAN876" s="7" t="s">
        <v>23</v>
      </c>
      <c r="BAO876" s="29"/>
      <c r="BAP876" s="44">
        <v>44198</v>
      </c>
      <c r="BAQ876" s="30" t="s">
        <v>22</v>
      </c>
      <c r="BAR876" s="31">
        <v>20890</v>
      </c>
      <c r="BAS876" s="30">
        <v>1472014</v>
      </c>
      <c r="BAT876" s="30">
        <f ca="1">YEAR(TODAY())-YEAR(BAR876)</f>
        <v>69</v>
      </c>
      <c r="BAU876" s="245"/>
      <c r="BAV876" s="7" t="s">
        <v>23</v>
      </c>
      <c r="BAW876" s="29"/>
      <c r="BAX876" s="44">
        <v>44198</v>
      </c>
      <c r="BAY876" s="30" t="s">
        <v>22</v>
      </c>
      <c r="BAZ876" s="31">
        <v>20890</v>
      </c>
      <c r="BBA876" s="30">
        <v>1472014</v>
      </c>
      <c r="BBB876" s="30">
        <f ca="1">YEAR(TODAY())-YEAR(BAZ876)</f>
        <v>69</v>
      </c>
      <c r="BBC876" s="245"/>
      <c r="BBD876" s="7" t="s">
        <v>23</v>
      </c>
      <c r="BBE876" s="29"/>
      <c r="BBF876" s="44">
        <v>44198</v>
      </c>
      <c r="BBG876" s="30" t="s">
        <v>22</v>
      </c>
      <c r="BBH876" s="31">
        <v>20890</v>
      </c>
      <c r="BBI876" s="30">
        <v>1472014</v>
      </c>
      <c r="BBJ876" s="30">
        <f ca="1">YEAR(TODAY())-YEAR(BBH876)</f>
        <v>69</v>
      </c>
      <c r="BBK876" s="245"/>
      <c r="BBL876" s="7" t="s">
        <v>23</v>
      </c>
      <c r="BBM876" s="29"/>
      <c r="BBN876" s="44">
        <v>44198</v>
      </c>
      <c r="BBO876" s="30" t="s">
        <v>22</v>
      </c>
      <c r="BBP876" s="31">
        <v>20890</v>
      </c>
      <c r="BBQ876" s="30">
        <v>1472014</v>
      </c>
      <c r="BBR876" s="30">
        <f ca="1">YEAR(TODAY())-YEAR(BBP876)</f>
        <v>69</v>
      </c>
      <c r="BBS876" s="245"/>
      <c r="BBT876" s="7" t="s">
        <v>23</v>
      </c>
      <c r="BBU876" s="29"/>
      <c r="BBV876" s="44">
        <v>44198</v>
      </c>
      <c r="BBW876" s="30" t="s">
        <v>22</v>
      </c>
      <c r="BBX876" s="31">
        <v>20890</v>
      </c>
      <c r="BBY876" s="30">
        <v>1472014</v>
      </c>
      <c r="BBZ876" s="30">
        <f ca="1">YEAR(TODAY())-YEAR(BBX876)</f>
        <v>69</v>
      </c>
      <c r="BCA876" s="245"/>
      <c r="BCB876" s="7" t="s">
        <v>23</v>
      </c>
      <c r="BCC876" s="29"/>
      <c r="BCD876" s="44">
        <v>44198</v>
      </c>
      <c r="BCE876" s="30" t="s">
        <v>22</v>
      </c>
      <c r="BCF876" s="31">
        <v>20890</v>
      </c>
      <c r="BCG876" s="30">
        <v>1472014</v>
      </c>
      <c r="BCH876" s="30">
        <f ca="1">YEAR(TODAY())-YEAR(BCF876)</f>
        <v>69</v>
      </c>
      <c r="BCI876" s="245"/>
      <c r="BCJ876" s="7" t="s">
        <v>23</v>
      </c>
      <c r="BCK876" s="29"/>
      <c r="BCL876" s="44">
        <v>44198</v>
      </c>
      <c r="BCM876" s="30" t="s">
        <v>22</v>
      </c>
      <c r="BCN876" s="31">
        <v>20890</v>
      </c>
      <c r="BCO876" s="30">
        <v>1472014</v>
      </c>
      <c r="BCP876" s="30">
        <f ca="1">YEAR(TODAY())-YEAR(BCN876)</f>
        <v>69</v>
      </c>
      <c r="BCQ876" s="245"/>
      <c r="BCR876" s="7" t="s">
        <v>23</v>
      </c>
      <c r="BCS876" s="29"/>
      <c r="BCT876" s="44">
        <v>44198</v>
      </c>
      <c r="BCU876" s="30" t="s">
        <v>22</v>
      </c>
      <c r="BCV876" s="31">
        <v>20890</v>
      </c>
      <c r="BCW876" s="30">
        <v>1472014</v>
      </c>
      <c r="BCX876" s="30">
        <f ca="1">YEAR(TODAY())-YEAR(BCV876)</f>
        <v>69</v>
      </c>
      <c r="BCY876" s="245"/>
      <c r="BCZ876" s="7" t="s">
        <v>23</v>
      </c>
      <c r="BDA876" s="29"/>
      <c r="BDB876" s="44">
        <v>44198</v>
      </c>
      <c r="BDC876" s="30" t="s">
        <v>22</v>
      </c>
      <c r="BDD876" s="31">
        <v>20890</v>
      </c>
      <c r="BDE876" s="30">
        <v>1472014</v>
      </c>
      <c r="BDF876" s="30">
        <f ca="1">YEAR(TODAY())-YEAR(BDD876)</f>
        <v>69</v>
      </c>
      <c r="BDG876" s="245"/>
      <c r="BDH876" s="7" t="s">
        <v>23</v>
      </c>
      <c r="BDI876" s="29"/>
      <c r="BDJ876" s="44">
        <v>44198</v>
      </c>
      <c r="BDK876" s="30" t="s">
        <v>22</v>
      </c>
      <c r="BDL876" s="31">
        <v>20890</v>
      </c>
      <c r="BDM876" s="30">
        <v>1472014</v>
      </c>
      <c r="BDN876" s="30">
        <f ca="1">YEAR(TODAY())-YEAR(BDL876)</f>
        <v>69</v>
      </c>
      <c r="BDO876" s="245"/>
      <c r="BDP876" s="7" t="s">
        <v>23</v>
      </c>
      <c r="BDQ876" s="29"/>
      <c r="BDR876" s="44">
        <v>44198</v>
      </c>
      <c r="BDS876" s="30" t="s">
        <v>22</v>
      </c>
      <c r="BDT876" s="31">
        <v>20890</v>
      </c>
      <c r="BDU876" s="30">
        <v>1472014</v>
      </c>
      <c r="BDV876" s="30">
        <f ca="1">YEAR(TODAY())-YEAR(BDT876)</f>
        <v>69</v>
      </c>
      <c r="BDW876" s="245"/>
      <c r="BDX876" s="7" t="s">
        <v>23</v>
      </c>
      <c r="BDY876" s="29"/>
      <c r="BDZ876" s="44">
        <v>44198</v>
      </c>
      <c r="BEA876" s="30" t="s">
        <v>22</v>
      </c>
      <c r="BEB876" s="31">
        <v>20890</v>
      </c>
      <c r="BEC876" s="30">
        <v>1472014</v>
      </c>
      <c r="BED876" s="30">
        <f ca="1">YEAR(TODAY())-YEAR(BEB876)</f>
        <v>69</v>
      </c>
      <c r="BEE876" s="245"/>
      <c r="BEF876" s="7" t="s">
        <v>23</v>
      </c>
      <c r="BEG876" s="29"/>
      <c r="BEH876" s="44">
        <v>44198</v>
      </c>
      <c r="BEI876" s="30" t="s">
        <v>22</v>
      </c>
      <c r="BEJ876" s="31">
        <v>20890</v>
      </c>
      <c r="BEK876" s="30">
        <v>1472014</v>
      </c>
      <c r="BEL876" s="30">
        <f ca="1">YEAR(TODAY())-YEAR(BEJ876)</f>
        <v>69</v>
      </c>
      <c r="BEM876" s="245"/>
      <c r="BEN876" s="7" t="s">
        <v>23</v>
      </c>
      <c r="BEO876" s="29"/>
      <c r="BEP876" s="44">
        <v>44198</v>
      </c>
      <c r="BEQ876" s="30" t="s">
        <v>22</v>
      </c>
      <c r="BER876" s="31">
        <v>20890</v>
      </c>
      <c r="BES876" s="30">
        <v>1472014</v>
      </c>
      <c r="BET876" s="30">
        <f ca="1">YEAR(TODAY())-YEAR(BER876)</f>
        <v>69</v>
      </c>
      <c r="BEU876" s="245"/>
      <c r="BEV876" s="7" t="s">
        <v>23</v>
      </c>
      <c r="BEW876" s="29"/>
      <c r="BEX876" s="44">
        <v>44198</v>
      </c>
      <c r="BEY876" s="30" t="s">
        <v>22</v>
      </c>
      <c r="BEZ876" s="31">
        <v>20890</v>
      </c>
      <c r="BFA876" s="30">
        <v>1472014</v>
      </c>
      <c r="BFB876" s="30">
        <f ca="1">YEAR(TODAY())-YEAR(BEZ876)</f>
        <v>69</v>
      </c>
      <c r="BFC876" s="245"/>
      <c r="BFD876" s="7" t="s">
        <v>23</v>
      </c>
      <c r="BFE876" s="29"/>
      <c r="BFF876" s="44">
        <v>44198</v>
      </c>
      <c r="BFG876" s="30" t="s">
        <v>22</v>
      </c>
      <c r="BFH876" s="31">
        <v>20890</v>
      </c>
      <c r="BFI876" s="30">
        <v>1472014</v>
      </c>
      <c r="BFJ876" s="30">
        <f ca="1">YEAR(TODAY())-YEAR(BFH876)</f>
        <v>69</v>
      </c>
      <c r="BFK876" s="245"/>
      <c r="BFL876" s="7" t="s">
        <v>23</v>
      </c>
      <c r="BFM876" s="29"/>
      <c r="BFN876" s="44">
        <v>44198</v>
      </c>
      <c r="BFO876" s="30" t="s">
        <v>22</v>
      </c>
      <c r="BFP876" s="31">
        <v>20890</v>
      </c>
      <c r="BFQ876" s="30">
        <v>1472014</v>
      </c>
      <c r="BFR876" s="30">
        <f ca="1">YEAR(TODAY())-YEAR(BFP876)</f>
        <v>69</v>
      </c>
      <c r="BFS876" s="245"/>
      <c r="BFT876" s="7" t="s">
        <v>23</v>
      </c>
      <c r="BFU876" s="29"/>
      <c r="BFV876" s="44">
        <v>44198</v>
      </c>
      <c r="BFW876" s="30" t="s">
        <v>22</v>
      </c>
      <c r="BFX876" s="31">
        <v>20890</v>
      </c>
      <c r="BFY876" s="30">
        <v>1472014</v>
      </c>
      <c r="BFZ876" s="30">
        <f ca="1">YEAR(TODAY())-YEAR(BFX876)</f>
        <v>69</v>
      </c>
      <c r="BGA876" s="245"/>
      <c r="BGB876" s="7" t="s">
        <v>23</v>
      </c>
      <c r="BGC876" s="29"/>
      <c r="BGD876" s="44">
        <v>44198</v>
      </c>
      <c r="BGE876" s="30" t="s">
        <v>22</v>
      </c>
      <c r="BGF876" s="31">
        <v>20890</v>
      </c>
      <c r="BGG876" s="30">
        <v>1472014</v>
      </c>
      <c r="BGH876" s="30">
        <f ca="1">YEAR(TODAY())-YEAR(BGF876)</f>
        <v>69</v>
      </c>
      <c r="BGI876" s="245"/>
      <c r="BGJ876" s="7" t="s">
        <v>23</v>
      </c>
      <c r="BGK876" s="29"/>
      <c r="BGL876" s="44">
        <v>44198</v>
      </c>
      <c r="BGM876" s="30" t="s">
        <v>22</v>
      </c>
      <c r="BGN876" s="31">
        <v>20890</v>
      </c>
      <c r="BGO876" s="30">
        <v>1472014</v>
      </c>
      <c r="BGP876" s="30">
        <f ca="1">YEAR(TODAY())-YEAR(BGN876)</f>
        <v>69</v>
      </c>
      <c r="BGQ876" s="245"/>
      <c r="BGR876" s="7" t="s">
        <v>23</v>
      </c>
      <c r="BGS876" s="29"/>
      <c r="BGT876" s="44">
        <v>44198</v>
      </c>
      <c r="BGU876" s="30" t="s">
        <v>22</v>
      </c>
      <c r="BGV876" s="31">
        <v>20890</v>
      </c>
      <c r="BGW876" s="30">
        <v>1472014</v>
      </c>
      <c r="BGX876" s="30">
        <f ca="1">YEAR(TODAY())-YEAR(BGV876)</f>
        <v>69</v>
      </c>
      <c r="BGY876" s="245"/>
      <c r="BGZ876" s="7" t="s">
        <v>23</v>
      </c>
      <c r="BHA876" s="29"/>
      <c r="BHB876" s="44">
        <v>44198</v>
      </c>
      <c r="BHC876" s="30" t="s">
        <v>22</v>
      </c>
      <c r="BHD876" s="31">
        <v>20890</v>
      </c>
      <c r="BHE876" s="30">
        <v>1472014</v>
      </c>
      <c r="BHF876" s="30">
        <f ca="1">YEAR(TODAY())-YEAR(BHD876)</f>
        <v>69</v>
      </c>
      <c r="BHG876" s="245"/>
      <c r="BHH876" s="7" t="s">
        <v>23</v>
      </c>
      <c r="BHI876" s="29"/>
      <c r="BHJ876" s="44">
        <v>44198</v>
      </c>
      <c r="BHK876" s="30" t="s">
        <v>22</v>
      </c>
      <c r="BHL876" s="31">
        <v>20890</v>
      </c>
      <c r="BHM876" s="30">
        <v>1472014</v>
      </c>
      <c r="BHN876" s="30">
        <f ca="1">YEAR(TODAY())-YEAR(BHL876)</f>
        <v>69</v>
      </c>
      <c r="BHO876" s="245"/>
      <c r="BHP876" s="7" t="s">
        <v>23</v>
      </c>
      <c r="BHQ876" s="29"/>
      <c r="BHR876" s="44">
        <v>44198</v>
      </c>
      <c r="BHS876" s="30" t="s">
        <v>22</v>
      </c>
      <c r="BHT876" s="31">
        <v>20890</v>
      </c>
      <c r="BHU876" s="30">
        <v>1472014</v>
      </c>
      <c r="BHV876" s="30">
        <f ca="1">YEAR(TODAY())-YEAR(BHT876)</f>
        <v>69</v>
      </c>
      <c r="BHW876" s="245"/>
      <c r="BHX876" s="7" t="s">
        <v>23</v>
      </c>
      <c r="BHY876" s="29"/>
      <c r="BHZ876" s="44">
        <v>44198</v>
      </c>
      <c r="BIA876" s="30" t="s">
        <v>22</v>
      </c>
      <c r="BIB876" s="31">
        <v>20890</v>
      </c>
      <c r="BIC876" s="30">
        <v>1472014</v>
      </c>
      <c r="BID876" s="30">
        <f ca="1">YEAR(TODAY())-YEAR(BIB876)</f>
        <v>69</v>
      </c>
      <c r="BIE876" s="245"/>
      <c r="BIF876" s="7" t="s">
        <v>23</v>
      </c>
      <c r="BIG876" s="29"/>
      <c r="BIH876" s="44">
        <v>44198</v>
      </c>
      <c r="BII876" s="30" t="s">
        <v>22</v>
      </c>
      <c r="BIJ876" s="31">
        <v>20890</v>
      </c>
      <c r="BIK876" s="30">
        <v>1472014</v>
      </c>
      <c r="BIL876" s="30">
        <f ca="1">YEAR(TODAY())-YEAR(BIJ876)</f>
        <v>69</v>
      </c>
      <c r="BIM876" s="245"/>
      <c r="BIN876" s="7" t="s">
        <v>23</v>
      </c>
      <c r="BIO876" s="29"/>
      <c r="BIP876" s="44">
        <v>44198</v>
      </c>
      <c r="BIQ876" s="30" t="s">
        <v>22</v>
      </c>
      <c r="BIR876" s="31">
        <v>20890</v>
      </c>
      <c r="BIS876" s="30">
        <v>1472014</v>
      </c>
      <c r="BIT876" s="30">
        <f ca="1">YEAR(TODAY())-YEAR(BIR876)</f>
        <v>69</v>
      </c>
      <c r="BIU876" s="245"/>
      <c r="BIV876" s="7" t="s">
        <v>23</v>
      </c>
      <c r="BIW876" s="29"/>
      <c r="BIX876" s="44">
        <v>44198</v>
      </c>
      <c r="BIY876" s="30" t="s">
        <v>22</v>
      </c>
      <c r="BIZ876" s="31">
        <v>20890</v>
      </c>
      <c r="BJA876" s="30">
        <v>1472014</v>
      </c>
      <c r="BJB876" s="30">
        <f ca="1">YEAR(TODAY())-YEAR(BIZ876)</f>
        <v>69</v>
      </c>
      <c r="BJC876" s="245"/>
      <c r="BJD876" s="7" t="s">
        <v>23</v>
      </c>
      <c r="BJE876" s="29"/>
      <c r="BJF876" s="44">
        <v>44198</v>
      </c>
      <c r="BJG876" s="30" t="s">
        <v>22</v>
      </c>
      <c r="BJH876" s="31">
        <v>20890</v>
      </c>
      <c r="BJI876" s="30">
        <v>1472014</v>
      </c>
      <c r="BJJ876" s="30">
        <f ca="1">YEAR(TODAY())-YEAR(BJH876)</f>
        <v>69</v>
      </c>
      <c r="BJK876" s="245"/>
      <c r="BJL876" s="7" t="s">
        <v>23</v>
      </c>
      <c r="BJM876" s="29"/>
      <c r="BJN876" s="44">
        <v>44198</v>
      </c>
      <c r="BJO876" s="30" t="s">
        <v>22</v>
      </c>
      <c r="BJP876" s="31">
        <v>20890</v>
      </c>
      <c r="BJQ876" s="30">
        <v>1472014</v>
      </c>
      <c r="BJR876" s="30">
        <f ca="1">YEAR(TODAY())-YEAR(BJP876)</f>
        <v>69</v>
      </c>
      <c r="BJS876" s="245"/>
      <c r="BJT876" s="7" t="s">
        <v>23</v>
      </c>
      <c r="BJU876" s="29"/>
      <c r="BJV876" s="44">
        <v>44198</v>
      </c>
      <c r="BJW876" s="30" t="s">
        <v>22</v>
      </c>
      <c r="BJX876" s="31">
        <v>20890</v>
      </c>
      <c r="BJY876" s="30">
        <v>1472014</v>
      </c>
      <c r="BJZ876" s="30">
        <f ca="1">YEAR(TODAY())-YEAR(BJX876)</f>
        <v>69</v>
      </c>
      <c r="BKA876" s="245"/>
      <c r="BKB876" s="7" t="s">
        <v>23</v>
      </c>
      <c r="BKC876" s="29"/>
      <c r="BKD876" s="44">
        <v>44198</v>
      </c>
      <c r="BKE876" s="30" t="s">
        <v>22</v>
      </c>
      <c r="BKF876" s="31">
        <v>20890</v>
      </c>
      <c r="BKG876" s="30">
        <v>1472014</v>
      </c>
      <c r="BKH876" s="30">
        <f ca="1">YEAR(TODAY())-YEAR(BKF876)</f>
        <v>69</v>
      </c>
      <c r="BKI876" s="245"/>
      <c r="BKJ876" s="7" t="s">
        <v>23</v>
      </c>
      <c r="BKK876" s="29"/>
      <c r="BKL876" s="44">
        <v>44198</v>
      </c>
      <c r="BKM876" s="30" t="s">
        <v>22</v>
      </c>
      <c r="BKN876" s="31">
        <v>20890</v>
      </c>
      <c r="BKO876" s="30">
        <v>1472014</v>
      </c>
      <c r="BKP876" s="30">
        <f ca="1">YEAR(TODAY())-YEAR(BKN876)</f>
        <v>69</v>
      </c>
      <c r="BKQ876" s="245"/>
      <c r="BKR876" s="7" t="s">
        <v>23</v>
      </c>
      <c r="BKS876" s="29"/>
      <c r="BKT876" s="44">
        <v>44198</v>
      </c>
      <c r="BKU876" s="30" t="s">
        <v>22</v>
      </c>
      <c r="BKV876" s="31">
        <v>20890</v>
      </c>
      <c r="BKW876" s="30">
        <v>1472014</v>
      </c>
      <c r="BKX876" s="30">
        <f ca="1">YEAR(TODAY())-YEAR(BKV876)</f>
        <v>69</v>
      </c>
      <c r="BKY876" s="245"/>
      <c r="BKZ876" s="7" t="s">
        <v>23</v>
      </c>
      <c r="BLA876" s="29"/>
      <c r="BLB876" s="44">
        <v>44198</v>
      </c>
      <c r="BLC876" s="30" t="s">
        <v>22</v>
      </c>
      <c r="BLD876" s="31">
        <v>20890</v>
      </c>
      <c r="BLE876" s="30">
        <v>1472014</v>
      </c>
      <c r="BLF876" s="30">
        <f ca="1">YEAR(TODAY())-YEAR(BLD876)</f>
        <v>69</v>
      </c>
      <c r="BLG876" s="245"/>
      <c r="BLH876" s="7" t="s">
        <v>23</v>
      </c>
      <c r="BLI876" s="29"/>
      <c r="BLJ876" s="44">
        <v>44198</v>
      </c>
      <c r="BLK876" s="30" t="s">
        <v>22</v>
      </c>
      <c r="BLL876" s="31">
        <v>20890</v>
      </c>
      <c r="BLM876" s="30">
        <v>1472014</v>
      </c>
      <c r="BLN876" s="30">
        <f ca="1">YEAR(TODAY())-YEAR(BLL876)</f>
        <v>69</v>
      </c>
      <c r="BLO876" s="245"/>
      <c r="BLP876" s="7" t="s">
        <v>23</v>
      </c>
      <c r="BLQ876" s="29"/>
      <c r="BLR876" s="44">
        <v>44198</v>
      </c>
      <c r="BLS876" s="30" t="s">
        <v>22</v>
      </c>
      <c r="BLT876" s="31">
        <v>20890</v>
      </c>
      <c r="BLU876" s="30">
        <v>1472014</v>
      </c>
      <c r="BLV876" s="30">
        <f ca="1">YEAR(TODAY())-YEAR(BLT876)</f>
        <v>69</v>
      </c>
      <c r="BLW876" s="245"/>
      <c r="BLX876" s="7" t="s">
        <v>23</v>
      </c>
      <c r="BLY876" s="29"/>
      <c r="BLZ876" s="44">
        <v>44198</v>
      </c>
      <c r="BMA876" s="30" t="s">
        <v>22</v>
      </c>
      <c r="BMB876" s="31">
        <v>20890</v>
      </c>
      <c r="BMC876" s="30">
        <v>1472014</v>
      </c>
      <c r="BMD876" s="30">
        <f ca="1">YEAR(TODAY())-YEAR(BMB876)</f>
        <v>69</v>
      </c>
      <c r="BME876" s="245"/>
      <c r="BMF876" s="7" t="s">
        <v>23</v>
      </c>
      <c r="BMG876" s="29"/>
      <c r="BMH876" s="44">
        <v>44198</v>
      </c>
      <c r="BMI876" s="30" t="s">
        <v>22</v>
      </c>
      <c r="BMJ876" s="31">
        <v>20890</v>
      </c>
      <c r="BMK876" s="30">
        <v>1472014</v>
      </c>
      <c r="BML876" s="30">
        <f ca="1">YEAR(TODAY())-YEAR(BMJ876)</f>
        <v>69</v>
      </c>
      <c r="BMM876" s="245"/>
      <c r="BMN876" s="7" t="s">
        <v>23</v>
      </c>
      <c r="BMO876" s="29"/>
      <c r="BMP876" s="44">
        <v>44198</v>
      </c>
      <c r="BMQ876" s="30" t="s">
        <v>22</v>
      </c>
      <c r="BMR876" s="31">
        <v>20890</v>
      </c>
      <c r="BMS876" s="30">
        <v>1472014</v>
      </c>
      <c r="BMT876" s="30">
        <f ca="1">YEAR(TODAY())-YEAR(BMR876)</f>
        <v>69</v>
      </c>
      <c r="BMU876" s="245"/>
      <c r="BMV876" s="7" t="s">
        <v>23</v>
      </c>
      <c r="BMW876" s="29"/>
      <c r="BMX876" s="44">
        <v>44198</v>
      </c>
      <c r="BMY876" s="30" t="s">
        <v>22</v>
      </c>
      <c r="BMZ876" s="31">
        <v>20890</v>
      </c>
      <c r="BNA876" s="30">
        <v>1472014</v>
      </c>
      <c r="BNB876" s="30">
        <f ca="1">YEAR(TODAY())-YEAR(BMZ876)</f>
        <v>69</v>
      </c>
      <c r="BNC876" s="245"/>
      <c r="BND876" s="7" t="s">
        <v>23</v>
      </c>
      <c r="BNE876" s="29"/>
      <c r="BNF876" s="44">
        <v>44198</v>
      </c>
      <c r="BNG876" s="30" t="s">
        <v>22</v>
      </c>
      <c r="BNH876" s="31">
        <v>20890</v>
      </c>
      <c r="BNI876" s="30">
        <v>1472014</v>
      </c>
      <c r="BNJ876" s="30">
        <f ca="1">YEAR(TODAY())-YEAR(BNH876)</f>
        <v>69</v>
      </c>
      <c r="BNK876" s="245"/>
      <c r="BNL876" s="7" t="s">
        <v>23</v>
      </c>
      <c r="BNM876" s="29"/>
      <c r="BNN876" s="44">
        <v>44198</v>
      </c>
      <c r="BNO876" s="30" t="s">
        <v>22</v>
      </c>
      <c r="BNP876" s="31">
        <v>20890</v>
      </c>
      <c r="BNQ876" s="30">
        <v>1472014</v>
      </c>
      <c r="BNR876" s="30">
        <f ca="1">YEAR(TODAY())-YEAR(BNP876)</f>
        <v>69</v>
      </c>
      <c r="BNS876" s="245"/>
      <c r="BNT876" s="7" t="s">
        <v>23</v>
      </c>
      <c r="BNU876" s="29"/>
      <c r="BNV876" s="44">
        <v>44198</v>
      </c>
      <c r="BNW876" s="30" t="s">
        <v>22</v>
      </c>
      <c r="BNX876" s="31">
        <v>20890</v>
      </c>
      <c r="BNY876" s="30">
        <v>1472014</v>
      </c>
      <c r="BNZ876" s="30">
        <f ca="1">YEAR(TODAY())-YEAR(BNX876)</f>
        <v>69</v>
      </c>
      <c r="BOA876" s="245"/>
      <c r="BOB876" s="7" t="s">
        <v>23</v>
      </c>
      <c r="BOC876" s="29"/>
      <c r="BOD876" s="44">
        <v>44198</v>
      </c>
      <c r="BOE876" s="30" t="s">
        <v>22</v>
      </c>
      <c r="BOF876" s="31">
        <v>20890</v>
      </c>
      <c r="BOG876" s="30">
        <v>1472014</v>
      </c>
      <c r="BOH876" s="30">
        <f ca="1">YEAR(TODAY())-YEAR(BOF876)</f>
        <v>69</v>
      </c>
      <c r="BOI876" s="245"/>
      <c r="BOJ876" s="7" t="s">
        <v>23</v>
      </c>
      <c r="BOK876" s="29"/>
      <c r="BOL876" s="44">
        <v>44198</v>
      </c>
      <c r="BOM876" s="30" t="s">
        <v>22</v>
      </c>
      <c r="BON876" s="31">
        <v>20890</v>
      </c>
      <c r="BOO876" s="30">
        <v>1472014</v>
      </c>
      <c r="BOP876" s="30">
        <f ca="1">YEAR(TODAY())-YEAR(BON876)</f>
        <v>69</v>
      </c>
      <c r="BOQ876" s="245"/>
      <c r="BOR876" s="7" t="s">
        <v>23</v>
      </c>
      <c r="BOS876" s="29"/>
      <c r="BOT876" s="44">
        <v>44198</v>
      </c>
      <c r="BOU876" s="30" t="s">
        <v>22</v>
      </c>
      <c r="BOV876" s="31">
        <v>20890</v>
      </c>
      <c r="BOW876" s="30">
        <v>1472014</v>
      </c>
      <c r="BOX876" s="30">
        <f ca="1">YEAR(TODAY())-YEAR(BOV876)</f>
        <v>69</v>
      </c>
      <c r="BOY876" s="245"/>
      <c r="BOZ876" s="7" t="s">
        <v>23</v>
      </c>
      <c r="BPA876" s="29"/>
      <c r="BPB876" s="44">
        <v>44198</v>
      </c>
      <c r="BPC876" s="30" t="s">
        <v>22</v>
      </c>
      <c r="BPD876" s="31">
        <v>20890</v>
      </c>
      <c r="BPE876" s="30">
        <v>1472014</v>
      </c>
      <c r="BPF876" s="30">
        <f ca="1">YEAR(TODAY())-YEAR(BPD876)</f>
        <v>69</v>
      </c>
      <c r="BPG876" s="245"/>
      <c r="BPH876" s="7" t="s">
        <v>23</v>
      </c>
      <c r="BPI876" s="29"/>
      <c r="BPJ876" s="44">
        <v>44198</v>
      </c>
      <c r="BPK876" s="30" t="s">
        <v>22</v>
      </c>
      <c r="BPL876" s="31">
        <v>20890</v>
      </c>
      <c r="BPM876" s="30">
        <v>1472014</v>
      </c>
      <c r="BPN876" s="30">
        <f ca="1">YEAR(TODAY())-YEAR(BPL876)</f>
        <v>69</v>
      </c>
      <c r="BPO876" s="245"/>
      <c r="BPP876" s="7" t="s">
        <v>23</v>
      </c>
      <c r="BPQ876" s="29"/>
      <c r="BPR876" s="44">
        <v>44198</v>
      </c>
      <c r="BPS876" s="30" t="s">
        <v>22</v>
      </c>
      <c r="BPT876" s="31">
        <v>20890</v>
      </c>
      <c r="BPU876" s="30">
        <v>1472014</v>
      </c>
      <c r="BPV876" s="30">
        <f ca="1">YEAR(TODAY())-YEAR(BPT876)</f>
        <v>69</v>
      </c>
      <c r="BPW876" s="245"/>
      <c r="BPX876" s="7" t="s">
        <v>23</v>
      </c>
      <c r="BPY876" s="29"/>
      <c r="BPZ876" s="44">
        <v>44198</v>
      </c>
      <c r="BQA876" s="30" t="s">
        <v>22</v>
      </c>
      <c r="BQB876" s="31">
        <v>20890</v>
      </c>
      <c r="BQC876" s="30">
        <v>1472014</v>
      </c>
      <c r="BQD876" s="30">
        <f ca="1">YEAR(TODAY())-YEAR(BQB876)</f>
        <v>69</v>
      </c>
      <c r="BQE876" s="245"/>
      <c r="BQF876" s="7" t="s">
        <v>23</v>
      </c>
      <c r="BQG876" s="29"/>
      <c r="BQH876" s="44">
        <v>44198</v>
      </c>
      <c r="BQI876" s="30" t="s">
        <v>22</v>
      </c>
      <c r="BQJ876" s="31">
        <v>20890</v>
      </c>
      <c r="BQK876" s="30">
        <v>1472014</v>
      </c>
      <c r="BQL876" s="30">
        <f ca="1">YEAR(TODAY())-YEAR(BQJ876)</f>
        <v>69</v>
      </c>
      <c r="BQM876" s="245"/>
      <c r="BQN876" s="7" t="s">
        <v>23</v>
      </c>
      <c r="BQO876" s="29"/>
      <c r="BQP876" s="44">
        <v>44198</v>
      </c>
      <c r="BQQ876" s="30" t="s">
        <v>22</v>
      </c>
      <c r="BQR876" s="31">
        <v>20890</v>
      </c>
      <c r="BQS876" s="30">
        <v>1472014</v>
      </c>
      <c r="BQT876" s="30">
        <f ca="1">YEAR(TODAY())-YEAR(BQR876)</f>
        <v>69</v>
      </c>
      <c r="BQU876" s="245"/>
      <c r="BQV876" s="7" t="s">
        <v>23</v>
      </c>
      <c r="BQW876" s="29"/>
      <c r="BQX876" s="44">
        <v>44198</v>
      </c>
      <c r="BQY876" s="30" t="s">
        <v>22</v>
      </c>
      <c r="BQZ876" s="31">
        <v>20890</v>
      </c>
      <c r="BRA876" s="30">
        <v>1472014</v>
      </c>
      <c r="BRB876" s="30">
        <f ca="1">YEAR(TODAY())-YEAR(BQZ876)</f>
        <v>69</v>
      </c>
      <c r="BRC876" s="245"/>
      <c r="BRD876" s="7" t="s">
        <v>23</v>
      </c>
      <c r="BRE876" s="29"/>
      <c r="BRF876" s="44">
        <v>44198</v>
      </c>
      <c r="BRG876" s="30" t="s">
        <v>22</v>
      </c>
      <c r="BRH876" s="31">
        <v>20890</v>
      </c>
      <c r="BRI876" s="30">
        <v>1472014</v>
      </c>
      <c r="BRJ876" s="30">
        <f ca="1">YEAR(TODAY())-YEAR(BRH876)</f>
        <v>69</v>
      </c>
      <c r="BRK876" s="245"/>
      <c r="BRL876" s="7" t="s">
        <v>23</v>
      </c>
      <c r="BRM876" s="29"/>
      <c r="BRN876" s="44">
        <v>44198</v>
      </c>
      <c r="BRO876" s="30" t="s">
        <v>22</v>
      </c>
      <c r="BRP876" s="31">
        <v>20890</v>
      </c>
      <c r="BRQ876" s="30">
        <v>1472014</v>
      </c>
      <c r="BRR876" s="30">
        <f ca="1">YEAR(TODAY())-YEAR(BRP876)</f>
        <v>69</v>
      </c>
      <c r="BRS876" s="245"/>
      <c r="BRT876" s="7" t="s">
        <v>23</v>
      </c>
      <c r="BRU876" s="29"/>
      <c r="BRV876" s="44">
        <v>44198</v>
      </c>
      <c r="BRW876" s="30" t="s">
        <v>22</v>
      </c>
      <c r="BRX876" s="31">
        <v>20890</v>
      </c>
      <c r="BRY876" s="30">
        <v>1472014</v>
      </c>
      <c r="BRZ876" s="30">
        <f ca="1">YEAR(TODAY())-YEAR(BRX876)</f>
        <v>69</v>
      </c>
      <c r="BSA876" s="245"/>
      <c r="BSB876" s="7" t="s">
        <v>23</v>
      </c>
      <c r="BSC876" s="29"/>
      <c r="BSD876" s="44">
        <v>44198</v>
      </c>
      <c r="BSE876" s="30" t="s">
        <v>22</v>
      </c>
      <c r="BSF876" s="31">
        <v>20890</v>
      </c>
      <c r="BSG876" s="30">
        <v>1472014</v>
      </c>
      <c r="BSH876" s="30">
        <f ca="1">YEAR(TODAY())-YEAR(BSF876)</f>
        <v>69</v>
      </c>
      <c r="BSI876" s="245"/>
      <c r="BSJ876" s="7" t="s">
        <v>23</v>
      </c>
      <c r="BSK876" s="29"/>
      <c r="BSL876" s="44">
        <v>44198</v>
      </c>
      <c r="BSM876" s="30" t="s">
        <v>22</v>
      </c>
      <c r="BSN876" s="31">
        <v>20890</v>
      </c>
      <c r="BSO876" s="30">
        <v>1472014</v>
      </c>
      <c r="BSP876" s="30">
        <f ca="1">YEAR(TODAY())-YEAR(BSN876)</f>
        <v>69</v>
      </c>
      <c r="BSQ876" s="245"/>
      <c r="BSR876" s="7" t="s">
        <v>23</v>
      </c>
      <c r="BSS876" s="29"/>
      <c r="BST876" s="44">
        <v>44198</v>
      </c>
      <c r="BSU876" s="30" t="s">
        <v>22</v>
      </c>
      <c r="BSV876" s="31">
        <v>20890</v>
      </c>
      <c r="BSW876" s="30">
        <v>1472014</v>
      </c>
      <c r="BSX876" s="30">
        <f ca="1">YEAR(TODAY())-YEAR(BSV876)</f>
        <v>69</v>
      </c>
      <c r="BSY876" s="245"/>
      <c r="BSZ876" s="7" t="s">
        <v>23</v>
      </c>
      <c r="BTA876" s="29"/>
      <c r="BTB876" s="44">
        <v>44198</v>
      </c>
      <c r="BTC876" s="30" t="s">
        <v>22</v>
      </c>
      <c r="BTD876" s="31">
        <v>20890</v>
      </c>
      <c r="BTE876" s="30">
        <v>1472014</v>
      </c>
      <c r="BTF876" s="30">
        <f ca="1">YEAR(TODAY())-YEAR(BTD876)</f>
        <v>69</v>
      </c>
      <c r="BTG876" s="245"/>
      <c r="BTH876" s="7" t="s">
        <v>23</v>
      </c>
      <c r="BTI876" s="29"/>
      <c r="BTJ876" s="44">
        <v>44198</v>
      </c>
      <c r="BTK876" s="30" t="s">
        <v>22</v>
      </c>
      <c r="BTL876" s="31">
        <v>20890</v>
      </c>
      <c r="BTM876" s="30">
        <v>1472014</v>
      </c>
      <c r="BTN876" s="30">
        <f ca="1">YEAR(TODAY())-YEAR(BTL876)</f>
        <v>69</v>
      </c>
      <c r="BTO876" s="245"/>
      <c r="BTP876" s="7" t="s">
        <v>23</v>
      </c>
      <c r="BTQ876" s="29"/>
      <c r="BTR876" s="44">
        <v>44198</v>
      </c>
      <c r="BTS876" s="30" t="s">
        <v>22</v>
      </c>
      <c r="BTT876" s="31">
        <v>20890</v>
      </c>
      <c r="BTU876" s="30">
        <v>1472014</v>
      </c>
      <c r="BTV876" s="30">
        <f ca="1">YEAR(TODAY())-YEAR(BTT876)</f>
        <v>69</v>
      </c>
      <c r="BTW876" s="245"/>
      <c r="BTX876" s="7" t="s">
        <v>23</v>
      </c>
      <c r="BTY876" s="29"/>
      <c r="BTZ876" s="44">
        <v>44198</v>
      </c>
      <c r="BUA876" s="30" t="s">
        <v>22</v>
      </c>
      <c r="BUB876" s="31">
        <v>20890</v>
      </c>
      <c r="BUC876" s="30">
        <v>1472014</v>
      </c>
      <c r="BUD876" s="30">
        <f ca="1">YEAR(TODAY())-YEAR(BUB876)</f>
        <v>69</v>
      </c>
      <c r="BUE876" s="245"/>
      <c r="BUF876" s="7" t="s">
        <v>23</v>
      </c>
      <c r="BUG876" s="29"/>
      <c r="BUH876" s="44">
        <v>44198</v>
      </c>
      <c r="BUI876" s="30" t="s">
        <v>22</v>
      </c>
      <c r="BUJ876" s="31">
        <v>20890</v>
      </c>
      <c r="BUK876" s="30">
        <v>1472014</v>
      </c>
      <c r="BUL876" s="30">
        <f ca="1">YEAR(TODAY())-YEAR(BUJ876)</f>
        <v>69</v>
      </c>
      <c r="BUM876" s="245"/>
      <c r="BUN876" s="7" t="s">
        <v>23</v>
      </c>
      <c r="BUO876" s="29"/>
      <c r="BUP876" s="44">
        <v>44198</v>
      </c>
      <c r="BUQ876" s="30" t="s">
        <v>22</v>
      </c>
      <c r="BUR876" s="31">
        <v>20890</v>
      </c>
      <c r="BUS876" s="30">
        <v>1472014</v>
      </c>
      <c r="BUT876" s="30">
        <f ca="1">YEAR(TODAY())-YEAR(BUR876)</f>
        <v>69</v>
      </c>
      <c r="BUU876" s="245"/>
      <c r="BUV876" s="7" t="s">
        <v>23</v>
      </c>
      <c r="BUW876" s="29"/>
      <c r="BUX876" s="44">
        <v>44198</v>
      </c>
      <c r="BUY876" s="30" t="s">
        <v>22</v>
      </c>
      <c r="BUZ876" s="31">
        <v>20890</v>
      </c>
      <c r="BVA876" s="30">
        <v>1472014</v>
      </c>
      <c r="BVB876" s="30">
        <f ca="1">YEAR(TODAY())-YEAR(BUZ876)</f>
        <v>69</v>
      </c>
      <c r="BVC876" s="245"/>
      <c r="BVD876" s="7" t="s">
        <v>23</v>
      </c>
      <c r="BVE876" s="29"/>
      <c r="BVF876" s="44">
        <v>44198</v>
      </c>
      <c r="BVG876" s="30" t="s">
        <v>22</v>
      </c>
      <c r="BVH876" s="31">
        <v>20890</v>
      </c>
      <c r="BVI876" s="30">
        <v>1472014</v>
      </c>
      <c r="BVJ876" s="30">
        <f ca="1">YEAR(TODAY())-YEAR(BVH876)</f>
        <v>69</v>
      </c>
      <c r="BVK876" s="245"/>
      <c r="BVL876" s="7" t="s">
        <v>23</v>
      </c>
      <c r="BVM876" s="29"/>
      <c r="BVN876" s="44">
        <v>44198</v>
      </c>
      <c r="BVO876" s="30" t="s">
        <v>22</v>
      </c>
      <c r="BVP876" s="31">
        <v>20890</v>
      </c>
      <c r="BVQ876" s="30">
        <v>1472014</v>
      </c>
      <c r="BVR876" s="30">
        <f ca="1">YEAR(TODAY())-YEAR(BVP876)</f>
        <v>69</v>
      </c>
      <c r="BVS876" s="245"/>
      <c r="BVT876" s="7" t="s">
        <v>23</v>
      </c>
      <c r="BVU876" s="29"/>
      <c r="BVV876" s="44">
        <v>44198</v>
      </c>
      <c r="BVW876" s="30" t="s">
        <v>22</v>
      </c>
      <c r="BVX876" s="31">
        <v>20890</v>
      </c>
      <c r="BVY876" s="30">
        <v>1472014</v>
      </c>
      <c r="BVZ876" s="30">
        <f ca="1">YEAR(TODAY())-YEAR(BVX876)</f>
        <v>69</v>
      </c>
      <c r="BWA876" s="245"/>
      <c r="BWB876" s="7" t="s">
        <v>23</v>
      </c>
      <c r="BWC876" s="29"/>
      <c r="BWD876" s="44">
        <v>44198</v>
      </c>
      <c r="BWE876" s="30" t="s">
        <v>22</v>
      </c>
      <c r="BWF876" s="31">
        <v>20890</v>
      </c>
      <c r="BWG876" s="30">
        <v>1472014</v>
      </c>
      <c r="BWH876" s="30">
        <f ca="1">YEAR(TODAY())-YEAR(BWF876)</f>
        <v>69</v>
      </c>
      <c r="BWI876" s="245"/>
      <c r="BWJ876" s="7" t="s">
        <v>23</v>
      </c>
      <c r="BWK876" s="29"/>
      <c r="BWL876" s="44">
        <v>44198</v>
      </c>
      <c r="BWM876" s="30" t="s">
        <v>22</v>
      </c>
      <c r="BWN876" s="31">
        <v>20890</v>
      </c>
      <c r="BWO876" s="30">
        <v>1472014</v>
      </c>
      <c r="BWP876" s="30">
        <f ca="1">YEAR(TODAY())-YEAR(BWN876)</f>
        <v>69</v>
      </c>
      <c r="BWQ876" s="245"/>
      <c r="BWR876" s="7" t="s">
        <v>23</v>
      </c>
      <c r="BWS876" s="29"/>
      <c r="BWT876" s="44">
        <v>44198</v>
      </c>
      <c r="BWU876" s="30" t="s">
        <v>22</v>
      </c>
      <c r="BWV876" s="31">
        <v>20890</v>
      </c>
      <c r="BWW876" s="30">
        <v>1472014</v>
      </c>
      <c r="BWX876" s="30">
        <f ca="1">YEAR(TODAY())-YEAR(BWV876)</f>
        <v>69</v>
      </c>
      <c r="BWY876" s="245"/>
      <c r="BWZ876" s="7" t="s">
        <v>23</v>
      </c>
      <c r="BXA876" s="29"/>
      <c r="BXB876" s="44">
        <v>44198</v>
      </c>
      <c r="BXC876" s="30" t="s">
        <v>22</v>
      </c>
      <c r="BXD876" s="31">
        <v>20890</v>
      </c>
      <c r="BXE876" s="30">
        <v>1472014</v>
      </c>
      <c r="BXF876" s="30">
        <f ca="1">YEAR(TODAY())-YEAR(BXD876)</f>
        <v>69</v>
      </c>
      <c r="BXG876" s="245"/>
      <c r="BXH876" s="7" t="s">
        <v>23</v>
      </c>
      <c r="BXI876" s="29"/>
      <c r="BXJ876" s="44">
        <v>44198</v>
      </c>
      <c r="BXK876" s="30" t="s">
        <v>22</v>
      </c>
      <c r="BXL876" s="31">
        <v>20890</v>
      </c>
      <c r="BXM876" s="30">
        <v>1472014</v>
      </c>
      <c r="BXN876" s="30">
        <f ca="1">YEAR(TODAY())-YEAR(BXL876)</f>
        <v>69</v>
      </c>
      <c r="BXO876" s="245"/>
      <c r="BXP876" s="7" t="s">
        <v>23</v>
      </c>
      <c r="BXQ876" s="29"/>
      <c r="BXR876" s="44">
        <v>44198</v>
      </c>
      <c r="BXS876" s="30" t="s">
        <v>22</v>
      </c>
      <c r="BXT876" s="31">
        <v>20890</v>
      </c>
      <c r="BXU876" s="30">
        <v>1472014</v>
      </c>
      <c r="BXV876" s="30">
        <f ca="1">YEAR(TODAY())-YEAR(BXT876)</f>
        <v>69</v>
      </c>
      <c r="BXW876" s="245"/>
      <c r="BXX876" s="7" t="s">
        <v>23</v>
      </c>
      <c r="BXY876" s="29"/>
      <c r="BXZ876" s="44">
        <v>44198</v>
      </c>
      <c r="BYA876" s="30" t="s">
        <v>22</v>
      </c>
      <c r="BYB876" s="31">
        <v>20890</v>
      </c>
      <c r="BYC876" s="30">
        <v>1472014</v>
      </c>
      <c r="BYD876" s="30">
        <f ca="1">YEAR(TODAY())-YEAR(BYB876)</f>
        <v>69</v>
      </c>
      <c r="BYE876" s="245"/>
      <c r="BYF876" s="7" t="s">
        <v>23</v>
      </c>
      <c r="BYG876" s="29"/>
      <c r="BYH876" s="44">
        <v>44198</v>
      </c>
      <c r="BYI876" s="30" t="s">
        <v>22</v>
      </c>
      <c r="BYJ876" s="31">
        <v>20890</v>
      </c>
      <c r="BYK876" s="30">
        <v>1472014</v>
      </c>
      <c r="BYL876" s="30">
        <f ca="1">YEAR(TODAY())-YEAR(BYJ876)</f>
        <v>69</v>
      </c>
      <c r="BYM876" s="245"/>
      <c r="BYN876" s="7" t="s">
        <v>23</v>
      </c>
      <c r="BYO876" s="29"/>
      <c r="BYP876" s="44">
        <v>44198</v>
      </c>
      <c r="BYQ876" s="30" t="s">
        <v>22</v>
      </c>
      <c r="BYR876" s="31">
        <v>20890</v>
      </c>
      <c r="BYS876" s="30">
        <v>1472014</v>
      </c>
      <c r="BYT876" s="30">
        <f ca="1">YEAR(TODAY())-YEAR(BYR876)</f>
        <v>69</v>
      </c>
      <c r="BYU876" s="245"/>
      <c r="BYV876" s="7" t="s">
        <v>23</v>
      </c>
      <c r="BYW876" s="29"/>
      <c r="BYX876" s="44">
        <v>44198</v>
      </c>
      <c r="BYY876" s="30" t="s">
        <v>22</v>
      </c>
      <c r="BYZ876" s="31">
        <v>20890</v>
      </c>
      <c r="BZA876" s="30">
        <v>1472014</v>
      </c>
      <c r="BZB876" s="30">
        <f ca="1">YEAR(TODAY())-YEAR(BYZ876)</f>
        <v>69</v>
      </c>
      <c r="BZC876" s="245"/>
      <c r="BZD876" s="7" t="s">
        <v>23</v>
      </c>
      <c r="BZE876" s="29"/>
      <c r="BZF876" s="44">
        <v>44198</v>
      </c>
      <c r="BZG876" s="30" t="s">
        <v>22</v>
      </c>
      <c r="BZH876" s="31">
        <v>20890</v>
      </c>
      <c r="BZI876" s="30">
        <v>1472014</v>
      </c>
      <c r="BZJ876" s="30">
        <f ca="1">YEAR(TODAY())-YEAR(BZH876)</f>
        <v>69</v>
      </c>
      <c r="BZK876" s="245"/>
      <c r="BZL876" s="7" t="s">
        <v>23</v>
      </c>
      <c r="BZM876" s="29"/>
      <c r="BZN876" s="44">
        <v>44198</v>
      </c>
      <c r="BZO876" s="30" t="s">
        <v>22</v>
      </c>
      <c r="BZP876" s="31">
        <v>20890</v>
      </c>
      <c r="BZQ876" s="30">
        <v>1472014</v>
      </c>
      <c r="BZR876" s="30">
        <f ca="1">YEAR(TODAY())-YEAR(BZP876)</f>
        <v>69</v>
      </c>
      <c r="BZS876" s="245"/>
      <c r="BZT876" s="7" t="s">
        <v>23</v>
      </c>
      <c r="BZU876" s="29"/>
      <c r="BZV876" s="44">
        <v>44198</v>
      </c>
      <c r="BZW876" s="30" t="s">
        <v>22</v>
      </c>
      <c r="BZX876" s="31">
        <v>20890</v>
      </c>
      <c r="BZY876" s="30">
        <v>1472014</v>
      </c>
      <c r="BZZ876" s="30">
        <f ca="1">YEAR(TODAY())-YEAR(BZX876)</f>
        <v>69</v>
      </c>
      <c r="CAA876" s="245"/>
      <c r="CAB876" s="7" t="s">
        <v>23</v>
      </c>
      <c r="CAC876" s="29"/>
      <c r="CAD876" s="44">
        <v>44198</v>
      </c>
      <c r="CAE876" s="30" t="s">
        <v>22</v>
      </c>
      <c r="CAF876" s="31">
        <v>20890</v>
      </c>
      <c r="CAG876" s="30">
        <v>1472014</v>
      </c>
      <c r="CAH876" s="30">
        <f ca="1">YEAR(TODAY())-YEAR(CAF876)</f>
        <v>69</v>
      </c>
      <c r="CAI876" s="245"/>
      <c r="CAJ876" s="7" t="s">
        <v>23</v>
      </c>
      <c r="CAK876" s="29"/>
      <c r="CAL876" s="44">
        <v>44198</v>
      </c>
      <c r="CAM876" s="30" t="s">
        <v>22</v>
      </c>
      <c r="CAN876" s="31">
        <v>20890</v>
      </c>
      <c r="CAO876" s="30">
        <v>1472014</v>
      </c>
      <c r="CAP876" s="30">
        <f ca="1">YEAR(TODAY())-YEAR(CAN876)</f>
        <v>69</v>
      </c>
      <c r="CAQ876" s="245"/>
      <c r="CAR876" s="7" t="s">
        <v>23</v>
      </c>
      <c r="CAS876" s="29"/>
      <c r="CAT876" s="44">
        <v>44198</v>
      </c>
      <c r="CAU876" s="30" t="s">
        <v>22</v>
      </c>
      <c r="CAV876" s="31">
        <v>20890</v>
      </c>
      <c r="CAW876" s="30">
        <v>1472014</v>
      </c>
      <c r="CAX876" s="30">
        <f ca="1">YEAR(TODAY())-YEAR(CAV876)</f>
        <v>69</v>
      </c>
      <c r="CAY876" s="245"/>
      <c r="CAZ876" s="7" t="s">
        <v>23</v>
      </c>
      <c r="CBA876" s="29"/>
      <c r="CBB876" s="44">
        <v>44198</v>
      </c>
      <c r="CBC876" s="30" t="s">
        <v>22</v>
      </c>
      <c r="CBD876" s="31">
        <v>20890</v>
      </c>
      <c r="CBE876" s="30">
        <v>1472014</v>
      </c>
      <c r="CBF876" s="30">
        <f ca="1">YEAR(TODAY())-YEAR(CBD876)</f>
        <v>69</v>
      </c>
      <c r="CBG876" s="245"/>
      <c r="CBH876" s="7" t="s">
        <v>23</v>
      </c>
      <c r="CBI876" s="29"/>
      <c r="CBJ876" s="44">
        <v>44198</v>
      </c>
      <c r="CBK876" s="30" t="s">
        <v>22</v>
      </c>
      <c r="CBL876" s="31">
        <v>20890</v>
      </c>
      <c r="CBM876" s="30">
        <v>1472014</v>
      </c>
      <c r="CBN876" s="30">
        <f ca="1">YEAR(TODAY())-YEAR(CBL876)</f>
        <v>69</v>
      </c>
      <c r="CBO876" s="245"/>
      <c r="CBP876" s="7" t="s">
        <v>23</v>
      </c>
      <c r="CBQ876" s="29"/>
      <c r="CBR876" s="44">
        <v>44198</v>
      </c>
      <c r="CBS876" s="30" t="s">
        <v>22</v>
      </c>
      <c r="CBT876" s="31">
        <v>20890</v>
      </c>
      <c r="CBU876" s="30">
        <v>1472014</v>
      </c>
      <c r="CBV876" s="30">
        <f ca="1">YEAR(TODAY())-YEAR(CBT876)</f>
        <v>69</v>
      </c>
      <c r="CBW876" s="245"/>
      <c r="CBX876" s="7" t="s">
        <v>23</v>
      </c>
      <c r="CBY876" s="29"/>
      <c r="CBZ876" s="44">
        <v>44198</v>
      </c>
      <c r="CCA876" s="30" t="s">
        <v>22</v>
      </c>
      <c r="CCB876" s="31">
        <v>20890</v>
      </c>
      <c r="CCC876" s="30">
        <v>1472014</v>
      </c>
      <c r="CCD876" s="30">
        <f ca="1">YEAR(TODAY())-YEAR(CCB876)</f>
        <v>69</v>
      </c>
      <c r="CCE876" s="245"/>
      <c r="CCF876" s="7" t="s">
        <v>23</v>
      </c>
      <c r="CCG876" s="29"/>
      <c r="CCH876" s="44">
        <v>44198</v>
      </c>
      <c r="CCI876" s="30" t="s">
        <v>22</v>
      </c>
      <c r="CCJ876" s="31">
        <v>20890</v>
      </c>
      <c r="CCK876" s="30">
        <v>1472014</v>
      </c>
      <c r="CCL876" s="30">
        <f ca="1">YEAR(TODAY())-YEAR(CCJ876)</f>
        <v>69</v>
      </c>
      <c r="CCM876" s="245"/>
      <c r="CCN876" s="7" t="s">
        <v>23</v>
      </c>
      <c r="CCO876" s="29"/>
      <c r="CCP876" s="44">
        <v>44198</v>
      </c>
      <c r="CCQ876" s="30" t="s">
        <v>22</v>
      </c>
      <c r="CCR876" s="31">
        <v>20890</v>
      </c>
      <c r="CCS876" s="30">
        <v>1472014</v>
      </c>
      <c r="CCT876" s="30">
        <f ca="1">YEAR(TODAY())-YEAR(CCR876)</f>
        <v>69</v>
      </c>
      <c r="CCU876" s="245"/>
      <c r="CCV876" s="7" t="s">
        <v>23</v>
      </c>
      <c r="CCW876" s="29"/>
      <c r="CCX876" s="44">
        <v>44198</v>
      </c>
      <c r="CCY876" s="30" t="s">
        <v>22</v>
      </c>
      <c r="CCZ876" s="31">
        <v>20890</v>
      </c>
      <c r="CDA876" s="30">
        <v>1472014</v>
      </c>
      <c r="CDB876" s="30">
        <f ca="1">YEAR(TODAY())-YEAR(CCZ876)</f>
        <v>69</v>
      </c>
      <c r="CDC876" s="245"/>
      <c r="CDD876" s="7" t="s">
        <v>23</v>
      </c>
      <c r="CDE876" s="29"/>
      <c r="CDF876" s="44">
        <v>44198</v>
      </c>
      <c r="CDG876" s="30" t="s">
        <v>22</v>
      </c>
      <c r="CDH876" s="31">
        <v>20890</v>
      </c>
      <c r="CDI876" s="30">
        <v>1472014</v>
      </c>
      <c r="CDJ876" s="30">
        <f ca="1">YEAR(TODAY())-YEAR(CDH876)</f>
        <v>69</v>
      </c>
      <c r="CDK876" s="245"/>
      <c r="CDL876" s="7" t="s">
        <v>23</v>
      </c>
      <c r="CDM876" s="29"/>
      <c r="CDN876" s="44">
        <v>44198</v>
      </c>
      <c r="CDO876" s="30" t="s">
        <v>22</v>
      </c>
      <c r="CDP876" s="31">
        <v>20890</v>
      </c>
      <c r="CDQ876" s="30">
        <v>1472014</v>
      </c>
      <c r="CDR876" s="30">
        <f ca="1">YEAR(TODAY())-YEAR(CDP876)</f>
        <v>69</v>
      </c>
      <c r="CDS876" s="245"/>
      <c r="CDT876" s="7" t="s">
        <v>23</v>
      </c>
      <c r="CDU876" s="29"/>
      <c r="CDV876" s="44">
        <v>44198</v>
      </c>
      <c r="CDW876" s="30" t="s">
        <v>22</v>
      </c>
      <c r="CDX876" s="31">
        <v>20890</v>
      </c>
      <c r="CDY876" s="30">
        <v>1472014</v>
      </c>
      <c r="CDZ876" s="30">
        <f ca="1">YEAR(TODAY())-YEAR(CDX876)</f>
        <v>69</v>
      </c>
      <c r="CEA876" s="245"/>
      <c r="CEB876" s="7" t="s">
        <v>23</v>
      </c>
      <c r="CEC876" s="29"/>
      <c r="CED876" s="44">
        <v>44198</v>
      </c>
      <c r="CEE876" s="30" t="s">
        <v>22</v>
      </c>
      <c r="CEF876" s="31">
        <v>20890</v>
      </c>
      <c r="CEG876" s="30">
        <v>1472014</v>
      </c>
      <c r="CEH876" s="30">
        <f ca="1">YEAR(TODAY())-YEAR(CEF876)</f>
        <v>69</v>
      </c>
      <c r="CEI876" s="245"/>
      <c r="CEJ876" s="7" t="s">
        <v>23</v>
      </c>
      <c r="CEK876" s="29"/>
      <c r="CEL876" s="44">
        <v>44198</v>
      </c>
      <c r="CEM876" s="30" t="s">
        <v>22</v>
      </c>
      <c r="CEN876" s="31">
        <v>20890</v>
      </c>
      <c r="CEO876" s="30">
        <v>1472014</v>
      </c>
      <c r="CEP876" s="30">
        <f ca="1">YEAR(TODAY())-YEAR(CEN876)</f>
        <v>69</v>
      </c>
      <c r="CEQ876" s="245"/>
      <c r="CER876" s="7" t="s">
        <v>23</v>
      </c>
      <c r="CES876" s="29"/>
      <c r="CET876" s="44">
        <v>44198</v>
      </c>
      <c r="CEU876" s="30" t="s">
        <v>22</v>
      </c>
      <c r="CEV876" s="31">
        <v>20890</v>
      </c>
      <c r="CEW876" s="30">
        <v>1472014</v>
      </c>
      <c r="CEX876" s="30">
        <f ca="1">YEAR(TODAY())-YEAR(CEV876)</f>
        <v>69</v>
      </c>
      <c r="CEY876" s="245"/>
      <c r="CEZ876" s="7" t="s">
        <v>23</v>
      </c>
      <c r="CFA876" s="29"/>
      <c r="CFB876" s="44">
        <v>44198</v>
      </c>
      <c r="CFC876" s="30" t="s">
        <v>22</v>
      </c>
      <c r="CFD876" s="31">
        <v>20890</v>
      </c>
      <c r="CFE876" s="30">
        <v>1472014</v>
      </c>
      <c r="CFF876" s="30">
        <f ca="1">YEAR(TODAY())-YEAR(CFD876)</f>
        <v>69</v>
      </c>
      <c r="CFG876" s="245"/>
      <c r="CFH876" s="7" t="s">
        <v>23</v>
      </c>
      <c r="CFI876" s="29"/>
      <c r="CFJ876" s="44">
        <v>44198</v>
      </c>
      <c r="CFK876" s="30" t="s">
        <v>22</v>
      </c>
      <c r="CFL876" s="31">
        <v>20890</v>
      </c>
      <c r="CFM876" s="30">
        <v>1472014</v>
      </c>
      <c r="CFN876" s="30">
        <f ca="1">YEAR(TODAY())-YEAR(CFL876)</f>
        <v>69</v>
      </c>
      <c r="CFO876" s="245"/>
      <c r="CFP876" s="7" t="s">
        <v>23</v>
      </c>
      <c r="CFQ876" s="29"/>
      <c r="CFR876" s="44">
        <v>44198</v>
      </c>
      <c r="CFS876" s="30" t="s">
        <v>22</v>
      </c>
      <c r="CFT876" s="31">
        <v>20890</v>
      </c>
      <c r="CFU876" s="30">
        <v>1472014</v>
      </c>
      <c r="CFV876" s="30">
        <f ca="1">YEAR(TODAY())-YEAR(CFT876)</f>
        <v>69</v>
      </c>
      <c r="CFW876" s="245"/>
      <c r="CFX876" s="7" t="s">
        <v>23</v>
      </c>
      <c r="CFY876" s="29"/>
      <c r="CFZ876" s="44">
        <v>44198</v>
      </c>
      <c r="CGA876" s="30" t="s">
        <v>22</v>
      </c>
      <c r="CGB876" s="31">
        <v>20890</v>
      </c>
      <c r="CGC876" s="30">
        <v>1472014</v>
      </c>
      <c r="CGD876" s="30">
        <f ca="1">YEAR(TODAY())-YEAR(CGB876)</f>
        <v>69</v>
      </c>
      <c r="CGE876" s="245"/>
      <c r="CGF876" s="7" t="s">
        <v>23</v>
      </c>
      <c r="CGG876" s="29"/>
      <c r="CGH876" s="44">
        <v>44198</v>
      </c>
      <c r="CGI876" s="30" t="s">
        <v>22</v>
      </c>
      <c r="CGJ876" s="31">
        <v>20890</v>
      </c>
      <c r="CGK876" s="30">
        <v>1472014</v>
      </c>
      <c r="CGL876" s="30">
        <f ca="1">YEAR(TODAY())-YEAR(CGJ876)</f>
        <v>69</v>
      </c>
      <c r="CGM876" s="245"/>
      <c r="CGN876" s="7" t="s">
        <v>23</v>
      </c>
      <c r="CGO876" s="29"/>
      <c r="CGP876" s="44">
        <v>44198</v>
      </c>
      <c r="CGQ876" s="30" t="s">
        <v>22</v>
      </c>
      <c r="CGR876" s="31">
        <v>20890</v>
      </c>
      <c r="CGS876" s="30">
        <v>1472014</v>
      </c>
      <c r="CGT876" s="30">
        <f ca="1">YEAR(TODAY())-YEAR(CGR876)</f>
        <v>69</v>
      </c>
      <c r="CGU876" s="245"/>
      <c r="CGV876" s="7" t="s">
        <v>23</v>
      </c>
      <c r="CGW876" s="29"/>
      <c r="CGX876" s="44">
        <v>44198</v>
      </c>
      <c r="CGY876" s="30" t="s">
        <v>22</v>
      </c>
      <c r="CGZ876" s="31">
        <v>20890</v>
      </c>
      <c r="CHA876" s="30">
        <v>1472014</v>
      </c>
      <c r="CHB876" s="30">
        <f ca="1">YEAR(TODAY())-YEAR(CGZ876)</f>
        <v>69</v>
      </c>
      <c r="CHC876" s="245"/>
      <c r="CHD876" s="7" t="s">
        <v>23</v>
      </c>
      <c r="CHE876" s="29"/>
      <c r="CHF876" s="44">
        <v>44198</v>
      </c>
      <c r="CHG876" s="30" t="s">
        <v>22</v>
      </c>
      <c r="CHH876" s="31">
        <v>20890</v>
      </c>
      <c r="CHI876" s="30">
        <v>1472014</v>
      </c>
      <c r="CHJ876" s="30">
        <f ca="1">YEAR(TODAY())-YEAR(CHH876)</f>
        <v>69</v>
      </c>
      <c r="CHK876" s="245"/>
      <c r="CHL876" s="7" t="s">
        <v>23</v>
      </c>
      <c r="CHM876" s="29"/>
      <c r="CHN876" s="44">
        <v>44198</v>
      </c>
      <c r="CHO876" s="30" t="s">
        <v>22</v>
      </c>
      <c r="CHP876" s="31">
        <v>20890</v>
      </c>
      <c r="CHQ876" s="30">
        <v>1472014</v>
      </c>
      <c r="CHR876" s="30">
        <f ca="1">YEAR(TODAY())-YEAR(CHP876)</f>
        <v>69</v>
      </c>
      <c r="CHS876" s="245"/>
      <c r="CHT876" s="7" t="s">
        <v>23</v>
      </c>
      <c r="CHU876" s="29"/>
      <c r="CHV876" s="44">
        <v>44198</v>
      </c>
      <c r="CHW876" s="30" t="s">
        <v>22</v>
      </c>
      <c r="CHX876" s="31">
        <v>20890</v>
      </c>
      <c r="CHY876" s="30">
        <v>1472014</v>
      </c>
      <c r="CHZ876" s="30">
        <f ca="1">YEAR(TODAY())-YEAR(CHX876)</f>
        <v>69</v>
      </c>
      <c r="CIA876" s="245"/>
      <c r="CIB876" s="7" t="s">
        <v>23</v>
      </c>
      <c r="CIC876" s="29"/>
      <c r="CID876" s="44">
        <v>44198</v>
      </c>
      <c r="CIE876" s="30" t="s">
        <v>22</v>
      </c>
      <c r="CIF876" s="31">
        <v>20890</v>
      </c>
      <c r="CIG876" s="30">
        <v>1472014</v>
      </c>
      <c r="CIH876" s="30">
        <f ca="1">YEAR(TODAY())-YEAR(CIF876)</f>
        <v>69</v>
      </c>
      <c r="CII876" s="245"/>
      <c r="CIJ876" s="7" t="s">
        <v>23</v>
      </c>
      <c r="CIK876" s="29"/>
      <c r="CIL876" s="44">
        <v>44198</v>
      </c>
      <c r="CIM876" s="30" t="s">
        <v>22</v>
      </c>
      <c r="CIN876" s="31">
        <v>20890</v>
      </c>
      <c r="CIO876" s="30">
        <v>1472014</v>
      </c>
      <c r="CIP876" s="30">
        <f ca="1">YEAR(TODAY())-YEAR(CIN876)</f>
        <v>69</v>
      </c>
      <c r="CIQ876" s="245"/>
      <c r="CIR876" s="7" t="s">
        <v>23</v>
      </c>
      <c r="CIS876" s="29"/>
      <c r="CIT876" s="44">
        <v>44198</v>
      </c>
      <c r="CIU876" s="30" t="s">
        <v>22</v>
      </c>
      <c r="CIV876" s="31">
        <v>20890</v>
      </c>
      <c r="CIW876" s="30">
        <v>1472014</v>
      </c>
      <c r="CIX876" s="30">
        <f ca="1">YEAR(TODAY())-YEAR(CIV876)</f>
        <v>69</v>
      </c>
      <c r="CIY876" s="245"/>
      <c r="CIZ876" s="7" t="s">
        <v>23</v>
      </c>
      <c r="CJA876" s="29"/>
      <c r="CJB876" s="44">
        <v>44198</v>
      </c>
      <c r="CJC876" s="30" t="s">
        <v>22</v>
      </c>
      <c r="CJD876" s="31">
        <v>20890</v>
      </c>
      <c r="CJE876" s="30">
        <v>1472014</v>
      </c>
      <c r="CJF876" s="30">
        <f ca="1">YEAR(TODAY())-YEAR(CJD876)</f>
        <v>69</v>
      </c>
      <c r="CJG876" s="245"/>
      <c r="CJH876" s="7" t="s">
        <v>23</v>
      </c>
      <c r="CJI876" s="29"/>
      <c r="CJJ876" s="44">
        <v>44198</v>
      </c>
      <c r="CJK876" s="30" t="s">
        <v>22</v>
      </c>
      <c r="CJL876" s="31">
        <v>20890</v>
      </c>
      <c r="CJM876" s="30">
        <v>1472014</v>
      </c>
      <c r="CJN876" s="30">
        <f ca="1">YEAR(TODAY())-YEAR(CJL876)</f>
        <v>69</v>
      </c>
      <c r="CJO876" s="245"/>
      <c r="CJP876" s="7" t="s">
        <v>23</v>
      </c>
      <c r="CJQ876" s="29"/>
      <c r="CJR876" s="44">
        <v>44198</v>
      </c>
      <c r="CJS876" s="30" t="s">
        <v>22</v>
      </c>
      <c r="CJT876" s="31">
        <v>20890</v>
      </c>
      <c r="CJU876" s="30">
        <v>1472014</v>
      </c>
      <c r="CJV876" s="30">
        <f ca="1">YEAR(TODAY())-YEAR(CJT876)</f>
        <v>69</v>
      </c>
      <c r="CJW876" s="245"/>
      <c r="CJX876" s="7" t="s">
        <v>23</v>
      </c>
      <c r="CJY876" s="29"/>
      <c r="CJZ876" s="44">
        <v>44198</v>
      </c>
      <c r="CKA876" s="30" t="s">
        <v>22</v>
      </c>
      <c r="CKB876" s="31">
        <v>20890</v>
      </c>
      <c r="CKC876" s="30">
        <v>1472014</v>
      </c>
      <c r="CKD876" s="30">
        <f ca="1">YEAR(TODAY())-YEAR(CKB876)</f>
        <v>69</v>
      </c>
      <c r="CKE876" s="245"/>
      <c r="CKF876" s="7" t="s">
        <v>23</v>
      </c>
      <c r="CKG876" s="29"/>
      <c r="CKH876" s="44">
        <v>44198</v>
      </c>
      <c r="CKI876" s="30" t="s">
        <v>22</v>
      </c>
      <c r="CKJ876" s="31">
        <v>20890</v>
      </c>
      <c r="CKK876" s="30">
        <v>1472014</v>
      </c>
      <c r="CKL876" s="30">
        <f ca="1">YEAR(TODAY())-YEAR(CKJ876)</f>
        <v>69</v>
      </c>
      <c r="CKM876" s="245"/>
      <c r="CKN876" s="7" t="s">
        <v>23</v>
      </c>
      <c r="CKO876" s="29"/>
      <c r="CKP876" s="44">
        <v>44198</v>
      </c>
      <c r="CKQ876" s="30" t="s">
        <v>22</v>
      </c>
      <c r="CKR876" s="31">
        <v>20890</v>
      </c>
      <c r="CKS876" s="30">
        <v>1472014</v>
      </c>
      <c r="CKT876" s="30">
        <f ca="1">YEAR(TODAY())-YEAR(CKR876)</f>
        <v>69</v>
      </c>
      <c r="CKU876" s="245"/>
      <c r="CKV876" s="7" t="s">
        <v>23</v>
      </c>
      <c r="CKW876" s="29"/>
      <c r="CKX876" s="44">
        <v>44198</v>
      </c>
      <c r="CKY876" s="30" t="s">
        <v>22</v>
      </c>
      <c r="CKZ876" s="31">
        <v>20890</v>
      </c>
      <c r="CLA876" s="30">
        <v>1472014</v>
      </c>
      <c r="CLB876" s="30">
        <f ca="1">YEAR(TODAY())-YEAR(CKZ876)</f>
        <v>69</v>
      </c>
      <c r="CLC876" s="245"/>
      <c r="CLD876" s="7" t="s">
        <v>23</v>
      </c>
      <c r="CLE876" s="29"/>
      <c r="CLF876" s="44">
        <v>44198</v>
      </c>
      <c r="CLG876" s="30" t="s">
        <v>22</v>
      </c>
      <c r="CLH876" s="31">
        <v>20890</v>
      </c>
      <c r="CLI876" s="30">
        <v>1472014</v>
      </c>
      <c r="CLJ876" s="30">
        <f ca="1">YEAR(TODAY())-YEAR(CLH876)</f>
        <v>69</v>
      </c>
      <c r="CLK876" s="245"/>
      <c r="CLL876" s="7" t="s">
        <v>23</v>
      </c>
      <c r="CLM876" s="29"/>
      <c r="CLN876" s="44">
        <v>44198</v>
      </c>
      <c r="CLO876" s="30" t="s">
        <v>22</v>
      </c>
      <c r="CLP876" s="31">
        <v>20890</v>
      </c>
      <c r="CLQ876" s="30">
        <v>1472014</v>
      </c>
      <c r="CLR876" s="30">
        <f ca="1">YEAR(TODAY())-YEAR(CLP876)</f>
        <v>69</v>
      </c>
      <c r="CLS876" s="245"/>
      <c r="CLT876" s="7" t="s">
        <v>23</v>
      </c>
      <c r="CLU876" s="29"/>
      <c r="CLV876" s="44">
        <v>44198</v>
      </c>
      <c r="CLW876" s="30" t="s">
        <v>22</v>
      </c>
      <c r="CLX876" s="31">
        <v>20890</v>
      </c>
      <c r="CLY876" s="30">
        <v>1472014</v>
      </c>
      <c r="CLZ876" s="30">
        <f ca="1">YEAR(TODAY())-YEAR(CLX876)</f>
        <v>69</v>
      </c>
      <c r="CMA876" s="245"/>
      <c r="CMB876" s="7" t="s">
        <v>23</v>
      </c>
      <c r="CMC876" s="29"/>
      <c r="CMD876" s="44">
        <v>44198</v>
      </c>
      <c r="CME876" s="30" t="s">
        <v>22</v>
      </c>
      <c r="CMF876" s="31">
        <v>20890</v>
      </c>
      <c r="CMG876" s="30">
        <v>1472014</v>
      </c>
      <c r="CMH876" s="30">
        <f ca="1">YEAR(TODAY())-YEAR(CMF876)</f>
        <v>69</v>
      </c>
      <c r="CMI876" s="245"/>
      <c r="CMJ876" s="7" t="s">
        <v>23</v>
      </c>
      <c r="CMK876" s="29"/>
      <c r="CML876" s="44">
        <v>44198</v>
      </c>
      <c r="CMM876" s="30" t="s">
        <v>22</v>
      </c>
      <c r="CMN876" s="31">
        <v>20890</v>
      </c>
      <c r="CMO876" s="30">
        <v>1472014</v>
      </c>
      <c r="CMP876" s="30">
        <f ca="1">YEAR(TODAY())-YEAR(CMN876)</f>
        <v>69</v>
      </c>
      <c r="CMQ876" s="245"/>
      <c r="CMR876" s="7" t="s">
        <v>23</v>
      </c>
      <c r="CMS876" s="29"/>
      <c r="CMT876" s="44">
        <v>44198</v>
      </c>
      <c r="CMU876" s="30" t="s">
        <v>22</v>
      </c>
      <c r="CMV876" s="31">
        <v>20890</v>
      </c>
      <c r="CMW876" s="30">
        <v>1472014</v>
      </c>
      <c r="CMX876" s="30">
        <f ca="1">YEAR(TODAY())-YEAR(CMV876)</f>
        <v>69</v>
      </c>
      <c r="CMY876" s="245"/>
      <c r="CMZ876" s="7" t="s">
        <v>23</v>
      </c>
      <c r="CNA876" s="29"/>
      <c r="CNB876" s="44">
        <v>44198</v>
      </c>
      <c r="CNC876" s="30" t="s">
        <v>22</v>
      </c>
      <c r="CND876" s="31">
        <v>20890</v>
      </c>
      <c r="CNE876" s="30">
        <v>1472014</v>
      </c>
      <c r="CNF876" s="30">
        <f ca="1">YEAR(TODAY())-YEAR(CND876)</f>
        <v>69</v>
      </c>
      <c r="CNG876" s="245"/>
      <c r="CNH876" s="7" t="s">
        <v>23</v>
      </c>
      <c r="CNI876" s="29"/>
      <c r="CNJ876" s="44">
        <v>44198</v>
      </c>
      <c r="CNK876" s="30" t="s">
        <v>22</v>
      </c>
      <c r="CNL876" s="31">
        <v>20890</v>
      </c>
      <c r="CNM876" s="30">
        <v>1472014</v>
      </c>
      <c r="CNN876" s="30">
        <f ca="1">YEAR(TODAY())-YEAR(CNL876)</f>
        <v>69</v>
      </c>
      <c r="CNO876" s="245"/>
      <c r="CNP876" s="7" t="s">
        <v>23</v>
      </c>
      <c r="CNQ876" s="29"/>
      <c r="CNR876" s="44">
        <v>44198</v>
      </c>
      <c r="CNS876" s="30" t="s">
        <v>22</v>
      </c>
      <c r="CNT876" s="31">
        <v>20890</v>
      </c>
      <c r="CNU876" s="30">
        <v>1472014</v>
      </c>
      <c r="CNV876" s="30">
        <f ca="1">YEAR(TODAY())-YEAR(CNT876)</f>
        <v>69</v>
      </c>
      <c r="CNW876" s="245"/>
      <c r="CNX876" s="7" t="s">
        <v>23</v>
      </c>
      <c r="CNY876" s="29"/>
      <c r="CNZ876" s="44">
        <v>44198</v>
      </c>
      <c r="COA876" s="30" t="s">
        <v>22</v>
      </c>
      <c r="COB876" s="31">
        <v>20890</v>
      </c>
      <c r="COC876" s="30">
        <v>1472014</v>
      </c>
      <c r="COD876" s="30">
        <f ca="1">YEAR(TODAY())-YEAR(COB876)</f>
        <v>69</v>
      </c>
      <c r="COE876" s="245"/>
      <c r="COF876" s="7" t="s">
        <v>23</v>
      </c>
      <c r="COG876" s="29"/>
      <c r="COH876" s="44">
        <v>44198</v>
      </c>
      <c r="COI876" s="30" t="s">
        <v>22</v>
      </c>
      <c r="COJ876" s="31">
        <v>20890</v>
      </c>
      <c r="COK876" s="30">
        <v>1472014</v>
      </c>
      <c r="COL876" s="30">
        <f ca="1">YEAR(TODAY())-YEAR(COJ876)</f>
        <v>69</v>
      </c>
      <c r="COM876" s="245"/>
      <c r="CON876" s="7" t="s">
        <v>23</v>
      </c>
      <c r="COO876" s="29"/>
      <c r="COP876" s="44">
        <v>44198</v>
      </c>
      <c r="COQ876" s="30" t="s">
        <v>22</v>
      </c>
      <c r="COR876" s="31">
        <v>20890</v>
      </c>
      <c r="COS876" s="30">
        <v>1472014</v>
      </c>
      <c r="COT876" s="30">
        <f ca="1">YEAR(TODAY())-YEAR(COR876)</f>
        <v>69</v>
      </c>
      <c r="COU876" s="245"/>
      <c r="COV876" s="7" t="s">
        <v>23</v>
      </c>
      <c r="COW876" s="29"/>
      <c r="COX876" s="44">
        <v>44198</v>
      </c>
      <c r="COY876" s="30" t="s">
        <v>22</v>
      </c>
      <c r="COZ876" s="31">
        <v>20890</v>
      </c>
      <c r="CPA876" s="30">
        <v>1472014</v>
      </c>
      <c r="CPB876" s="30">
        <f ca="1">YEAR(TODAY())-YEAR(COZ876)</f>
        <v>69</v>
      </c>
      <c r="CPC876" s="245"/>
      <c r="CPD876" s="7" t="s">
        <v>23</v>
      </c>
      <c r="CPE876" s="29"/>
      <c r="CPF876" s="44">
        <v>44198</v>
      </c>
      <c r="CPG876" s="30" t="s">
        <v>22</v>
      </c>
      <c r="CPH876" s="31">
        <v>20890</v>
      </c>
      <c r="CPI876" s="30">
        <v>1472014</v>
      </c>
      <c r="CPJ876" s="30">
        <f ca="1">YEAR(TODAY())-YEAR(CPH876)</f>
        <v>69</v>
      </c>
      <c r="CPK876" s="245"/>
      <c r="CPL876" s="7" t="s">
        <v>23</v>
      </c>
      <c r="CPM876" s="29"/>
      <c r="CPN876" s="44">
        <v>44198</v>
      </c>
      <c r="CPO876" s="30" t="s">
        <v>22</v>
      </c>
      <c r="CPP876" s="31">
        <v>20890</v>
      </c>
      <c r="CPQ876" s="30">
        <v>1472014</v>
      </c>
      <c r="CPR876" s="30">
        <f ca="1">YEAR(TODAY())-YEAR(CPP876)</f>
        <v>69</v>
      </c>
      <c r="CPS876" s="245"/>
      <c r="CPT876" s="7" t="s">
        <v>23</v>
      </c>
      <c r="CPU876" s="29"/>
      <c r="CPV876" s="44">
        <v>44198</v>
      </c>
      <c r="CPW876" s="30" t="s">
        <v>22</v>
      </c>
      <c r="CPX876" s="31">
        <v>20890</v>
      </c>
      <c r="CPY876" s="30">
        <v>1472014</v>
      </c>
      <c r="CPZ876" s="30">
        <f ca="1">YEAR(TODAY())-YEAR(CPX876)</f>
        <v>69</v>
      </c>
      <c r="CQA876" s="245"/>
      <c r="CQB876" s="7" t="s">
        <v>23</v>
      </c>
      <c r="CQC876" s="29"/>
      <c r="CQD876" s="44">
        <v>44198</v>
      </c>
      <c r="CQE876" s="30" t="s">
        <v>22</v>
      </c>
      <c r="CQF876" s="31">
        <v>20890</v>
      </c>
      <c r="CQG876" s="30">
        <v>1472014</v>
      </c>
      <c r="CQH876" s="30">
        <f ca="1">YEAR(TODAY())-YEAR(CQF876)</f>
        <v>69</v>
      </c>
      <c r="CQI876" s="245"/>
      <c r="CQJ876" s="7" t="s">
        <v>23</v>
      </c>
      <c r="CQK876" s="29"/>
      <c r="CQL876" s="44">
        <v>44198</v>
      </c>
      <c r="CQM876" s="30" t="s">
        <v>22</v>
      </c>
      <c r="CQN876" s="31">
        <v>20890</v>
      </c>
      <c r="CQO876" s="30">
        <v>1472014</v>
      </c>
      <c r="CQP876" s="30">
        <f ca="1">YEAR(TODAY())-YEAR(CQN876)</f>
        <v>69</v>
      </c>
      <c r="CQQ876" s="245"/>
      <c r="CQR876" s="7" t="s">
        <v>23</v>
      </c>
      <c r="CQS876" s="29"/>
      <c r="CQT876" s="44">
        <v>44198</v>
      </c>
      <c r="CQU876" s="30" t="s">
        <v>22</v>
      </c>
      <c r="CQV876" s="31">
        <v>20890</v>
      </c>
      <c r="CQW876" s="30">
        <v>1472014</v>
      </c>
      <c r="CQX876" s="30">
        <f ca="1">YEAR(TODAY())-YEAR(CQV876)</f>
        <v>69</v>
      </c>
      <c r="CQY876" s="245"/>
      <c r="CQZ876" s="7" t="s">
        <v>23</v>
      </c>
      <c r="CRA876" s="29"/>
      <c r="CRB876" s="44">
        <v>44198</v>
      </c>
      <c r="CRC876" s="30" t="s">
        <v>22</v>
      </c>
      <c r="CRD876" s="31">
        <v>20890</v>
      </c>
      <c r="CRE876" s="30">
        <v>1472014</v>
      </c>
      <c r="CRF876" s="30">
        <f ca="1">YEAR(TODAY())-YEAR(CRD876)</f>
        <v>69</v>
      </c>
      <c r="CRG876" s="245"/>
      <c r="CRH876" s="7" t="s">
        <v>23</v>
      </c>
      <c r="CRI876" s="29"/>
      <c r="CRJ876" s="44">
        <v>44198</v>
      </c>
      <c r="CRK876" s="30" t="s">
        <v>22</v>
      </c>
      <c r="CRL876" s="31">
        <v>20890</v>
      </c>
      <c r="CRM876" s="30">
        <v>1472014</v>
      </c>
      <c r="CRN876" s="30">
        <f ca="1">YEAR(TODAY())-YEAR(CRL876)</f>
        <v>69</v>
      </c>
      <c r="CRO876" s="245"/>
      <c r="CRP876" s="7" t="s">
        <v>23</v>
      </c>
      <c r="CRQ876" s="29"/>
      <c r="CRR876" s="44">
        <v>44198</v>
      </c>
      <c r="CRS876" s="30" t="s">
        <v>22</v>
      </c>
      <c r="CRT876" s="31">
        <v>20890</v>
      </c>
      <c r="CRU876" s="30">
        <v>1472014</v>
      </c>
      <c r="CRV876" s="30">
        <f ca="1">YEAR(TODAY())-YEAR(CRT876)</f>
        <v>69</v>
      </c>
      <c r="CRW876" s="245"/>
      <c r="CRX876" s="7" t="s">
        <v>23</v>
      </c>
      <c r="CRY876" s="29"/>
      <c r="CRZ876" s="44">
        <v>44198</v>
      </c>
      <c r="CSA876" s="30" t="s">
        <v>22</v>
      </c>
      <c r="CSB876" s="31">
        <v>20890</v>
      </c>
      <c r="CSC876" s="30">
        <v>1472014</v>
      </c>
      <c r="CSD876" s="30">
        <f ca="1">YEAR(TODAY())-YEAR(CSB876)</f>
        <v>69</v>
      </c>
      <c r="CSE876" s="245"/>
      <c r="CSF876" s="7" t="s">
        <v>23</v>
      </c>
      <c r="CSG876" s="29"/>
      <c r="CSH876" s="44">
        <v>44198</v>
      </c>
      <c r="CSI876" s="30" t="s">
        <v>22</v>
      </c>
      <c r="CSJ876" s="31">
        <v>20890</v>
      </c>
      <c r="CSK876" s="30">
        <v>1472014</v>
      </c>
      <c r="CSL876" s="30">
        <f ca="1">YEAR(TODAY())-YEAR(CSJ876)</f>
        <v>69</v>
      </c>
      <c r="CSM876" s="245"/>
      <c r="CSN876" s="7" t="s">
        <v>23</v>
      </c>
      <c r="CSO876" s="29"/>
      <c r="CSP876" s="44">
        <v>44198</v>
      </c>
      <c r="CSQ876" s="30" t="s">
        <v>22</v>
      </c>
      <c r="CSR876" s="31">
        <v>20890</v>
      </c>
      <c r="CSS876" s="30">
        <v>1472014</v>
      </c>
      <c r="CST876" s="30">
        <f ca="1">YEAR(TODAY())-YEAR(CSR876)</f>
        <v>69</v>
      </c>
      <c r="CSU876" s="245"/>
      <c r="CSV876" s="7" t="s">
        <v>23</v>
      </c>
      <c r="CSW876" s="29"/>
      <c r="CSX876" s="44">
        <v>44198</v>
      </c>
      <c r="CSY876" s="30" t="s">
        <v>22</v>
      </c>
      <c r="CSZ876" s="31">
        <v>20890</v>
      </c>
      <c r="CTA876" s="30">
        <v>1472014</v>
      </c>
      <c r="CTB876" s="30">
        <f ca="1">YEAR(TODAY())-YEAR(CSZ876)</f>
        <v>69</v>
      </c>
      <c r="CTC876" s="245"/>
      <c r="CTD876" s="7" t="s">
        <v>23</v>
      </c>
      <c r="CTE876" s="29"/>
      <c r="CTF876" s="44">
        <v>44198</v>
      </c>
      <c r="CTG876" s="30" t="s">
        <v>22</v>
      </c>
      <c r="CTH876" s="31">
        <v>20890</v>
      </c>
      <c r="CTI876" s="30">
        <v>1472014</v>
      </c>
      <c r="CTJ876" s="30">
        <f ca="1">YEAR(TODAY())-YEAR(CTH876)</f>
        <v>69</v>
      </c>
      <c r="CTK876" s="245"/>
      <c r="CTL876" s="7" t="s">
        <v>23</v>
      </c>
      <c r="CTM876" s="29"/>
      <c r="CTN876" s="44">
        <v>44198</v>
      </c>
      <c r="CTO876" s="30" t="s">
        <v>22</v>
      </c>
      <c r="CTP876" s="31">
        <v>20890</v>
      </c>
      <c r="CTQ876" s="30">
        <v>1472014</v>
      </c>
      <c r="CTR876" s="30">
        <f ca="1">YEAR(TODAY())-YEAR(CTP876)</f>
        <v>69</v>
      </c>
      <c r="CTS876" s="245"/>
      <c r="CTT876" s="7" t="s">
        <v>23</v>
      </c>
      <c r="CTU876" s="29"/>
      <c r="CTV876" s="44">
        <v>44198</v>
      </c>
      <c r="CTW876" s="30" t="s">
        <v>22</v>
      </c>
      <c r="CTX876" s="31">
        <v>20890</v>
      </c>
      <c r="CTY876" s="30">
        <v>1472014</v>
      </c>
      <c r="CTZ876" s="30">
        <f ca="1">YEAR(TODAY())-YEAR(CTX876)</f>
        <v>69</v>
      </c>
      <c r="CUA876" s="245"/>
      <c r="CUB876" s="7" t="s">
        <v>23</v>
      </c>
      <c r="CUC876" s="29"/>
      <c r="CUD876" s="44">
        <v>44198</v>
      </c>
      <c r="CUE876" s="30" t="s">
        <v>22</v>
      </c>
      <c r="CUF876" s="31">
        <v>20890</v>
      </c>
      <c r="CUG876" s="30">
        <v>1472014</v>
      </c>
      <c r="CUH876" s="30">
        <f ca="1">YEAR(TODAY())-YEAR(CUF876)</f>
        <v>69</v>
      </c>
      <c r="CUI876" s="245"/>
      <c r="CUJ876" s="7" t="s">
        <v>23</v>
      </c>
      <c r="CUK876" s="29"/>
      <c r="CUL876" s="44">
        <v>44198</v>
      </c>
      <c r="CUM876" s="30" t="s">
        <v>22</v>
      </c>
      <c r="CUN876" s="31">
        <v>20890</v>
      </c>
      <c r="CUO876" s="30">
        <v>1472014</v>
      </c>
      <c r="CUP876" s="30">
        <f ca="1">YEAR(TODAY())-YEAR(CUN876)</f>
        <v>69</v>
      </c>
      <c r="CUQ876" s="245"/>
      <c r="CUR876" s="7" t="s">
        <v>23</v>
      </c>
      <c r="CUS876" s="29"/>
      <c r="CUT876" s="44">
        <v>44198</v>
      </c>
      <c r="CUU876" s="30" t="s">
        <v>22</v>
      </c>
      <c r="CUV876" s="31">
        <v>20890</v>
      </c>
      <c r="CUW876" s="30">
        <v>1472014</v>
      </c>
      <c r="CUX876" s="30">
        <f ca="1">YEAR(TODAY())-YEAR(CUV876)</f>
        <v>69</v>
      </c>
      <c r="CUY876" s="245"/>
      <c r="CUZ876" s="7" t="s">
        <v>23</v>
      </c>
      <c r="CVA876" s="29"/>
      <c r="CVB876" s="44">
        <v>44198</v>
      </c>
      <c r="CVC876" s="30" t="s">
        <v>22</v>
      </c>
      <c r="CVD876" s="31">
        <v>20890</v>
      </c>
      <c r="CVE876" s="30">
        <v>1472014</v>
      </c>
      <c r="CVF876" s="30">
        <f ca="1">YEAR(TODAY())-YEAR(CVD876)</f>
        <v>69</v>
      </c>
      <c r="CVG876" s="245"/>
      <c r="CVH876" s="7" t="s">
        <v>23</v>
      </c>
      <c r="CVI876" s="29"/>
      <c r="CVJ876" s="44">
        <v>44198</v>
      </c>
      <c r="CVK876" s="30" t="s">
        <v>22</v>
      </c>
      <c r="CVL876" s="31">
        <v>20890</v>
      </c>
      <c r="CVM876" s="30">
        <v>1472014</v>
      </c>
      <c r="CVN876" s="30">
        <f ca="1">YEAR(TODAY())-YEAR(CVL876)</f>
        <v>69</v>
      </c>
      <c r="CVO876" s="245"/>
      <c r="CVP876" s="7" t="s">
        <v>23</v>
      </c>
      <c r="CVQ876" s="29"/>
      <c r="CVR876" s="44">
        <v>44198</v>
      </c>
      <c r="CVS876" s="30" t="s">
        <v>22</v>
      </c>
      <c r="CVT876" s="31">
        <v>20890</v>
      </c>
      <c r="CVU876" s="30">
        <v>1472014</v>
      </c>
      <c r="CVV876" s="30">
        <f ca="1">YEAR(TODAY())-YEAR(CVT876)</f>
        <v>69</v>
      </c>
      <c r="CVW876" s="245"/>
      <c r="CVX876" s="7" t="s">
        <v>23</v>
      </c>
      <c r="CVY876" s="29"/>
      <c r="CVZ876" s="44">
        <v>44198</v>
      </c>
      <c r="CWA876" s="30" t="s">
        <v>22</v>
      </c>
      <c r="CWB876" s="31">
        <v>20890</v>
      </c>
      <c r="CWC876" s="30">
        <v>1472014</v>
      </c>
      <c r="CWD876" s="30">
        <f ca="1">YEAR(TODAY())-YEAR(CWB876)</f>
        <v>69</v>
      </c>
      <c r="CWE876" s="245"/>
      <c r="CWF876" s="7" t="s">
        <v>23</v>
      </c>
      <c r="CWG876" s="29"/>
      <c r="CWH876" s="44">
        <v>44198</v>
      </c>
      <c r="CWI876" s="30" t="s">
        <v>22</v>
      </c>
      <c r="CWJ876" s="31">
        <v>20890</v>
      </c>
      <c r="CWK876" s="30">
        <v>1472014</v>
      </c>
      <c r="CWL876" s="30">
        <f ca="1">YEAR(TODAY())-YEAR(CWJ876)</f>
        <v>69</v>
      </c>
      <c r="CWM876" s="245"/>
      <c r="CWN876" s="7" t="s">
        <v>23</v>
      </c>
      <c r="CWO876" s="29"/>
      <c r="CWP876" s="44">
        <v>44198</v>
      </c>
      <c r="CWQ876" s="30" t="s">
        <v>22</v>
      </c>
      <c r="CWR876" s="31">
        <v>20890</v>
      </c>
      <c r="CWS876" s="30">
        <v>1472014</v>
      </c>
      <c r="CWT876" s="30">
        <f ca="1">YEAR(TODAY())-YEAR(CWR876)</f>
        <v>69</v>
      </c>
      <c r="CWU876" s="245"/>
      <c r="CWV876" s="7" t="s">
        <v>23</v>
      </c>
      <c r="CWW876" s="29"/>
      <c r="CWX876" s="44">
        <v>44198</v>
      </c>
      <c r="CWY876" s="30" t="s">
        <v>22</v>
      </c>
      <c r="CWZ876" s="31">
        <v>20890</v>
      </c>
      <c r="CXA876" s="30">
        <v>1472014</v>
      </c>
      <c r="CXB876" s="30">
        <f ca="1">YEAR(TODAY())-YEAR(CWZ876)</f>
        <v>69</v>
      </c>
      <c r="CXC876" s="245"/>
      <c r="CXD876" s="7" t="s">
        <v>23</v>
      </c>
      <c r="CXE876" s="29"/>
      <c r="CXF876" s="44">
        <v>44198</v>
      </c>
      <c r="CXG876" s="30" t="s">
        <v>22</v>
      </c>
      <c r="CXH876" s="31">
        <v>20890</v>
      </c>
      <c r="CXI876" s="30">
        <v>1472014</v>
      </c>
      <c r="CXJ876" s="30">
        <f ca="1">YEAR(TODAY())-YEAR(CXH876)</f>
        <v>69</v>
      </c>
      <c r="CXK876" s="245"/>
      <c r="CXL876" s="7" t="s">
        <v>23</v>
      </c>
      <c r="CXM876" s="29"/>
      <c r="CXN876" s="44">
        <v>44198</v>
      </c>
      <c r="CXO876" s="30" t="s">
        <v>22</v>
      </c>
      <c r="CXP876" s="31">
        <v>20890</v>
      </c>
      <c r="CXQ876" s="30">
        <v>1472014</v>
      </c>
      <c r="CXR876" s="30">
        <f ca="1">YEAR(TODAY())-YEAR(CXP876)</f>
        <v>69</v>
      </c>
      <c r="CXS876" s="245"/>
      <c r="CXT876" s="7" t="s">
        <v>23</v>
      </c>
      <c r="CXU876" s="29"/>
      <c r="CXV876" s="44">
        <v>44198</v>
      </c>
      <c r="CXW876" s="30" t="s">
        <v>22</v>
      </c>
      <c r="CXX876" s="31">
        <v>20890</v>
      </c>
      <c r="CXY876" s="30">
        <v>1472014</v>
      </c>
      <c r="CXZ876" s="30">
        <f ca="1">YEAR(TODAY())-YEAR(CXX876)</f>
        <v>69</v>
      </c>
      <c r="CYA876" s="245"/>
      <c r="CYB876" s="7" t="s">
        <v>23</v>
      </c>
      <c r="CYC876" s="29"/>
      <c r="CYD876" s="44">
        <v>44198</v>
      </c>
      <c r="CYE876" s="30" t="s">
        <v>22</v>
      </c>
      <c r="CYF876" s="31">
        <v>20890</v>
      </c>
      <c r="CYG876" s="30">
        <v>1472014</v>
      </c>
      <c r="CYH876" s="30">
        <f ca="1">YEAR(TODAY())-YEAR(CYF876)</f>
        <v>69</v>
      </c>
      <c r="CYI876" s="245"/>
      <c r="CYJ876" s="7" t="s">
        <v>23</v>
      </c>
      <c r="CYK876" s="29"/>
      <c r="CYL876" s="44">
        <v>44198</v>
      </c>
      <c r="CYM876" s="30" t="s">
        <v>22</v>
      </c>
      <c r="CYN876" s="31">
        <v>20890</v>
      </c>
      <c r="CYO876" s="30">
        <v>1472014</v>
      </c>
      <c r="CYP876" s="30">
        <f ca="1">YEAR(TODAY())-YEAR(CYN876)</f>
        <v>69</v>
      </c>
      <c r="CYQ876" s="245"/>
      <c r="CYR876" s="7" t="s">
        <v>23</v>
      </c>
      <c r="CYS876" s="29"/>
      <c r="CYT876" s="44">
        <v>44198</v>
      </c>
      <c r="CYU876" s="30" t="s">
        <v>22</v>
      </c>
      <c r="CYV876" s="31">
        <v>20890</v>
      </c>
      <c r="CYW876" s="30">
        <v>1472014</v>
      </c>
      <c r="CYX876" s="30">
        <f ca="1">YEAR(TODAY())-YEAR(CYV876)</f>
        <v>69</v>
      </c>
      <c r="CYY876" s="245"/>
      <c r="CYZ876" s="7" t="s">
        <v>23</v>
      </c>
      <c r="CZA876" s="29"/>
      <c r="CZB876" s="44">
        <v>44198</v>
      </c>
      <c r="CZC876" s="30" t="s">
        <v>22</v>
      </c>
      <c r="CZD876" s="31">
        <v>20890</v>
      </c>
      <c r="CZE876" s="30">
        <v>1472014</v>
      </c>
      <c r="CZF876" s="30">
        <f ca="1">YEAR(TODAY())-YEAR(CZD876)</f>
        <v>69</v>
      </c>
      <c r="CZG876" s="245"/>
      <c r="CZH876" s="7" t="s">
        <v>23</v>
      </c>
      <c r="CZI876" s="29"/>
      <c r="CZJ876" s="44">
        <v>44198</v>
      </c>
      <c r="CZK876" s="30" t="s">
        <v>22</v>
      </c>
      <c r="CZL876" s="31">
        <v>20890</v>
      </c>
      <c r="CZM876" s="30">
        <v>1472014</v>
      </c>
      <c r="CZN876" s="30">
        <f ca="1">YEAR(TODAY())-YEAR(CZL876)</f>
        <v>69</v>
      </c>
      <c r="CZO876" s="245"/>
      <c r="CZP876" s="7" t="s">
        <v>23</v>
      </c>
      <c r="CZQ876" s="29"/>
      <c r="CZR876" s="44">
        <v>44198</v>
      </c>
      <c r="CZS876" s="30" t="s">
        <v>22</v>
      </c>
      <c r="CZT876" s="31">
        <v>20890</v>
      </c>
      <c r="CZU876" s="30">
        <v>1472014</v>
      </c>
      <c r="CZV876" s="30">
        <f ca="1">YEAR(TODAY())-YEAR(CZT876)</f>
        <v>69</v>
      </c>
      <c r="CZW876" s="245"/>
      <c r="CZX876" s="7" t="s">
        <v>23</v>
      </c>
      <c r="CZY876" s="29"/>
      <c r="CZZ876" s="44">
        <v>44198</v>
      </c>
      <c r="DAA876" s="30" t="s">
        <v>22</v>
      </c>
      <c r="DAB876" s="31">
        <v>20890</v>
      </c>
      <c r="DAC876" s="30">
        <v>1472014</v>
      </c>
      <c r="DAD876" s="30">
        <f ca="1">YEAR(TODAY())-YEAR(DAB876)</f>
        <v>69</v>
      </c>
      <c r="DAE876" s="245"/>
      <c r="DAF876" s="7" t="s">
        <v>23</v>
      </c>
      <c r="DAG876" s="29"/>
      <c r="DAH876" s="44">
        <v>44198</v>
      </c>
      <c r="DAI876" s="30" t="s">
        <v>22</v>
      </c>
      <c r="DAJ876" s="31">
        <v>20890</v>
      </c>
      <c r="DAK876" s="30">
        <v>1472014</v>
      </c>
      <c r="DAL876" s="30">
        <f ca="1">YEAR(TODAY())-YEAR(DAJ876)</f>
        <v>69</v>
      </c>
      <c r="DAM876" s="245"/>
      <c r="DAN876" s="7" t="s">
        <v>23</v>
      </c>
      <c r="DAO876" s="29"/>
      <c r="DAP876" s="44">
        <v>44198</v>
      </c>
      <c r="DAQ876" s="30" t="s">
        <v>22</v>
      </c>
      <c r="DAR876" s="31">
        <v>20890</v>
      </c>
      <c r="DAS876" s="30">
        <v>1472014</v>
      </c>
      <c r="DAT876" s="30">
        <f ca="1">YEAR(TODAY())-YEAR(DAR876)</f>
        <v>69</v>
      </c>
      <c r="DAU876" s="245"/>
      <c r="DAV876" s="7" t="s">
        <v>23</v>
      </c>
      <c r="DAW876" s="29"/>
      <c r="DAX876" s="44">
        <v>44198</v>
      </c>
      <c r="DAY876" s="30" t="s">
        <v>22</v>
      </c>
      <c r="DAZ876" s="31">
        <v>20890</v>
      </c>
      <c r="DBA876" s="30">
        <v>1472014</v>
      </c>
      <c r="DBB876" s="30">
        <f ca="1">YEAR(TODAY())-YEAR(DAZ876)</f>
        <v>69</v>
      </c>
      <c r="DBC876" s="245"/>
      <c r="DBD876" s="7" t="s">
        <v>23</v>
      </c>
      <c r="DBE876" s="29"/>
      <c r="DBF876" s="44">
        <v>44198</v>
      </c>
      <c r="DBG876" s="30" t="s">
        <v>22</v>
      </c>
      <c r="DBH876" s="31">
        <v>20890</v>
      </c>
      <c r="DBI876" s="30">
        <v>1472014</v>
      </c>
      <c r="DBJ876" s="30">
        <f ca="1">YEAR(TODAY())-YEAR(DBH876)</f>
        <v>69</v>
      </c>
      <c r="DBK876" s="245"/>
      <c r="DBL876" s="7" t="s">
        <v>23</v>
      </c>
      <c r="DBM876" s="29"/>
      <c r="DBN876" s="44">
        <v>44198</v>
      </c>
      <c r="DBO876" s="30" t="s">
        <v>22</v>
      </c>
      <c r="DBP876" s="31">
        <v>20890</v>
      </c>
      <c r="DBQ876" s="30">
        <v>1472014</v>
      </c>
      <c r="DBR876" s="30">
        <f ca="1">YEAR(TODAY())-YEAR(DBP876)</f>
        <v>69</v>
      </c>
      <c r="DBS876" s="245"/>
      <c r="DBT876" s="7" t="s">
        <v>23</v>
      </c>
      <c r="DBU876" s="29"/>
      <c r="DBV876" s="44">
        <v>44198</v>
      </c>
      <c r="DBW876" s="30" t="s">
        <v>22</v>
      </c>
      <c r="DBX876" s="31">
        <v>20890</v>
      </c>
      <c r="DBY876" s="30">
        <v>1472014</v>
      </c>
      <c r="DBZ876" s="30">
        <f ca="1">YEAR(TODAY())-YEAR(DBX876)</f>
        <v>69</v>
      </c>
      <c r="DCA876" s="245"/>
      <c r="DCB876" s="7" t="s">
        <v>23</v>
      </c>
      <c r="DCC876" s="29"/>
      <c r="DCD876" s="44">
        <v>44198</v>
      </c>
      <c r="DCE876" s="30" t="s">
        <v>22</v>
      </c>
      <c r="DCF876" s="31">
        <v>20890</v>
      </c>
      <c r="DCG876" s="30">
        <v>1472014</v>
      </c>
      <c r="DCH876" s="30">
        <f ca="1">YEAR(TODAY())-YEAR(DCF876)</f>
        <v>69</v>
      </c>
      <c r="DCI876" s="245"/>
      <c r="DCJ876" s="7" t="s">
        <v>23</v>
      </c>
      <c r="DCK876" s="29"/>
      <c r="DCL876" s="44">
        <v>44198</v>
      </c>
      <c r="DCM876" s="30" t="s">
        <v>22</v>
      </c>
      <c r="DCN876" s="31">
        <v>20890</v>
      </c>
      <c r="DCO876" s="30">
        <v>1472014</v>
      </c>
      <c r="DCP876" s="30">
        <f ca="1">YEAR(TODAY())-YEAR(DCN876)</f>
        <v>69</v>
      </c>
      <c r="DCQ876" s="245"/>
      <c r="DCR876" s="7" t="s">
        <v>23</v>
      </c>
      <c r="DCS876" s="29"/>
      <c r="DCT876" s="44">
        <v>44198</v>
      </c>
      <c r="DCU876" s="30" t="s">
        <v>22</v>
      </c>
      <c r="DCV876" s="31">
        <v>20890</v>
      </c>
      <c r="DCW876" s="30">
        <v>1472014</v>
      </c>
      <c r="DCX876" s="30">
        <f ca="1">YEAR(TODAY())-YEAR(DCV876)</f>
        <v>69</v>
      </c>
      <c r="DCY876" s="245"/>
      <c r="DCZ876" s="7" t="s">
        <v>23</v>
      </c>
      <c r="DDA876" s="29"/>
      <c r="DDB876" s="44">
        <v>44198</v>
      </c>
      <c r="DDC876" s="30" t="s">
        <v>22</v>
      </c>
      <c r="DDD876" s="31">
        <v>20890</v>
      </c>
      <c r="DDE876" s="30">
        <v>1472014</v>
      </c>
      <c r="DDF876" s="30">
        <f ca="1">YEAR(TODAY())-YEAR(DDD876)</f>
        <v>69</v>
      </c>
      <c r="DDG876" s="245"/>
      <c r="DDH876" s="7" t="s">
        <v>23</v>
      </c>
      <c r="DDI876" s="29"/>
      <c r="DDJ876" s="44">
        <v>44198</v>
      </c>
      <c r="DDK876" s="30" t="s">
        <v>22</v>
      </c>
      <c r="DDL876" s="31">
        <v>20890</v>
      </c>
      <c r="DDM876" s="30">
        <v>1472014</v>
      </c>
      <c r="DDN876" s="30">
        <f ca="1">YEAR(TODAY())-YEAR(DDL876)</f>
        <v>69</v>
      </c>
      <c r="DDO876" s="245"/>
      <c r="DDP876" s="7" t="s">
        <v>23</v>
      </c>
      <c r="DDQ876" s="29"/>
      <c r="DDR876" s="44">
        <v>44198</v>
      </c>
      <c r="DDS876" s="30" t="s">
        <v>22</v>
      </c>
      <c r="DDT876" s="31">
        <v>20890</v>
      </c>
      <c r="DDU876" s="30">
        <v>1472014</v>
      </c>
      <c r="DDV876" s="30">
        <f ca="1">YEAR(TODAY())-YEAR(DDT876)</f>
        <v>69</v>
      </c>
      <c r="DDW876" s="245"/>
      <c r="DDX876" s="7" t="s">
        <v>23</v>
      </c>
      <c r="DDY876" s="29"/>
      <c r="DDZ876" s="44">
        <v>44198</v>
      </c>
      <c r="DEA876" s="30" t="s">
        <v>22</v>
      </c>
      <c r="DEB876" s="31">
        <v>20890</v>
      </c>
      <c r="DEC876" s="30">
        <v>1472014</v>
      </c>
      <c r="DED876" s="30">
        <f ca="1">YEAR(TODAY())-YEAR(DEB876)</f>
        <v>69</v>
      </c>
      <c r="DEE876" s="245"/>
      <c r="DEF876" s="7" t="s">
        <v>23</v>
      </c>
      <c r="DEG876" s="29"/>
      <c r="DEH876" s="44">
        <v>44198</v>
      </c>
      <c r="DEI876" s="30" t="s">
        <v>22</v>
      </c>
      <c r="DEJ876" s="31">
        <v>20890</v>
      </c>
      <c r="DEK876" s="30">
        <v>1472014</v>
      </c>
      <c r="DEL876" s="30">
        <f ca="1">YEAR(TODAY())-YEAR(DEJ876)</f>
        <v>69</v>
      </c>
      <c r="DEM876" s="245"/>
      <c r="DEN876" s="7" t="s">
        <v>23</v>
      </c>
      <c r="DEO876" s="29"/>
      <c r="DEP876" s="44">
        <v>44198</v>
      </c>
      <c r="DEQ876" s="30" t="s">
        <v>22</v>
      </c>
      <c r="DER876" s="31">
        <v>20890</v>
      </c>
      <c r="DES876" s="30">
        <v>1472014</v>
      </c>
      <c r="DET876" s="30">
        <f ca="1">YEAR(TODAY())-YEAR(DER876)</f>
        <v>69</v>
      </c>
      <c r="DEU876" s="245"/>
      <c r="DEV876" s="7" t="s">
        <v>23</v>
      </c>
      <c r="DEW876" s="29"/>
      <c r="DEX876" s="44">
        <v>44198</v>
      </c>
      <c r="DEY876" s="30" t="s">
        <v>22</v>
      </c>
      <c r="DEZ876" s="31">
        <v>20890</v>
      </c>
      <c r="DFA876" s="30">
        <v>1472014</v>
      </c>
      <c r="DFB876" s="30">
        <f ca="1">YEAR(TODAY())-YEAR(DEZ876)</f>
        <v>69</v>
      </c>
      <c r="DFC876" s="245"/>
      <c r="DFD876" s="7" t="s">
        <v>23</v>
      </c>
      <c r="DFE876" s="29"/>
      <c r="DFF876" s="44">
        <v>44198</v>
      </c>
      <c r="DFG876" s="30" t="s">
        <v>22</v>
      </c>
      <c r="DFH876" s="31">
        <v>20890</v>
      </c>
      <c r="DFI876" s="30">
        <v>1472014</v>
      </c>
      <c r="DFJ876" s="30">
        <f ca="1">YEAR(TODAY())-YEAR(DFH876)</f>
        <v>69</v>
      </c>
      <c r="DFK876" s="245"/>
      <c r="DFL876" s="7" t="s">
        <v>23</v>
      </c>
      <c r="DFM876" s="29"/>
      <c r="DFN876" s="44">
        <v>44198</v>
      </c>
      <c r="DFO876" s="30" t="s">
        <v>22</v>
      </c>
      <c r="DFP876" s="31">
        <v>20890</v>
      </c>
      <c r="DFQ876" s="30">
        <v>1472014</v>
      </c>
      <c r="DFR876" s="30">
        <f ca="1">YEAR(TODAY())-YEAR(DFP876)</f>
        <v>69</v>
      </c>
      <c r="DFS876" s="245"/>
      <c r="DFT876" s="7" t="s">
        <v>23</v>
      </c>
      <c r="DFU876" s="29"/>
      <c r="DFV876" s="44">
        <v>44198</v>
      </c>
      <c r="DFW876" s="30" t="s">
        <v>22</v>
      </c>
      <c r="DFX876" s="31">
        <v>20890</v>
      </c>
      <c r="DFY876" s="30">
        <v>1472014</v>
      </c>
      <c r="DFZ876" s="30">
        <f ca="1">YEAR(TODAY())-YEAR(DFX876)</f>
        <v>69</v>
      </c>
      <c r="DGA876" s="245"/>
      <c r="DGB876" s="7" t="s">
        <v>23</v>
      </c>
      <c r="DGC876" s="29"/>
      <c r="DGD876" s="44">
        <v>44198</v>
      </c>
      <c r="DGE876" s="30" t="s">
        <v>22</v>
      </c>
      <c r="DGF876" s="31">
        <v>20890</v>
      </c>
      <c r="DGG876" s="30">
        <v>1472014</v>
      </c>
      <c r="DGH876" s="30">
        <f ca="1">YEAR(TODAY())-YEAR(DGF876)</f>
        <v>69</v>
      </c>
      <c r="DGI876" s="245"/>
      <c r="DGJ876" s="7" t="s">
        <v>23</v>
      </c>
      <c r="DGK876" s="29"/>
      <c r="DGL876" s="44">
        <v>44198</v>
      </c>
      <c r="DGM876" s="30" t="s">
        <v>22</v>
      </c>
      <c r="DGN876" s="31">
        <v>20890</v>
      </c>
      <c r="DGO876" s="30">
        <v>1472014</v>
      </c>
      <c r="DGP876" s="30">
        <f ca="1">YEAR(TODAY())-YEAR(DGN876)</f>
        <v>69</v>
      </c>
      <c r="DGQ876" s="245"/>
      <c r="DGR876" s="7" t="s">
        <v>23</v>
      </c>
      <c r="DGS876" s="29"/>
      <c r="DGT876" s="44">
        <v>44198</v>
      </c>
      <c r="DGU876" s="30" t="s">
        <v>22</v>
      </c>
      <c r="DGV876" s="31">
        <v>20890</v>
      </c>
      <c r="DGW876" s="30">
        <v>1472014</v>
      </c>
      <c r="DGX876" s="30">
        <f ca="1">YEAR(TODAY())-YEAR(DGV876)</f>
        <v>69</v>
      </c>
      <c r="DGY876" s="245"/>
      <c r="DGZ876" s="7" t="s">
        <v>23</v>
      </c>
      <c r="DHA876" s="29"/>
      <c r="DHB876" s="44">
        <v>44198</v>
      </c>
      <c r="DHC876" s="30" t="s">
        <v>22</v>
      </c>
      <c r="DHD876" s="31">
        <v>20890</v>
      </c>
      <c r="DHE876" s="30">
        <v>1472014</v>
      </c>
      <c r="DHF876" s="30">
        <f ca="1">YEAR(TODAY())-YEAR(DHD876)</f>
        <v>69</v>
      </c>
      <c r="DHG876" s="245"/>
      <c r="DHH876" s="7" t="s">
        <v>23</v>
      </c>
      <c r="DHI876" s="29"/>
      <c r="DHJ876" s="44">
        <v>44198</v>
      </c>
      <c r="DHK876" s="30" t="s">
        <v>22</v>
      </c>
      <c r="DHL876" s="31">
        <v>20890</v>
      </c>
      <c r="DHM876" s="30">
        <v>1472014</v>
      </c>
      <c r="DHN876" s="30">
        <f ca="1">YEAR(TODAY())-YEAR(DHL876)</f>
        <v>69</v>
      </c>
      <c r="DHO876" s="245"/>
      <c r="DHP876" s="7" t="s">
        <v>23</v>
      </c>
      <c r="DHQ876" s="29"/>
      <c r="DHR876" s="44">
        <v>44198</v>
      </c>
      <c r="DHS876" s="30" t="s">
        <v>22</v>
      </c>
      <c r="DHT876" s="31">
        <v>20890</v>
      </c>
      <c r="DHU876" s="30">
        <v>1472014</v>
      </c>
      <c r="DHV876" s="30">
        <f ca="1">YEAR(TODAY())-YEAR(DHT876)</f>
        <v>69</v>
      </c>
      <c r="DHW876" s="245"/>
      <c r="DHX876" s="7" t="s">
        <v>23</v>
      </c>
      <c r="DHY876" s="29"/>
      <c r="DHZ876" s="44">
        <v>44198</v>
      </c>
      <c r="DIA876" s="30" t="s">
        <v>22</v>
      </c>
      <c r="DIB876" s="31">
        <v>20890</v>
      </c>
      <c r="DIC876" s="30">
        <v>1472014</v>
      </c>
      <c r="DID876" s="30">
        <f ca="1">YEAR(TODAY())-YEAR(DIB876)</f>
        <v>69</v>
      </c>
      <c r="DIE876" s="245"/>
      <c r="DIF876" s="7" t="s">
        <v>23</v>
      </c>
      <c r="DIG876" s="29"/>
      <c r="DIH876" s="44">
        <v>44198</v>
      </c>
      <c r="DII876" s="30" t="s">
        <v>22</v>
      </c>
      <c r="DIJ876" s="31">
        <v>20890</v>
      </c>
      <c r="DIK876" s="30">
        <v>1472014</v>
      </c>
      <c r="DIL876" s="30">
        <f ca="1">YEAR(TODAY())-YEAR(DIJ876)</f>
        <v>69</v>
      </c>
      <c r="DIM876" s="245"/>
      <c r="DIN876" s="7" t="s">
        <v>23</v>
      </c>
      <c r="DIO876" s="29"/>
      <c r="DIP876" s="44">
        <v>44198</v>
      </c>
      <c r="DIQ876" s="30" t="s">
        <v>22</v>
      </c>
      <c r="DIR876" s="31">
        <v>20890</v>
      </c>
      <c r="DIS876" s="30">
        <v>1472014</v>
      </c>
      <c r="DIT876" s="30">
        <f ca="1">YEAR(TODAY())-YEAR(DIR876)</f>
        <v>69</v>
      </c>
      <c r="DIU876" s="245"/>
      <c r="DIV876" s="7" t="s">
        <v>23</v>
      </c>
      <c r="DIW876" s="29"/>
      <c r="DIX876" s="44">
        <v>44198</v>
      </c>
      <c r="DIY876" s="30" t="s">
        <v>22</v>
      </c>
      <c r="DIZ876" s="31">
        <v>20890</v>
      </c>
      <c r="DJA876" s="30">
        <v>1472014</v>
      </c>
      <c r="DJB876" s="30">
        <f ca="1">YEAR(TODAY())-YEAR(DIZ876)</f>
        <v>69</v>
      </c>
      <c r="DJC876" s="245"/>
      <c r="DJD876" s="7" t="s">
        <v>23</v>
      </c>
      <c r="DJE876" s="29"/>
      <c r="DJF876" s="44">
        <v>44198</v>
      </c>
      <c r="DJG876" s="30" t="s">
        <v>22</v>
      </c>
      <c r="DJH876" s="31">
        <v>20890</v>
      </c>
      <c r="DJI876" s="30">
        <v>1472014</v>
      </c>
      <c r="DJJ876" s="30">
        <f ca="1">YEAR(TODAY())-YEAR(DJH876)</f>
        <v>69</v>
      </c>
      <c r="DJK876" s="245"/>
      <c r="DJL876" s="7" t="s">
        <v>23</v>
      </c>
      <c r="DJM876" s="29"/>
      <c r="DJN876" s="44">
        <v>44198</v>
      </c>
      <c r="DJO876" s="30" t="s">
        <v>22</v>
      </c>
      <c r="DJP876" s="31">
        <v>20890</v>
      </c>
      <c r="DJQ876" s="30">
        <v>1472014</v>
      </c>
      <c r="DJR876" s="30">
        <f ca="1">YEAR(TODAY())-YEAR(DJP876)</f>
        <v>69</v>
      </c>
      <c r="DJS876" s="245"/>
      <c r="DJT876" s="7" t="s">
        <v>23</v>
      </c>
      <c r="DJU876" s="29"/>
      <c r="DJV876" s="44">
        <v>44198</v>
      </c>
      <c r="DJW876" s="30" t="s">
        <v>22</v>
      </c>
      <c r="DJX876" s="31">
        <v>20890</v>
      </c>
      <c r="DJY876" s="30">
        <v>1472014</v>
      </c>
      <c r="DJZ876" s="30">
        <f ca="1">YEAR(TODAY())-YEAR(DJX876)</f>
        <v>69</v>
      </c>
      <c r="DKA876" s="245"/>
      <c r="DKB876" s="7" t="s">
        <v>23</v>
      </c>
      <c r="DKC876" s="29"/>
      <c r="DKD876" s="44">
        <v>44198</v>
      </c>
      <c r="DKE876" s="30" t="s">
        <v>22</v>
      </c>
      <c r="DKF876" s="31">
        <v>20890</v>
      </c>
      <c r="DKG876" s="30">
        <v>1472014</v>
      </c>
      <c r="DKH876" s="30">
        <f ca="1">YEAR(TODAY())-YEAR(DKF876)</f>
        <v>69</v>
      </c>
      <c r="DKI876" s="245"/>
      <c r="DKJ876" s="7" t="s">
        <v>23</v>
      </c>
      <c r="DKK876" s="29"/>
      <c r="DKL876" s="44">
        <v>44198</v>
      </c>
      <c r="DKM876" s="30" t="s">
        <v>22</v>
      </c>
      <c r="DKN876" s="31">
        <v>20890</v>
      </c>
      <c r="DKO876" s="30">
        <v>1472014</v>
      </c>
      <c r="DKP876" s="30">
        <f ca="1">YEAR(TODAY())-YEAR(DKN876)</f>
        <v>69</v>
      </c>
      <c r="DKQ876" s="245"/>
      <c r="DKR876" s="7" t="s">
        <v>23</v>
      </c>
      <c r="DKS876" s="29"/>
      <c r="DKT876" s="44">
        <v>44198</v>
      </c>
      <c r="DKU876" s="30" t="s">
        <v>22</v>
      </c>
      <c r="DKV876" s="31">
        <v>20890</v>
      </c>
      <c r="DKW876" s="30">
        <v>1472014</v>
      </c>
      <c r="DKX876" s="30">
        <f ca="1">YEAR(TODAY())-YEAR(DKV876)</f>
        <v>69</v>
      </c>
      <c r="DKY876" s="245"/>
      <c r="DKZ876" s="7" t="s">
        <v>23</v>
      </c>
      <c r="DLA876" s="29"/>
      <c r="DLB876" s="44">
        <v>44198</v>
      </c>
      <c r="DLC876" s="30" t="s">
        <v>22</v>
      </c>
      <c r="DLD876" s="31">
        <v>20890</v>
      </c>
      <c r="DLE876" s="30">
        <v>1472014</v>
      </c>
      <c r="DLF876" s="30">
        <f ca="1">YEAR(TODAY())-YEAR(DLD876)</f>
        <v>69</v>
      </c>
      <c r="DLG876" s="245"/>
      <c r="DLH876" s="7" t="s">
        <v>23</v>
      </c>
      <c r="DLI876" s="29"/>
      <c r="DLJ876" s="44">
        <v>44198</v>
      </c>
      <c r="DLK876" s="30" t="s">
        <v>22</v>
      </c>
      <c r="DLL876" s="31">
        <v>20890</v>
      </c>
      <c r="DLM876" s="30">
        <v>1472014</v>
      </c>
      <c r="DLN876" s="30">
        <f ca="1">YEAR(TODAY())-YEAR(DLL876)</f>
        <v>69</v>
      </c>
      <c r="DLO876" s="245"/>
      <c r="DLP876" s="7" t="s">
        <v>23</v>
      </c>
      <c r="DLQ876" s="29"/>
      <c r="DLR876" s="44">
        <v>44198</v>
      </c>
      <c r="DLS876" s="30" t="s">
        <v>22</v>
      </c>
      <c r="DLT876" s="31">
        <v>20890</v>
      </c>
      <c r="DLU876" s="30">
        <v>1472014</v>
      </c>
      <c r="DLV876" s="30">
        <f ca="1">YEAR(TODAY())-YEAR(DLT876)</f>
        <v>69</v>
      </c>
      <c r="DLW876" s="245"/>
      <c r="DLX876" s="7" t="s">
        <v>23</v>
      </c>
      <c r="DLY876" s="29"/>
      <c r="DLZ876" s="44">
        <v>44198</v>
      </c>
      <c r="DMA876" s="30" t="s">
        <v>22</v>
      </c>
      <c r="DMB876" s="31">
        <v>20890</v>
      </c>
      <c r="DMC876" s="30">
        <v>1472014</v>
      </c>
      <c r="DMD876" s="30">
        <f ca="1">YEAR(TODAY())-YEAR(DMB876)</f>
        <v>69</v>
      </c>
      <c r="DME876" s="245"/>
      <c r="DMF876" s="7" t="s">
        <v>23</v>
      </c>
      <c r="DMG876" s="29"/>
      <c r="DMH876" s="44">
        <v>44198</v>
      </c>
      <c r="DMI876" s="30" t="s">
        <v>22</v>
      </c>
      <c r="DMJ876" s="31">
        <v>20890</v>
      </c>
      <c r="DMK876" s="30">
        <v>1472014</v>
      </c>
      <c r="DML876" s="30">
        <f ca="1">YEAR(TODAY())-YEAR(DMJ876)</f>
        <v>69</v>
      </c>
      <c r="DMM876" s="245"/>
      <c r="DMN876" s="7" t="s">
        <v>23</v>
      </c>
      <c r="DMO876" s="29"/>
      <c r="DMP876" s="44">
        <v>44198</v>
      </c>
      <c r="DMQ876" s="30" t="s">
        <v>22</v>
      </c>
      <c r="DMR876" s="31">
        <v>20890</v>
      </c>
      <c r="DMS876" s="30">
        <v>1472014</v>
      </c>
      <c r="DMT876" s="30">
        <f ca="1">YEAR(TODAY())-YEAR(DMR876)</f>
        <v>69</v>
      </c>
      <c r="DMU876" s="245"/>
      <c r="DMV876" s="7" t="s">
        <v>23</v>
      </c>
      <c r="DMW876" s="29"/>
      <c r="DMX876" s="44">
        <v>44198</v>
      </c>
      <c r="DMY876" s="30" t="s">
        <v>22</v>
      </c>
      <c r="DMZ876" s="31">
        <v>20890</v>
      </c>
      <c r="DNA876" s="30">
        <v>1472014</v>
      </c>
      <c r="DNB876" s="30">
        <f ca="1">YEAR(TODAY())-YEAR(DMZ876)</f>
        <v>69</v>
      </c>
      <c r="DNC876" s="245"/>
      <c r="DND876" s="7" t="s">
        <v>23</v>
      </c>
      <c r="DNE876" s="29"/>
      <c r="DNF876" s="44">
        <v>44198</v>
      </c>
      <c r="DNG876" s="30" t="s">
        <v>22</v>
      </c>
      <c r="DNH876" s="31">
        <v>20890</v>
      </c>
      <c r="DNI876" s="30">
        <v>1472014</v>
      </c>
      <c r="DNJ876" s="30">
        <f ca="1">YEAR(TODAY())-YEAR(DNH876)</f>
        <v>69</v>
      </c>
      <c r="DNK876" s="245"/>
      <c r="DNL876" s="7" t="s">
        <v>23</v>
      </c>
      <c r="DNM876" s="29"/>
      <c r="DNN876" s="44">
        <v>44198</v>
      </c>
      <c r="DNO876" s="30" t="s">
        <v>22</v>
      </c>
      <c r="DNP876" s="31">
        <v>20890</v>
      </c>
      <c r="DNQ876" s="30">
        <v>1472014</v>
      </c>
      <c r="DNR876" s="30">
        <f ca="1">YEAR(TODAY())-YEAR(DNP876)</f>
        <v>69</v>
      </c>
      <c r="DNS876" s="245"/>
      <c r="DNT876" s="7" t="s">
        <v>23</v>
      </c>
      <c r="DNU876" s="29"/>
      <c r="DNV876" s="44">
        <v>44198</v>
      </c>
      <c r="DNW876" s="30" t="s">
        <v>22</v>
      </c>
      <c r="DNX876" s="31">
        <v>20890</v>
      </c>
      <c r="DNY876" s="30">
        <v>1472014</v>
      </c>
      <c r="DNZ876" s="30">
        <f ca="1">YEAR(TODAY())-YEAR(DNX876)</f>
        <v>69</v>
      </c>
      <c r="DOA876" s="245"/>
      <c r="DOB876" s="7" t="s">
        <v>23</v>
      </c>
      <c r="DOC876" s="29"/>
      <c r="DOD876" s="44">
        <v>44198</v>
      </c>
      <c r="DOE876" s="30" t="s">
        <v>22</v>
      </c>
      <c r="DOF876" s="31">
        <v>20890</v>
      </c>
      <c r="DOG876" s="30">
        <v>1472014</v>
      </c>
      <c r="DOH876" s="30">
        <f ca="1">YEAR(TODAY())-YEAR(DOF876)</f>
        <v>69</v>
      </c>
      <c r="DOI876" s="245"/>
      <c r="DOJ876" s="7" t="s">
        <v>23</v>
      </c>
      <c r="DOK876" s="29"/>
      <c r="DOL876" s="44">
        <v>44198</v>
      </c>
      <c r="DOM876" s="30" t="s">
        <v>22</v>
      </c>
      <c r="DON876" s="31">
        <v>20890</v>
      </c>
      <c r="DOO876" s="30">
        <v>1472014</v>
      </c>
      <c r="DOP876" s="30">
        <f ca="1">YEAR(TODAY())-YEAR(DON876)</f>
        <v>69</v>
      </c>
      <c r="DOQ876" s="245"/>
      <c r="DOR876" s="7" t="s">
        <v>23</v>
      </c>
      <c r="DOS876" s="29"/>
      <c r="DOT876" s="44">
        <v>44198</v>
      </c>
      <c r="DOU876" s="30" t="s">
        <v>22</v>
      </c>
      <c r="DOV876" s="31">
        <v>20890</v>
      </c>
      <c r="DOW876" s="30">
        <v>1472014</v>
      </c>
      <c r="DOX876" s="30">
        <f ca="1">YEAR(TODAY())-YEAR(DOV876)</f>
        <v>69</v>
      </c>
      <c r="DOY876" s="245"/>
      <c r="DOZ876" s="7" t="s">
        <v>23</v>
      </c>
      <c r="DPA876" s="29"/>
      <c r="DPB876" s="44">
        <v>44198</v>
      </c>
      <c r="DPC876" s="30" t="s">
        <v>22</v>
      </c>
      <c r="DPD876" s="31">
        <v>20890</v>
      </c>
      <c r="DPE876" s="30">
        <v>1472014</v>
      </c>
      <c r="DPF876" s="30">
        <f ca="1">YEAR(TODAY())-YEAR(DPD876)</f>
        <v>69</v>
      </c>
      <c r="DPG876" s="245"/>
      <c r="DPH876" s="7" t="s">
        <v>23</v>
      </c>
      <c r="DPI876" s="29"/>
      <c r="DPJ876" s="44">
        <v>44198</v>
      </c>
      <c r="DPK876" s="30" t="s">
        <v>22</v>
      </c>
      <c r="DPL876" s="31">
        <v>20890</v>
      </c>
      <c r="DPM876" s="30">
        <v>1472014</v>
      </c>
      <c r="DPN876" s="30">
        <f ca="1">YEAR(TODAY())-YEAR(DPL876)</f>
        <v>69</v>
      </c>
      <c r="DPO876" s="245"/>
      <c r="DPP876" s="7" t="s">
        <v>23</v>
      </c>
      <c r="DPQ876" s="29"/>
      <c r="DPR876" s="44">
        <v>44198</v>
      </c>
      <c r="DPS876" s="30" t="s">
        <v>22</v>
      </c>
      <c r="DPT876" s="31">
        <v>20890</v>
      </c>
      <c r="DPU876" s="30">
        <v>1472014</v>
      </c>
      <c r="DPV876" s="30">
        <f ca="1">YEAR(TODAY())-YEAR(DPT876)</f>
        <v>69</v>
      </c>
      <c r="DPW876" s="245"/>
      <c r="DPX876" s="7" t="s">
        <v>23</v>
      </c>
      <c r="DPY876" s="29"/>
      <c r="DPZ876" s="44">
        <v>44198</v>
      </c>
      <c r="DQA876" s="30" t="s">
        <v>22</v>
      </c>
      <c r="DQB876" s="31">
        <v>20890</v>
      </c>
      <c r="DQC876" s="30">
        <v>1472014</v>
      </c>
      <c r="DQD876" s="30">
        <f ca="1">YEAR(TODAY())-YEAR(DQB876)</f>
        <v>69</v>
      </c>
      <c r="DQE876" s="245"/>
      <c r="DQF876" s="7" t="s">
        <v>23</v>
      </c>
      <c r="DQG876" s="29"/>
      <c r="DQH876" s="44">
        <v>44198</v>
      </c>
      <c r="DQI876" s="30" t="s">
        <v>22</v>
      </c>
      <c r="DQJ876" s="31">
        <v>20890</v>
      </c>
      <c r="DQK876" s="30">
        <v>1472014</v>
      </c>
      <c r="DQL876" s="30">
        <f ca="1">YEAR(TODAY())-YEAR(DQJ876)</f>
        <v>69</v>
      </c>
      <c r="DQM876" s="245"/>
      <c r="DQN876" s="7" t="s">
        <v>23</v>
      </c>
      <c r="DQO876" s="29"/>
      <c r="DQP876" s="44">
        <v>44198</v>
      </c>
      <c r="DQQ876" s="30" t="s">
        <v>22</v>
      </c>
      <c r="DQR876" s="31">
        <v>20890</v>
      </c>
      <c r="DQS876" s="30">
        <v>1472014</v>
      </c>
      <c r="DQT876" s="30">
        <f ca="1">YEAR(TODAY())-YEAR(DQR876)</f>
        <v>69</v>
      </c>
      <c r="DQU876" s="245"/>
      <c r="DQV876" s="7" t="s">
        <v>23</v>
      </c>
      <c r="DQW876" s="29"/>
      <c r="DQX876" s="44">
        <v>44198</v>
      </c>
      <c r="DQY876" s="30" t="s">
        <v>22</v>
      </c>
      <c r="DQZ876" s="31">
        <v>20890</v>
      </c>
      <c r="DRA876" s="30">
        <v>1472014</v>
      </c>
      <c r="DRB876" s="30">
        <f ca="1">YEAR(TODAY())-YEAR(DQZ876)</f>
        <v>69</v>
      </c>
      <c r="DRC876" s="245"/>
      <c r="DRD876" s="7" t="s">
        <v>23</v>
      </c>
      <c r="DRE876" s="29"/>
      <c r="DRF876" s="44">
        <v>44198</v>
      </c>
      <c r="DRG876" s="30" t="s">
        <v>22</v>
      </c>
      <c r="DRH876" s="31">
        <v>20890</v>
      </c>
      <c r="DRI876" s="30">
        <v>1472014</v>
      </c>
      <c r="DRJ876" s="30">
        <f ca="1">YEAR(TODAY())-YEAR(DRH876)</f>
        <v>69</v>
      </c>
      <c r="DRK876" s="245"/>
      <c r="DRL876" s="7" t="s">
        <v>23</v>
      </c>
      <c r="DRM876" s="29"/>
      <c r="DRN876" s="44">
        <v>44198</v>
      </c>
      <c r="DRO876" s="30" t="s">
        <v>22</v>
      </c>
      <c r="DRP876" s="31">
        <v>20890</v>
      </c>
      <c r="DRQ876" s="30">
        <v>1472014</v>
      </c>
      <c r="DRR876" s="30">
        <f ca="1">YEAR(TODAY())-YEAR(DRP876)</f>
        <v>69</v>
      </c>
      <c r="DRS876" s="245"/>
      <c r="DRT876" s="7" t="s">
        <v>23</v>
      </c>
      <c r="DRU876" s="29"/>
      <c r="DRV876" s="44">
        <v>44198</v>
      </c>
      <c r="DRW876" s="30" t="s">
        <v>22</v>
      </c>
      <c r="DRX876" s="31">
        <v>20890</v>
      </c>
      <c r="DRY876" s="30">
        <v>1472014</v>
      </c>
      <c r="DRZ876" s="30">
        <f ca="1">YEAR(TODAY())-YEAR(DRX876)</f>
        <v>69</v>
      </c>
      <c r="DSA876" s="245"/>
      <c r="DSB876" s="7" t="s">
        <v>23</v>
      </c>
      <c r="DSC876" s="29"/>
      <c r="DSD876" s="44">
        <v>44198</v>
      </c>
      <c r="DSE876" s="30" t="s">
        <v>22</v>
      </c>
      <c r="DSF876" s="31">
        <v>20890</v>
      </c>
      <c r="DSG876" s="30">
        <v>1472014</v>
      </c>
      <c r="DSH876" s="30">
        <f ca="1">YEAR(TODAY())-YEAR(DSF876)</f>
        <v>69</v>
      </c>
      <c r="DSI876" s="245"/>
      <c r="DSJ876" s="7" t="s">
        <v>23</v>
      </c>
      <c r="DSK876" s="29"/>
      <c r="DSL876" s="44">
        <v>44198</v>
      </c>
      <c r="DSM876" s="30" t="s">
        <v>22</v>
      </c>
      <c r="DSN876" s="31">
        <v>20890</v>
      </c>
      <c r="DSO876" s="30">
        <v>1472014</v>
      </c>
      <c r="DSP876" s="30">
        <f ca="1">YEAR(TODAY())-YEAR(DSN876)</f>
        <v>69</v>
      </c>
      <c r="DSQ876" s="245"/>
      <c r="DSR876" s="7" t="s">
        <v>23</v>
      </c>
      <c r="DSS876" s="29"/>
      <c r="DST876" s="44">
        <v>44198</v>
      </c>
      <c r="DSU876" s="30" t="s">
        <v>22</v>
      </c>
      <c r="DSV876" s="31">
        <v>20890</v>
      </c>
      <c r="DSW876" s="30">
        <v>1472014</v>
      </c>
      <c r="DSX876" s="30">
        <f ca="1">YEAR(TODAY())-YEAR(DSV876)</f>
        <v>69</v>
      </c>
      <c r="DSY876" s="245"/>
      <c r="DSZ876" s="7" t="s">
        <v>23</v>
      </c>
      <c r="DTA876" s="29"/>
      <c r="DTB876" s="44">
        <v>44198</v>
      </c>
      <c r="DTC876" s="30" t="s">
        <v>22</v>
      </c>
      <c r="DTD876" s="31">
        <v>20890</v>
      </c>
      <c r="DTE876" s="30">
        <v>1472014</v>
      </c>
      <c r="DTF876" s="30">
        <f ca="1">YEAR(TODAY())-YEAR(DTD876)</f>
        <v>69</v>
      </c>
      <c r="DTG876" s="245"/>
      <c r="DTH876" s="7" t="s">
        <v>23</v>
      </c>
      <c r="DTI876" s="29"/>
      <c r="DTJ876" s="44">
        <v>44198</v>
      </c>
      <c r="DTK876" s="30" t="s">
        <v>22</v>
      </c>
      <c r="DTL876" s="31">
        <v>20890</v>
      </c>
      <c r="DTM876" s="30">
        <v>1472014</v>
      </c>
      <c r="DTN876" s="30">
        <f ca="1">YEAR(TODAY())-YEAR(DTL876)</f>
        <v>69</v>
      </c>
      <c r="DTO876" s="245"/>
      <c r="DTP876" s="7" t="s">
        <v>23</v>
      </c>
      <c r="DTQ876" s="29"/>
      <c r="DTR876" s="44">
        <v>44198</v>
      </c>
      <c r="DTS876" s="30" t="s">
        <v>22</v>
      </c>
      <c r="DTT876" s="31">
        <v>20890</v>
      </c>
      <c r="DTU876" s="30">
        <v>1472014</v>
      </c>
      <c r="DTV876" s="30">
        <f ca="1">YEAR(TODAY())-YEAR(DTT876)</f>
        <v>69</v>
      </c>
      <c r="DTW876" s="245"/>
      <c r="DTX876" s="7" t="s">
        <v>23</v>
      </c>
      <c r="DTY876" s="29"/>
      <c r="DTZ876" s="44">
        <v>44198</v>
      </c>
      <c r="DUA876" s="30" t="s">
        <v>22</v>
      </c>
      <c r="DUB876" s="31">
        <v>20890</v>
      </c>
      <c r="DUC876" s="30">
        <v>1472014</v>
      </c>
      <c r="DUD876" s="30">
        <f ca="1">YEAR(TODAY())-YEAR(DUB876)</f>
        <v>69</v>
      </c>
      <c r="DUE876" s="245"/>
      <c r="DUF876" s="7" t="s">
        <v>23</v>
      </c>
      <c r="DUG876" s="29"/>
      <c r="DUH876" s="44">
        <v>44198</v>
      </c>
      <c r="DUI876" s="30" t="s">
        <v>22</v>
      </c>
      <c r="DUJ876" s="31">
        <v>20890</v>
      </c>
      <c r="DUK876" s="30">
        <v>1472014</v>
      </c>
      <c r="DUL876" s="30">
        <f ca="1">YEAR(TODAY())-YEAR(DUJ876)</f>
        <v>69</v>
      </c>
      <c r="DUM876" s="245"/>
      <c r="DUN876" s="7" t="s">
        <v>23</v>
      </c>
      <c r="DUO876" s="29"/>
      <c r="DUP876" s="44">
        <v>44198</v>
      </c>
      <c r="DUQ876" s="30" t="s">
        <v>22</v>
      </c>
      <c r="DUR876" s="31">
        <v>20890</v>
      </c>
      <c r="DUS876" s="30">
        <v>1472014</v>
      </c>
      <c r="DUT876" s="30">
        <f ca="1">YEAR(TODAY())-YEAR(DUR876)</f>
        <v>69</v>
      </c>
      <c r="DUU876" s="245"/>
      <c r="DUV876" s="7" t="s">
        <v>23</v>
      </c>
      <c r="DUW876" s="29"/>
      <c r="DUX876" s="44">
        <v>44198</v>
      </c>
      <c r="DUY876" s="30" t="s">
        <v>22</v>
      </c>
      <c r="DUZ876" s="31">
        <v>20890</v>
      </c>
      <c r="DVA876" s="30">
        <v>1472014</v>
      </c>
      <c r="DVB876" s="30">
        <f ca="1">YEAR(TODAY())-YEAR(DUZ876)</f>
        <v>69</v>
      </c>
      <c r="DVC876" s="245"/>
      <c r="DVD876" s="7" t="s">
        <v>23</v>
      </c>
      <c r="DVE876" s="29"/>
      <c r="DVF876" s="44">
        <v>44198</v>
      </c>
      <c r="DVG876" s="30" t="s">
        <v>22</v>
      </c>
      <c r="DVH876" s="31">
        <v>20890</v>
      </c>
      <c r="DVI876" s="30">
        <v>1472014</v>
      </c>
      <c r="DVJ876" s="30">
        <f ca="1">YEAR(TODAY())-YEAR(DVH876)</f>
        <v>69</v>
      </c>
      <c r="DVK876" s="245"/>
      <c r="DVL876" s="7" t="s">
        <v>23</v>
      </c>
      <c r="DVM876" s="29"/>
      <c r="DVN876" s="44">
        <v>44198</v>
      </c>
      <c r="DVO876" s="30" t="s">
        <v>22</v>
      </c>
      <c r="DVP876" s="31">
        <v>20890</v>
      </c>
      <c r="DVQ876" s="30">
        <v>1472014</v>
      </c>
      <c r="DVR876" s="30">
        <f ca="1">YEAR(TODAY())-YEAR(DVP876)</f>
        <v>69</v>
      </c>
      <c r="DVS876" s="245"/>
      <c r="DVT876" s="7" t="s">
        <v>23</v>
      </c>
      <c r="DVU876" s="29"/>
      <c r="DVV876" s="44">
        <v>44198</v>
      </c>
      <c r="DVW876" s="30" t="s">
        <v>22</v>
      </c>
      <c r="DVX876" s="31">
        <v>20890</v>
      </c>
      <c r="DVY876" s="30">
        <v>1472014</v>
      </c>
      <c r="DVZ876" s="30">
        <f ca="1">YEAR(TODAY())-YEAR(DVX876)</f>
        <v>69</v>
      </c>
      <c r="DWA876" s="245"/>
      <c r="DWB876" s="7" t="s">
        <v>23</v>
      </c>
      <c r="DWC876" s="29"/>
      <c r="DWD876" s="44">
        <v>44198</v>
      </c>
      <c r="DWE876" s="30" t="s">
        <v>22</v>
      </c>
      <c r="DWF876" s="31">
        <v>20890</v>
      </c>
      <c r="DWG876" s="30">
        <v>1472014</v>
      </c>
      <c r="DWH876" s="30">
        <f ca="1">YEAR(TODAY())-YEAR(DWF876)</f>
        <v>69</v>
      </c>
      <c r="DWI876" s="245"/>
      <c r="DWJ876" s="7" t="s">
        <v>23</v>
      </c>
      <c r="DWK876" s="29"/>
      <c r="DWL876" s="44">
        <v>44198</v>
      </c>
      <c r="DWM876" s="30" t="s">
        <v>22</v>
      </c>
      <c r="DWN876" s="31">
        <v>20890</v>
      </c>
      <c r="DWO876" s="30">
        <v>1472014</v>
      </c>
      <c r="DWP876" s="30">
        <f ca="1">YEAR(TODAY())-YEAR(DWN876)</f>
        <v>69</v>
      </c>
      <c r="DWQ876" s="245"/>
      <c r="DWR876" s="7" t="s">
        <v>23</v>
      </c>
      <c r="DWS876" s="29"/>
      <c r="DWT876" s="44">
        <v>44198</v>
      </c>
      <c r="DWU876" s="30" t="s">
        <v>22</v>
      </c>
      <c r="DWV876" s="31">
        <v>20890</v>
      </c>
      <c r="DWW876" s="30">
        <v>1472014</v>
      </c>
      <c r="DWX876" s="30">
        <f ca="1">YEAR(TODAY())-YEAR(DWV876)</f>
        <v>69</v>
      </c>
      <c r="DWY876" s="245"/>
      <c r="DWZ876" s="7" t="s">
        <v>23</v>
      </c>
      <c r="DXA876" s="29"/>
      <c r="DXB876" s="44">
        <v>44198</v>
      </c>
      <c r="DXC876" s="30" t="s">
        <v>22</v>
      </c>
      <c r="DXD876" s="31">
        <v>20890</v>
      </c>
      <c r="DXE876" s="30">
        <v>1472014</v>
      </c>
      <c r="DXF876" s="30">
        <f ca="1">YEAR(TODAY())-YEAR(DXD876)</f>
        <v>69</v>
      </c>
      <c r="DXG876" s="245"/>
      <c r="DXH876" s="7" t="s">
        <v>23</v>
      </c>
      <c r="DXI876" s="29"/>
      <c r="DXJ876" s="44">
        <v>44198</v>
      </c>
      <c r="DXK876" s="30" t="s">
        <v>22</v>
      </c>
      <c r="DXL876" s="31">
        <v>20890</v>
      </c>
      <c r="DXM876" s="30">
        <v>1472014</v>
      </c>
      <c r="DXN876" s="30">
        <f ca="1">YEAR(TODAY())-YEAR(DXL876)</f>
        <v>69</v>
      </c>
      <c r="DXO876" s="245"/>
      <c r="DXP876" s="7" t="s">
        <v>23</v>
      </c>
      <c r="DXQ876" s="29"/>
      <c r="DXR876" s="44">
        <v>44198</v>
      </c>
      <c r="DXS876" s="30" t="s">
        <v>22</v>
      </c>
      <c r="DXT876" s="31">
        <v>20890</v>
      </c>
      <c r="DXU876" s="30">
        <v>1472014</v>
      </c>
      <c r="DXV876" s="30">
        <f ca="1">YEAR(TODAY())-YEAR(DXT876)</f>
        <v>69</v>
      </c>
      <c r="DXW876" s="245"/>
      <c r="DXX876" s="7" t="s">
        <v>23</v>
      </c>
      <c r="DXY876" s="29"/>
      <c r="DXZ876" s="44">
        <v>44198</v>
      </c>
      <c r="DYA876" s="30" t="s">
        <v>22</v>
      </c>
      <c r="DYB876" s="31">
        <v>20890</v>
      </c>
      <c r="DYC876" s="30">
        <v>1472014</v>
      </c>
      <c r="DYD876" s="30">
        <f ca="1">YEAR(TODAY())-YEAR(DYB876)</f>
        <v>69</v>
      </c>
      <c r="DYE876" s="245"/>
      <c r="DYF876" s="7" t="s">
        <v>23</v>
      </c>
      <c r="DYG876" s="29"/>
      <c r="DYH876" s="44">
        <v>44198</v>
      </c>
      <c r="DYI876" s="30" t="s">
        <v>22</v>
      </c>
      <c r="DYJ876" s="31">
        <v>20890</v>
      </c>
      <c r="DYK876" s="30">
        <v>1472014</v>
      </c>
      <c r="DYL876" s="30">
        <f ca="1">YEAR(TODAY())-YEAR(DYJ876)</f>
        <v>69</v>
      </c>
      <c r="DYM876" s="245"/>
      <c r="DYN876" s="7" t="s">
        <v>23</v>
      </c>
      <c r="DYO876" s="29"/>
      <c r="DYP876" s="44">
        <v>44198</v>
      </c>
      <c r="DYQ876" s="30" t="s">
        <v>22</v>
      </c>
      <c r="DYR876" s="31">
        <v>20890</v>
      </c>
      <c r="DYS876" s="30">
        <v>1472014</v>
      </c>
      <c r="DYT876" s="30">
        <f ca="1">YEAR(TODAY())-YEAR(DYR876)</f>
        <v>69</v>
      </c>
      <c r="DYU876" s="245"/>
      <c r="DYV876" s="7" t="s">
        <v>23</v>
      </c>
      <c r="DYW876" s="29"/>
      <c r="DYX876" s="44">
        <v>44198</v>
      </c>
      <c r="DYY876" s="30" t="s">
        <v>22</v>
      </c>
      <c r="DYZ876" s="31">
        <v>20890</v>
      </c>
      <c r="DZA876" s="30">
        <v>1472014</v>
      </c>
      <c r="DZB876" s="30">
        <f ca="1">YEAR(TODAY())-YEAR(DYZ876)</f>
        <v>69</v>
      </c>
      <c r="DZC876" s="245"/>
      <c r="DZD876" s="7" t="s">
        <v>23</v>
      </c>
      <c r="DZE876" s="29"/>
      <c r="DZF876" s="44">
        <v>44198</v>
      </c>
      <c r="DZG876" s="30" t="s">
        <v>22</v>
      </c>
      <c r="DZH876" s="31">
        <v>20890</v>
      </c>
      <c r="DZI876" s="30">
        <v>1472014</v>
      </c>
      <c r="DZJ876" s="30">
        <f ca="1">YEAR(TODAY())-YEAR(DZH876)</f>
        <v>69</v>
      </c>
      <c r="DZK876" s="245"/>
      <c r="DZL876" s="7" t="s">
        <v>23</v>
      </c>
      <c r="DZM876" s="29"/>
      <c r="DZN876" s="44">
        <v>44198</v>
      </c>
      <c r="DZO876" s="30" t="s">
        <v>22</v>
      </c>
      <c r="DZP876" s="31">
        <v>20890</v>
      </c>
      <c r="DZQ876" s="30">
        <v>1472014</v>
      </c>
      <c r="DZR876" s="30">
        <f ca="1">YEAR(TODAY())-YEAR(DZP876)</f>
        <v>69</v>
      </c>
      <c r="DZS876" s="245"/>
      <c r="DZT876" s="7" t="s">
        <v>23</v>
      </c>
      <c r="DZU876" s="29"/>
      <c r="DZV876" s="44">
        <v>44198</v>
      </c>
      <c r="DZW876" s="30" t="s">
        <v>22</v>
      </c>
      <c r="DZX876" s="31">
        <v>20890</v>
      </c>
      <c r="DZY876" s="30">
        <v>1472014</v>
      </c>
      <c r="DZZ876" s="30">
        <f ca="1">YEAR(TODAY())-YEAR(DZX876)</f>
        <v>69</v>
      </c>
      <c r="EAA876" s="245"/>
      <c r="EAB876" s="7" t="s">
        <v>23</v>
      </c>
      <c r="EAC876" s="29"/>
      <c r="EAD876" s="44">
        <v>44198</v>
      </c>
      <c r="EAE876" s="30" t="s">
        <v>22</v>
      </c>
      <c r="EAF876" s="31">
        <v>20890</v>
      </c>
      <c r="EAG876" s="30">
        <v>1472014</v>
      </c>
      <c r="EAH876" s="30">
        <f ca="1">YEAR(TODAY())-YEAR(EAF876)</f>
        <v>69</v>
      </c>
      <c r="EAI876" s="245"/>
      <c r="EAJ876" s="7" t="s">
        <v>23</v>
      </c>
      <c r="EAK876" s="29"/>
      <c r="EAL876" s="44">
        <v>44198</v>
      </c>
      <c r="EAM876" s="30" t="s">
        <v>22</v>
      </c>
      <c r="EAN876" s="31">
        <v>20890</v>
      </c>
      <c r="EAO876" s="30">
        <v>1472014</v>
      </c>
      <c r="EAP876" s="30">
        <f ca="1">YEAR(TODAY())-YEAR(EAN876)</f>
        <v>69</v>
      </c>
      <c r="EAQ876" s="245"/>
      <c r="EAR876" s="7" t="s">
        <v>23</v>
      </c>
      <c r="EAS876" s="29"/>
      <c r="EAT876" s="44">
        <v>44198</v>
      </c>
      <c r="EAU876" s="30" t="s">
        <v>22</v>
      </c>
      <c r="EAV876" s="31">
        <v>20890</v>
      </c>
      <c r="EAW876" s="30">
        <v>1472014</v>
      </c>
      <c r="EAX876" s="30">
        <f ca="1">YEAR(TODAY())-YEAR(EAV876)</f>
        <v>69</v>
      </c>
      <c r="EAY876" s="245"/>
      <c r="EAZ876" s="7" t="s">
        <v>23</v>
      </c>
      <c r="EBA876" s="29"/>
      <c r="EBB876" s="44">
        <v>44198</v>
      </c>
      <c r="EBC876" s="30" t="s">
        <v>22</v>
      </c>
      <c r="EBD876" s="31">
        <v>20890</v>
      </c>
      <c r="EBE876" s="30">
        <v>1472014</v>
      </c>
      <c r="EBF876" s="30">
        <f ca="1">YEAR(TODAY())-YEAR(EBD876)</f>
        <v>69</v>
      </c>
      <c r="EBG876" s="245"/>
      <c r="EBH876" s="7" t="s">
        <v>23</v>
      </c>
      <c r="EBI876" s="29"/>
      <c r="EBJ876" s="44">
        <v>44198</v>
      </c>
      <c r="EBK876" s="30" t="s">
        <v>22</v>
      </c>
      <c r="EBL876" s="31">
        <v>20890</v>
      </c>
      <c r="EBM876" s="30">
        <v>1472014</v>
      </c>
      <c r="EBN876" s="30">
        <f ca="1">YEAR(TODAY())-YEAR(EBL876)</f>
        <v>69</v>
      </c>
      <c r="EBO876" s="245"/>
      <c r="EBP876" s="7" t="s">
        <v>23</v>
      </c>
      <c r="EBQ876" s="29"/>
      <c r="EBR876" s="44">
        <v>44198</v>
      </c>
      <c r="EBS876" s="30" t="s">
        <v>22</v>
      </c>
      <c r="EBT876" s="31">
        <v>20890</v>
      </c>
      <c r="EBU876" s="30">
        <v>1472014</v>
      </c>
      <c r="EBV876" s="30">
        <f ca="1">YEAR(TODAY())-YEAR(EBT876)</f>
        <v>69</v>
      </c>
      <c r="EBW876" s="245"/>
      <c r="EBX876" s="7" t="s">
        <v>23</v>
      </c>
      <c r="EBY876" s="29"/>
      <c r="EBZ876" s="44">
        <v>44198</v>
      </c>
      <c r="ECA876" s="30" t="s">
        <v>22</v>
      </c>
      <c r="ECB876" s="31">
        <v>20890</v>
      </c>
      <c r="ECC876" s="30">
        <v>1472014</v>
      </c>
      <c r="ECD876" s="30">
        <f ca="1">YEAR(TODAY())-YEAR(ECB876)</f>
        <v>69</v>
      </c>
      <c r="ECE876" s="245"/>
      <c r="ECF876" s="7" t="s">
        <v>23</v>
      </c>
      <c r="ECG876" s="29"/>
      <c r="ECH876" s="44">
        <v>44198</v>
      </c>
      <c r="ECI876" s="30" t="s">
        <v>22</v>
      </c>
      <c r="ECJ876" s="31">
        <v>20890</v>
      </c>
      <c r="ECK876" s="30">
        <v>1472014</v>
      </c>
      <c r="ECL876" s="30">
        <f ca="1">YEAR(TODAY())-YEAR(ECJ876)</f>
        <v>69</v>
      </c>
      <c r="ECM876" s="245"/>
      <c r="ECN876" s="7" t="s">
        <v>23</v>
      </c>
      <c r="ECO876" s="29"/>
      <c r="ECP876" s="44">
        <v>44198</v>
      </c>
      <c r="ECQ876" s="30" t="s">
        <v>22</v>
      </c>
      <c r="ECR876" s="31">
        <v>20890</v>
      </c>
      <c r="ECS876" s="30">
        <v>1472014</v>
      </c>
      <c r="ECT876" s="30">
        <f ca="1">YEAR(TODAY())-YEAR(ECR876)</f>
        <v>69</v>
      </c>
      <c r="ECU876" s="245"/>
      <c r="ECV876" s="7" t="s">
        <v>23</v>
      </c>
      <c r="ECW876" s="29"/>
      <c r="ECX876" s="44">
        <v>44198</v>
      </c>
      <c r="ECY876" s="30" t="s">
        <v>22</v>
      </c>
      <c r="ECZ876" s="31">
        <v>20890</v>
      </c>
      <c r="EDA876" s="30">
        <v>1472014</v>
      </c>
      <c r="EDB876" s="30">
        <f ca="1">YEAR(TODAY())-YEAR(ECZ876)</f>
        <v>69</v>
      </c>
      <c r="EDC876" s="245"/>
      <c r="EDD876" s="7" t="s">
        <v>23</v>
      </c>
      <c r="EDE876" s="29"/>
      <c r="EDF876" s="44">
        <v>44198</v>
      </c>
      <c r="EDG876" s="30" t="s">
        <v>22</v>
      </c>
      <c r="EDH876" s="31">
        <v>20890</v>
      </c>
      <c r="EDI876" s="30">
        <v>1472014</v>
      </c>
      <c r="EDJ876" s="30">
        <f ca="1">YEAR(TODAY())-YEAR(EDH876)</f>
        <v>69</v>
      </c>
      <c r="EDK876" s="245"/>
      <c r="EDL876" s="7" t="s">
        <v>23</v>
      </c>
      <c r="EDM876" s="29"/>
      <c r="EDN876" s="44">
        <v>44198</v>
      </c>
      <c r="EDO876" s="30" t="s">
        <v>22</v>
      </c>
      <c r="EDP876" s="31">
        <v>20890</v>
      </c>
      <c r="EDQ876" s="30">
        <v>1472014</v>
      </c>
      <c r="EDR876" s="30">
        <f ca="1">YEAR(TODAY())-YEAR(EDP876)</f>
        <v>69</v>
      </c>
      <c r="EDS876" s="245"/>
      <c r="EDT876" s="7" t="s">
        <v>23</v>
      </c>
      <c r="EDU876" s="29"/>
      <c r="EDV876" s="44">
        <v>44198</v>
      </c>
      <c r="EDW876" s="30" t="s">
        <v>22</v>
      </c>
      <c r="EDX876" s="31">
        <v>20890</v>
      </c>
      <c r="EDY876" s="30">
        <v>1472014</v>
      </c>
      <c r="EDZ876" s="30">
        <f ca="1">YEAR(TODAY())-YEAR(EDX876)</f>
        <v>69</v>
      </c>
      <c r="EEA876" s="245"/>
      <c r="EEB876" s="7" t="s">
        <v>23</v>
      </c>
      <c r="EEC876" s="29"/>
      <c r="EED876" s="44">
        <v>44198</v>
      </c>
      <c r="EEE876" s="30" t="s">
        <v>22</v>
      </c>
      <c r="EEF876" s="31">
        <v>20890</v>
      </c>
      <c r="EEG876" s="30">
        <v>1472014</v>
      </c>
      <c r="EEH876" s="30">
        <f ca="1">YEAR(TODAY())-YEAR(EEF876)</f>
        <v>69</v>
      </c>
      <c r="EEI876" s="245"/>
      <c r="EEJ876" s="7" t="s">
        <v>23</v>
      </c>
      <c r="EEK876" s="29"/>
      <c r="EEL876" s="44">
        <v>44198</v>
      </c>
      <c r="EEM876" s="30" t="s">
        <v>22</v>
      </c>
      <c r="EEN876" s="31">
        <v>20890</v>
      </c>
      <c r="EEO876" s="30">
        <v>1472014</v>
      </c>
      <c r="EEP876" s="30">
        <f ca="1">YEAR(TODAY())-YEAR(EEN876)</f>
        <v>69</v>
      </c>
      <c r="EEQ876" s="245"/>
      <c r="EER876" s="7" t="s">
        <v>23</v>
      </c>
      <c r="EES876" s="29"/>
      <c r="EET876" s="44">
        <v>44198</v>
      </c>
      <c r="EEU876" s="30" t="s">
        <v>22</v>
      </c>
      <c r="EEV876" s="31">
        <v>20890</v>
      </c>
      <c r="EEW876" s="30">
        <v>1472014</v>
      </c>
      <c r="EEX876" s="30">
        <f ca="1">YEAR(TODAY())-YEAR(EEV876)</f>
        <v>69</v>
      </c>
      <c r="EEY876" s="245"/>
      <c r="EEZ876" s="7" t="s">
        <v>23</v>
      </c>
      <c r="EFA876" s="29"/>
      <c r="EFB876" s="44">
        <v>44198</v>
      </c>
      <c r="EFC876" s="30" t="s">
        <v>22</v>
      </c>
      <c r="EFD876" s="31">
        <v>20890</v>
      </c>
      <c r="EFE876" s="30">
        <v>1472014</v>
      </c>
      <c r="EFF876" s="30">
        <f ca="1">YEAR(TODAY())-YEAR(EFD876)</f>
        <v>69</v>
      </c>
      <c r="EFG876" s="245"/>
      <c r="EFH876" s="7" t="s">
        <v>23</v>
      </c>
      <c r="EFI876" s="29"/>
      <c r="EFJ876" s="44">
        <v>44198</v>
      </c>
      <c r="EFK876" s="30" t="s">
        <v>22</v>
      </c>
      <c r="EFL876" s="31">
        <v>20890</v>
      </c>
      <c r="EFM876" s="30">
        <v>1472014</v>
      </c>
      <c r="EFN876" s="30">
        <f ca="1">YEAR(TODAY())-YEAR(EFL876)</f>
        <v>69</v>
      </c>
      <c r="EFO876" s="245"/>
      <c r="EFP876" s="7" t="s">
        <v>23</v>
      </c>
      <c r="EFQ876" s="29"/>
      <c r="EFR876" s="44">
        <v>44198</v>
      </c>
      <c r="EFS876" s="30" t="s">
        <v>22</v>
      </c>
      <c r="EFT876" s="31">
        <v>20890</v>
      </c>
      <c r="EFU876" s="30">
        <v>1472014</v>
      </c>
      <c r="EFV876" s="30">
        <f ca="1">YEAR(TODAY())-YEAR(EFT876)</f>
        <v>69</v>
      </c>
      <c r="EFW876" s="245"/>
      <c r="EFX876" s="7" t="s">
        <v>23</v>
      </c>
      <c r="EFY876" s="29"/>
      <c r="EFZ876" s="44">
        <v>44198</v>
      </c>
      <c r="EGA876" s="30" t="s">
        <v>22</v>
      </c>
      <c r="EGB876" s="31">
        <v>20890</v>
      </c>
      <c r="EGC876" s="30">
        <v>1472014</v>
      </c>
      <c r="EGD876" s="30">
        <f ca="1">YEAR(TODAY())-YEAR(EGB876)</f>
        <v>69</v>
      </c>
      <c r="EGE876" s="245"/>
      <c r="EGF876" s="7" t="s">
        <v>23</v>
      </c>
      <c r="EGG876" s="29"/>
      <c r="EGH876" s="44">
        <v>44198</v>
      </c>
      <c r="EGI876" s="30" t="s">
        <v>22</v>
      </c>
      <c r="EGJ876" s="31">
        <v>20890</v>
      </c>
      <c r="EGK876" s="30">
        <v>1472014</v>
      </c>
      <c r="EGL876" s="30">
        <f ca="1">YEAR(TODAY())-YEAR(EGJ876)</f>
        <v>69</v>
      </c>
      <c r="EGM876" s="245"/>
      <c r="EGN876" s="7" t="s">
        <v>23</v>
      </c>
      <c r="EGO876" s="29"/>
      <c r="EGP876" s="44">
        <v>44198</v>
      </c>
      <c r="EGQ876" s="30" t="s">
        <v>22</v>
      </c>
      <c r="EGR876" s="31">
        <v>20890</v>
      </c>
      <c r="EGS876" s="30">
        <v>1472014</v>
      </c>
      <c r="EGT876" s="30">
        <f ca="1">YEAR(TODAY())-YEAR(EGR876)</f>
        <v>69</v>
      </c>
      <c r="EGU876" s="245"/>
      <c r="EGV876" s="7" t="s">
        <v>23</v>
      </c>
      <c r="EGW876" s="29"/>
      <c r="EGX876" s="44">
        <v>44198</v>
      </c>
      <c r="EGY876" s="30" t="s">
        <v>22</v>
      </c>
      <c r="EGZ876" s="31">
        <v>20890</v>
      </c>
      <c r="EHA876" s="30">
        <v>1472014</v>
      </c>
      <c r="EHB876" s="30">
        <f ca="1">YEAR(TODAY())-YEAR(EGZ876)</f>
        <v>69</v>
      </c>
      <c r="EHC876" s="245"/>
      <c r="EHD876" s="7" t="s">
        <v>23</v>
      </c>
      <c r="EHE876" s="29"/>
      <c r="EHF876" s="44">
        <v>44198</v>
      </c>
      <c r="EHG876" s="30" t="s">
        <v>22</v>
      </c>
      <c r="EHH876" s="31">
        <v>20890</v>
      </c>
      <c r="EHI876" s="30">
        <v>1472014</v>
      </c>
      <c r="EHJ876" s="30">
        <f ca="1">YEAR(TODAY())-YEAR(EHH876)</f>
        <v>69</v>
      </c>
      <c r="EHK876" s="245"/>
      <c r="EHL876" s="7" t="s">
        <v>23</v>
      </c>
      <c r="EHM876" s="29"/>
      <c r="EHN876" s="44">
        <v>44198</v>
      </c>
      <c r="EHO876" s="30" t="s">
        <v>22</v>
      </c>
      <c r="EHP876" s="31">
        <v>20890</v>
      </c>
      <c r="EHQ876" s="30">
        <v>1472014</v>
      </c>
      <c r="EHR876" s="30">
        <f ca="1">YEAR(TODAY())-YEAR(EHP876)</f>
        <v>69</v>
      </c>
      <c r="EHS876" s="245"/>
      <c r="EHT876" s="7" t="s">
        <v>23</v>
      </c>
      <c r="EHU876" s="29"/>
      <c r="EHV876" s="44">
        <v>44198</v>
      </c>
      <c r="EHW876" s="30" t="s">
        <v>22</v>
      </c>
      <c r="EHX876" s="31">
        <v>20890</v>
      </c>
      <c r="EHY876" s="30">
        <v>1472014</v>
      </c>
      <c r="EHZ876" s="30">
        <f ca="1">YEAR(TODAY())-YEAR(EHX876)</f>
        <v>69</v>
      </c>
      <c r="EIA876" s="245"/>
      <c r="EIB876" s="7" t="s">
        <v>23</v>
      </c>
      <c r="EIC876" s="29"/>
      <c r="EID876" s="44">
        <v>44198</v>
      </c>
      <c r="EIE876" s="30" t="s">
        <v>22</v>
      </c>
      <c r="EIF876" s="31">
        <v>20890</v>
      </c>
      <c r="EIG876" s="30">
        <v>1472014</v>
      </c>
      <c r="EIH876" s="30">
        <f ca="1">YEAR(TODAY())-YEAR(EIF876)</f>
        <v>69</v>
      </c>
      <c r="EII876" s="245"/>
      <c r="EIJ876" s="7" t="s">
        <v>23</v>
      </c>
      <c r="EIK876" s="29"/>
      <c r="EIL876" s="44">
        <v>44198</v>
      </c>
      <c r="EIM876" s="30" t="s">
        <v>22</v>
      </c>
      <c r="EIN876" s="31">
        <v>20890</v>
      </c>
      <c r="EIO876" s="30">
        <v>1472014</v>
      </c>
      <c r="EIP876" s="30">
        <f ca="1">YEAR(TODAY())-YEAR(EIN876)</f>
        <v>69</v>
      </c>
      <c r="EIQ876" s="245"/>
      <c r="EIR876" s="7" t="s">
        <v>23</v>
      </c>
      <c r="EIS876" s="29"/>
      <c r="EIT876" s="44">
        <v>44198</v>
      </c>
      <c r="EIU876" s="30" t="s">
        <v>22</v>
      </c>
      <c r="EIV876" s="31">
        <v>20890</v>
      </c>
      <c r="EIW876" s="30">
        <v>1472014</v>
      </c>
      <c r="EIX876" s="30">
        <f ca="1">YEAR(TODAY())-YEAR(EIV876)</f>
        <v>69</v>
      </c>
      <c r="EIY876" s="245"/>
      <c r="EIZ876" s="7" t="s">
        <v>23</v>
      </c>
      <c r="EJA876" s="29"/>
      <c r="EJB876" s="44">
        <v>44198</v>
      </c>
      <c r="EJC876" s="30" t="s">
        <v>22</v>
      </c>
      <c r="EJD876" s="31">
        <v>20890</v>
      </c>
      <c r="EJE876" s="30">
        <v>1472014</v>
      </c>
      <c r="EJF876" s="30">
        <f ca="1">YEAR(TODAY())-YEAR(EJD876)</f>
        <v>69</v>
      </c>
      <c r="EJG876" s="245"/>
      <c r="EJH876" s="7" t="s">
        <v>23</v>
      </c>
      <c r="EJI876" s="29"/>
      <c r="EJJ876" s="44">
        <v>44198</v>
      </c>
      <c r="EJK876" s="30" t="s">
        <v>22</v>
      </c>
      <c r="EJL876" s="31">
        <v>20890</v>
      </c>
      <c r="EJM876" s="30">
        <v>1472014</v>
      </c>
      <c r="EJN876" s="30">
        <f ca="1">YEAR(TODAY())-YEAR(EJL876)</f>
        <v>69</v>
      </c>
      <c r="EJO876" s="245"/>
      <c r="EJP876" s="7" t="s">
        <v>23</v>
      </c>
      <c r="EJQ876" s="29"/>
      <c r="EJR876" s="44">
        <v>44198</v>
      </c>
      <c r="EJS876" s="30" t="s">
        <v>22</v>
      </c>
      <c r="EJT876" s="31">
        <v>20890</v>
      </c>
      <c r="EJU876" s="30">
        <v>1472014</v>
      </c>
      <c r="EJV876" s="30">
        <f ca="1">YEAR(TODAY())-YEAR(EJT876)</f>
        <v>69</v>
      </c>
      <c r="EJW876" s="245"/>
      <c r="EJX876" s="7" t="s">
        <v>23</v>
      </c>
      <c r="EJY876" s="29"/>
      <c r="EJZ876" s="44">
        <v>44198</v>
      </c>
      <c r="EKA876" s="30" t="s">
        <v>22</v>
      </c>
      <c r="EKB876" s="31">
        <v>20890</v>
      </c>
      <c r="EKC876" s="30">
        <v>1472014</v>
      </c>
      <c r="EKD876" s="30">
        <f ca="1">YEAR(TODAY())-YEAR(EKB876)</f>
        <v>69</v>
      </c>
      <c r="EKE876" s="245"/>
      <c r="EKF876" s="7" t="s">
        <v>23</v>
      </c>
      <c r="EKG876" s="29"/>
      <c r="EKH876" s="44">
        <v>44198</v>
      </c>
      <c r="EKI876" s="30" t="s">
        <v>22</v>
      </c>
      <c r="EKJ876" s="31">
        <v>20890</v>
      </c>
      <c r="EKK876" s="30">
        <v>1472014</v>
      </c>
      <c r="EKL876" s="30">
        <f ca="1">YEAR(TODAY())-YEAR(EKJ876)</f>
        <v>69</v>
      </c>
      <c r="EKM876" s="245"/>
      <c r="EKN876" s="7" t="s">
        <v>23</v>
      </c>
      <c r="EKO876" s="29"/>
      <c r="EKP876" s="44">
        <v>44198</v>
      </c>
      <c r="EKQ876" s="30" t="s">
        <v>22</v>
      </c>
      <c r="EKR876" s="31">
        <v>20890</v>
      </c>
      <c r="EKS876" s="30">
        <v>1472014</v>
      </c>
      <c r="EKT876" s="30">
        <f ca="1">YEAR(TODAY())-YEAR(EKR876)</f>
        <v>69</v>
      </c>
      <c r="EKU876" s="245"/>
      <c r="EKV876" s="7" t="s">
        <v>23</v>
      </c>
      <c r="EKW876" s="29"/>
      <c r="EKX876" s="44">
        <v>44198</v>
      </c>
      <c r="EKY876" s="30" t="s">
        <v>22</v>
      </c>
      <c r="EKZ876" s="31">
        <v>20890</v>
      </c>
      <c r="ELA876" s="30">
        <v>1472014</v>
      </c>
      <c r="ELB876" s="30">
        <f ca="1">YEAR(TODAY())-YEAR(EKZ876)</f>
        <v>69</v>
      </c>
      <c r="ELC876" s="245"/>
      <c r="ELD876" s="7" t="s">
        <v>23</v>
      </c>
      <c r="ELE876" s="29"/>
      <c r="ELF876" s="44">
        <v>44198</v>
      </c>
      <c r="ELG876" s="30" t="s">
        <v>22</v>
      </c>
      <c r="ELH876" s="31">
        <v>20890</v>
      </c>
      <c r="ELI876" s="30">
        <v>1472014</v>
      </c>
      <c r="ELJ876" s="30">
        <f ca="1">YEAR(TODAY())-YEAR(ELH876)</f>
        <v>69</v>
      </c>
      <c r="ELK876" s="245"/>
      <c r="ELL876" s="7" t="s">
        <v>23</v>
      </c>
      <c r="ELM876" s="29"/>
      <c r="ELN876" s="44">
        <v>44198</v>
      </c>
      <c r="ELO876" s="30" t="s">
        <v>22</v>
      </c>
      <c r="ELP876" s="31">
        <v>20890</v>
      </c>
      <c r="ELQ876" s="30">
        <v>1472014</v>
      </c>
      <c r="ELR876" s="30">
        <f ca="1">YEAR(TODAY())-YEAR(ELP876)</f>
        <v>69</v>
      </c>
      <c r="ELS876" s="245"/>
      <c r="ELT876" s="7" t="s">
        <v>23</v>
      </c>
      <c r="ELU876" s="29"/>
      <c r="ELV876" s="44">
        <v>44198</v>
      </c>
      <c r="ELW876" s="30" t="s">
        <v>22</v>
      </c>
      <c r="ELX876" s="31">
        <v>20890</v>
      </c>
      <c r="ELY876" s="30">
        <v>1472014</v>
      </c>
      <c r="ELZ876" s="30">
        <f ca="1">YEAR(TODAY())-YEAR(ELX876)</f>
        <v>69</v>
      </c>
      <c r="EMA876" s="245"/>
      <c r="EMB876" s="7" t="s">
        <v>23</v>
      </c>
      <c r="EMC876" s="29"/>
      <c r="EMD876" s="44">
        <v>44198</v>
      </c>
      <c r="EME876" s="30" t="s">
        <v>22</v>
      </c>
      <c r="EMF876" s="31">
        <v>20890</v>
      </c>
      <c r="EMG876" s="30">
        <v>1472014</v>
      </c>
      <c r="EMH876" s="30">
        <f ca="1">YEAR(TODAY())-YEAR(EMF876)</f>
        <v>69</v>
      </c>
      <c r="EMI876" s="245"/>
      <c r="EMJ876" s="7" t="s">
        <v>23</v>
      </c>
      <c r="EMK876" s="29"/>
      <c r="EML876" s="44">
        <v>44198</v>
      </c>
      <c r="EMM876" s="30" t="s">
        <v>22</v>
      </c>
      <c r="EMN876" s="31">
        <v>20890</v>
      </c>
      <c r="EMO876" s="30">
        <v>1472014</v>
      </c>
      <c r="EMP876" s="30">
        <f ca="1">YEAR(TODAY())-YEAR(EMN876)</f>
        <v>69</v>
      </c>
      <c r="EMQ876" s="245"/>
      <c r="EMR876" s="7" t="s">
        <v>23</v>
      </c>
      <c r="EMS876" s="29"/>
      <c r="EMT876" s="44">
        <v>44198</v>
      </c>
      <c r="EMU876" s="30" t="s">
        <v>22</v>
      </c>
      <c r="EMV876" s="31">
        <v>20890</v>
      </c>
      <c r="EMW876" s="30">
        <v>1472014</v>
      </c>
      <c r="EMX876" s="30">
        <f ca="1">YEAR(TODAY())-YEAR(EMV876)</f>
        <v>69</v>
      </c>
      <c r="EMY876" s="245"/>
      <c r="EMZ876" s="7" t="s">
        <v>23</v>
      </c>
      <c r="ENA876" s="29"/>
      <c r="ENB876" s="44">
        <v>44198</v>
      </c>
      <c r="ENC876" s="30" t="s">
        <v>22</v>
      </c>
      <c r="END876" s="31">
        <v>20890</v>
      </c>
      <c r="ENE876" s="30">
        <v>1472014</v>
      </c>
      <c r="ENF876" s="30">
        <f ca="1">YEAR(TODAY())-YEAR(END876)</f>
        <v>69</v>
      </c>
      <c r="ENG876" s="245"/>
      <c r="ENH876" s="7" t="s">
        <v>23</v>
      </c>
      <c r="ENI876" s="29"/>
      <c r="ENJ876" s="44">
        <v>44198</v>
      </c>
      <c r="ENK876" s="30" t="s">
        <v>22</v>
      </c>
      <c r="ENL876" s="31">
        <v>20890</v>
      </c>
      <c r="ENM876" s="30">
        <v>1472014</v>
      </c>
      <c r="ENN876" s="30">
        <f ca="1">YEAR(TODAY())-YEAR(ENL876)</f>
        <v>69</v>
      </c>
      <c r="ENO876" s="245"/>
      <c r="ENP876" s="7" t="s">
        <v>23</v>
      </c>
      <c r="ENQ876" s="29"/>
      <c r="ENR876" s="44">
        <v>44198</v>
      </c>
      <c r="ENS876" s="30" t="s">
        <v>22</v>
      </c>
      <c r="ENT876" s="31">
        <v>20890</v>
      </c>
      <c r="ENU876" s="30">
        <v>1472014</v>
      </c>
      <c r="ENV876" s="30">
        <f ca="1">YEAR(TODAY())-YEAR(ENT876)</f>
        <v>69</v>
      </c>
      <c r="ENW876" s="245"/>
      <c r="ENX876" s="7" t="s">
        <v>23</v>
      </c>
      <c r="ENY876" s="29"/>
      <c r="ENZ876" s="44">
        <v>44198</v>
      </c>
      <c r="EOA876" s="30" t="s">
        <v>22</v>
      </c>
      <c r="EOB876" s="31">
        <v>20890</v>
      </c>
      <c r="EOC876" s="30">
        <v>1472014</v>
      </c>
      <c r="EOD876" s="30">
        <f ca="1">YEAR(TODAY())-YEAR(EOB876)</f>
        <v>69</v>
      </c>
      <c r="EOE876" s="245"/>
      <c r="EOF876" s="7" t="s">
        <v>23</v>
      </c>
      <c r="EOG876" s="29"/>
      <c r="EOH876" s="44">
        <v>44198</v>
      </c>
      <c r="EOI876" s="30" t="s">
        <v>22</v>
      </c>
      <c r="EOJ876" s="31">
        <v>20890</v>
      </c>
      <c r="EOK876" s="30">
        <v>1472014</v>
      </c>
      <c r="EOL876" s="30">
        <f ca="1">YEAR(TODAY())-YEAR(EOJ876)</f>
        <v>69</v>
      </c>
      <c r="EOM876" s="245"/>
      <c r="EON876" s="7" t="s">
        <v>23</v>
      </c>
      <c r="EOO876" s="29"/>
      <c r="EOP876" s="44">
        <v>44198</v>
      </c>
      <c r="EOQ876" s="30" t="s">
        <v>22</v>
      </c>
      <c r="EOR876" s="31">
        <v>20890</v>
      </c>
      <c r="EOS876" s="30">
        <v>1472014</v>
      </c>
      <c r="EOT876" s="30">
        <f ca="1">YEAR(TODAY())-YEAR(EOR876)</f>
        <v>69</v>
      </c>
      <c r="EOU876" s="245"/>
      <c r="EOV876" s="7" t="s">
        <v>23</v>
      </c>
      <c r="EOW876" s="29"/>
      <c r="EOX876" s="44">
        <v>44198</v>
      </c>
      <c r="EOY876" s="30" t="s">
        <v>22</v>
      </c>
      <c r="EOZ876" s="31">
        <v>20890</v>
      </c>
      <c r="EPA876" s="30">
        <v>1472014</v>
      </c>
      <c r="EPB876" s="30">
        <f ca="1">YEAR(TODAY())-YEAR(EOZ876)</f>
        <v>69</v>
      </c>
      <c r="EPC876" s="245"/>
      <c r="EPD876" s="7" t="s">
        <v>23</v>
      </c>
      <c r="EPE876" s="29"/>
      <c r="EPF876" s="44">
        <v>44198</v>
      </c>
      <c r="EPG876" s="30" t="s">
        <v>22</v>
      </c>
      <c r="EPH876" s="31">
        <v>20890</v>
      </c>
      <c r="EPI876" s="30">
        <v>1472014</v>
      </c>
      <c r="EPJ876" s="30">
        <f ca="1">YEAR(TODAY())-YEAR(EPH876)</f>
        <v>69</v>
      </c>
      <c r="EPK876" s="245"/>
      <c r="EPL876" s="7" t="s">
        <v>23</v>
      </c>
      <c r="EPM876" s="29"/>
      <c r="EPN876" s="44">
        <v>44198</v>
      </c>
      <c r="EPO876" s="30" t="s">
        <v>22</v>
      </c>
      <c r="EPP876" s="31">
        <v>20890</v>
      </c>
      <c r="EPQ876" s="30">
        <v>1472014</v>
      </c>
      <c r="EPR876" s="30">
        <f ca="1">YEAR(TODAY())-YEAR(EPP876)</f>
        <v>69</v>
      </c>
      <c r="EPS876" s="245"/>
      <c r="EPT876" s="7" t="s">
        <v>23</v>
      </c>
      <c r="EPU876" s="29"/>
      <c r="EPV876" s="44">
        <v>44198</v>
      </c>
      <c r="EPW876" s="30" t="s">
        <v>22</v>
      </c>
      <c r="EPX876" s="31">
        <v>20890</v>
      </c>
      <c r="EPY876" s="30">
        <v>1472014</v>
      </c>
      <c r="EPZ876" s="30">
        <f ca="1">YEAR(TODAY())-YEAR(EPX876)</f>
        <v>69</v>
      </c>
      <c r="EQA876" s="245"/>
      <c r="EQB876" s="7" t="s">
        <v>23</v>
      </c>
      <c r="EQC876" s="29"/>
      <c r="EQD876" s="44">
        <v>44198</v>
      </c>
      <c r="EQE876" s="30" t="s">
        <v>22</v>
      </c>
      <c r="EQF876" s="31">
        <v>20890</v>
      </c>
      <c r="EQG876" s="30">
        <v>1472014</v>
      </c>
      <c r="EQH876" s="30">
        <f ca="1">YEAR(TODAY())-YEAR(EQF876)</f>
        <v>69</v>
      </c>
      <c r="EQI876" s="245"/>
      <c r="EQJ876" s="7" t="s">
        <v>23</v>
      </c>
      <c r="EQK876" s="29"/>
      <c r="EQL876" s="44">
        <v>44198</v>
      </c>
      <c r="EQM876" s="30" t="s">
        <v>22</v>
      </c>
      <c r="EQN876" s="31">
        <v>20890</v>
      </c>
      <c r="EQO876" s="30">
        <v>1472014</v>
      </c>
      <c r="EQP876" s="30">
        <f ca="1">YEAR(TODAY())-YEAR(EQN876)</f>
        <v>69</v>
      </c>
      <c r="EQQ876" s="245"/>
      <c r="EQR876" s="7" t="s">
        <v>23</v>
      </c>
      <c r="EQS876" s="29"/>
      <c r="EQT876" s="44">
        <v>44198</v>
      </c>
      <c r="EQU876" s="30" t="s">
        <v>22</v>
      </c>
      <c r="EQV876" s="31">
        <v>20890</v>
      </c>
      <c r="EQW876" s="30">
        <v>1472014</v>
      </c>
      <c r="EQX876" s="30">
        <f ca="1">YEAR(TODAY())-YEAR(EQV876)</f>
        <v>69</v>
      </c>
      <c r="EQY876" s="245"/>
      <c r="EQZ876" s="7" t="s">
        <v>23</v>
      </c>
      <c r="ERA876" s="29"/>
      <c r="ERB876" s="44">
        <v>44198</v>
      </c>
      <c r="ERC876" s="30" t="s">
        <v>22</v>
      </c>
      <c r="ERD876" s="31">
        <v>20890</v>
      </c>
      <c r="ERE876" s="30">
        <v>1472014</v>
      </c>
      <c r="ERF876" s="30">
        <f ca="1">YEAR(TODAY())-YEAR(ERD876)</f>
        <v>69</v>
      </c>
      <c r="ERG876" s="245"/>
      <c r="ERH876" s="7" t="s">
        <v>23</v>
      </c>
      <c r="ERI876" s="29"/>
      <c r="ERJ876" s="44">
        <v>44198</v>
      </c>
      <c r="ERK876" s="30" t="s">
        <v>22</v>
      </c>
      <c r="ERL876" s="31">
        <v>20890</v>
      </c>
      <c r="ERM876" s="30">
        <v>1472014</v>
      </c>
      <c r="ERN876" s="30">
        <f ca="1">YEAR(TODAY())-YEAR(ERL876)</f>
        <v>69</v>
      </c>
      <c r="ERO876" s="245"/>
      <c r="ERP876" s="7" t="s">
        <v>23</v>
      </c>
      <c r="ERQ876" s="29"/>
      <c r="ERR876" s="44">
        <v>44198</v>
      </c>
      <c r="ERS876" s="30" t="s">
        <v>22</v>
      </c>
      <c r="ERT876" s="31">
        <v>20890</v>
      </c>
      <c r="ERU876" s="30">
        <v>1472014</v>
      </c>
      <c r="ERV876" s="30">
        <f ca="1">YEAR(TODAY())-YEAR(ERT876)</f>
        <v>69</v>
      </c>
      <c r="ERW876" s="245"/>
      <c r="ERX876" s="7" t="s">
        <v>23</v>
      </c>
      <c r="ERY876" s="29"/>
      <c r="ERZ876" s="44">
        <v>44198</v>
      </c>
      <c r="ESA876" s="30" t="s">
        <v>22</v>
      </c>
      <c r="ESB876" s="31">
        <v>20890</v>
      </c>
      <c r="ESC876" s="30">
        <v>1472014</v>
      </c>
      <c r="ESD876" s="30">
        <f ca="1">YEAR(TODAY())-YEAR(ESB876)</f>
        <v>69</v>
      </c>
      <c r="ESE876" s="245"/>
      <c r="ESF876" s="7" t="s">
        <v>23</v>
      </c>
      <c r="ESG876" s="29"/>
      <c r="ESH876" s="44">
        <v>44198</v>
      </c>
      <c r="ESI876" s="30" t="s">
        <v>22</v>
      </c>
      <c r="ESJ876" s="31">
        <v>20890</v>
      </c>
      <c r="ESK876" s="30">
        <v>1472014</v>
      </c>
      <c r="ESL876" s="30">
        <f ca="1">YEAR(TODAY())-YEAR(ESJ876)</f>
        <v>69</v>
      </c>
      <c r="ESM876" s="245"/>
      <c r="ESN876" s="7" t="s">
        <v>23</v>
      </c>
      <c r="ESO876" s="29"/>
      <c r="ESP876" s="44">
        <v>44198</v>
      </c>
      <c r="ESQ876" s="30" t="s">
        <v>22</v>
      </c>
      <c r="ESR876" s="31">
        <v>20890</v>
      </c>
      <c r="ESS876" s="30">
        <v>1472014</v>
      </c>
      <c r="EST876" s="30">
        <f ca="1">YEAR(TODAY())-YEAR(ESR876)</f>
        <v>69</v>
      </c>
      <c r="ESU876" s="245"/>
      <c r="ESV876" s="7" t="s">
        <v>23</v>
      </c>
      <c r="ESW876" s="29"/>
      <c r="ESX876" s="44">
        <v>44198</v>
      </c>
      <c r="ESY876" s="30" t="s">
        <v>22</v>
      </c>
      <c r="ESZ876" s="31">
        <v>20890</v>
      </c>
      <c r="ETA876" s="30">
        <v>1472014</v>
      </c>
      <c r="ETB876" s="30">
        <f ca="1">YEAR(TODAY())-YEAR(ESZ876)</f>
        <v>69</v>
      </c>
      <c r="ETC876" s="245"/>
      <c r="ETD876" s="7" t="s">
        <v>23</v>
      </c>
      <c r="ETE876" s="29"/>
      <c r="ETF876" s="44">
        <v>44198</v>
      </c>
      <c r="ETG876" s="30" t="s">
        <v>22</v>
      </c>
      <c r="ETH876" s="31">
        <v>20890</v>
      </c>
      <c r="ETI876" s="30">
        <v>1472014</v>
      </c>
      <c r="ETJ876" s="30">
        <f ca="1">YEAR(TODAY())-YEAR(ETH876)</f>
        <v>69</v>
      </c>
      <c r="ETK876" s="245"/>
      <c r="ETL876" s="7" t="s">
        <v>23</v>
      </c>
      <c r="ETM876" s="29"/>
      <c r="ETN876" s="44">
        <v>44198</v>
      </c>
      <c r="ETO876" s="30" t="s">
        <v>22</v>
      </c>
      <c r="ETP876" s="31">
        <v>20890</v>
      </c>
      <c r="ETQ876" s="30">
        <v>1472014</v>
      </c>
      <c r="ETR876" s="30">
        <f ca="1">YEAR(TODAY())-YEAR(ETP876)</f>
        <v>69</v>
      </c>
      <c r="ETS876" s="245"/>
      <c r="ETT876" s="7" t="s">
        <v>23</v>
      </c>
      <c r="ETU876" s="29"/>
      <c r="ETV876" s="44">
        <v>44198</v>
      </c>
      <c r="ETW876" s="30" t="s">
        <v>22</v>
      </c>
      <c r="ETX876" s="31">
        <v>20890</v>
      </c>
      <c r="ETY876" s="30">
        <v>1472014</v>
      </c>
      <c r="ETZ876" s="30">
        <f ca="1">YEAR(TODAY())-YEAR(ETX876)</f>
        <v>69</v>
      </c>
      <c r="EUA876" s="245"/>
      <c r="EUB876" s="7" t="s">
        <v>23</v>
      </c>
      <c r="EUC876" s="29"/>
      <c r="EUD876" s="44">
        <v>44198</v>
      </c>
      <c r="EUE876" s="30" t="s">
        <v>22</v>
      </c>
      <c r="EUF876" s="31">
        <v>20890</v>
      </c>
      <c r="EUG876" s="30">
        <v>1472014</v>
      </c>
      <c r="EUH876" s="30">
        <f ca="1">YEAR(TODAY())-YEAR(EUF876)</f>
        <v>69</v>
      </c>
      <c r="EUI876" s="245"/>
      <c r="EUJ876" s="7" t="s">
        <v>23</v>
      </c>
      <c r="EUK876" s="29"/>
      <c r="EUL876" s="44">
        <v>44198</v>
      </c>
      <c r="EUM876" s="30" t="s">
        <v>22</v>
      </c>
      <c r="EUN876" s="31">
        <v>20890</v>
      </c>
      <c r="EUO876" s="30">
        <v>1472014</v>
      </c>
      <c r="EUP876" s="30">
        <f ca="1">YEAR(TODAY())-YEAR(EUN876)</f>
        <v>69</v>
      </c>
      <c r="EUQ876" s="245"/>
      <c r="EUR876" s="7" t="s">
        <v>23</v>
      </c>
      <c r="EUS876" s="29"/>
      <c r="EUT876" s="44">
        <v>44198</v>
      </c>
      <c r="EUU876" s="30" t="s">
        <v>22</v>
      </c>
      <c r="EUV876" s="31">
        <v>20890</v>
      </c>
      <c r="EUW876" s="30">
        <v>1472014</v>
      </c>
      <c r="EUX876" s="30">
        <f ca="1">YEAR(TODAY())-YEAR(EUV876)</f>
        <v>69</v>
      </c>
      <c r="EUY876" s="245"/>
      <c r="EUZ876" s="7" t="s">
        <v>23</v>
      </c>
      <c r="EVA876" s="29"/>
      <c r="EVB876" s="44">
        <v>44198</v>
      </c>
      <c r="EVC876" s="30" t="s">
        <v>22</v>
      </c>
      <c r="EVD876" s="31">
        <v>20890</v>
      </c>
      <c r="EVE876" s="30">
        <v>1472014</v>
      </c>
      <c r="EVF876" s="30">
        <f ca="1">YEAR(TODAY())-YEAR(EVD876)</f>
        <v>69</v>
      </c>
      <c r="EVG876" s="245"/>
      <c r="EVH876" s="7" t="s">
        <v>23</v>
      </c>
      <c r="EVI876" s="29"/>
      <c r="EVJ876" s="44">
        <v>44198</v>
      </c>
      <c r="EVK876" s="30" t="s">
        <v>22</v>
      </c>
      <c r="EVL876" s="31">
        <v>20890</v>
      </c>
      <c r="EVM876" s="30">
        <v>1472014</v>
      </c>
      <c r="EVN876" s="30">
        <f ca="1">YEAR(TODAY())-YEAR(EVL876)</f>
        <v>69</v>
      </c>
      <c r="EVO876" s="245"/>
      <c r="EVP876" s="7" t="s">
        <v>23</v>
      </c>
      <c r="EVQ876" s="29"/>
      <c r="EVR876" s="44">
        <v>44198</v>
      </c>
      <c r="EVS876" s="30" t="s">
        <v>22</v>
      </c>
      <c r="EVT876" s="31">
        <v>20890</v>
      </c>
      <c r="EVU876" s="30">
        <v>1472014</v>
      </c>
      <c r="EVV876" s="30">
        <f ca="1">YEAR(TODAY())-YEAR(EVT876)</f>
        <v>69</v>
      </c>
      <c r="EVW876" s="245"/>
      <c r="EVX876" s="7" t="s">
        <v>23</v>
      </c>
      <c r="EVY876" s="29"/>
      <c r="EVZ876" s="44">
        <v>44198</v>
      </c>
      <c r="EWA876" s="30" t="s">
        <v>22</v>
      </c>
      <c r="EWB876" s="31">
        <v>20890</v>
      </c>
      <c r="EWC876" s="30">
        <v>1472014</v>
      </c>
      <c r="EWD876" s="30">
        <f ca="1">YEAR(TODAY())-YEAR(EWB876)</f>
        <v>69</v>
      </c>
      <c r="EWE876" s="245"/>
      <c r="EWF876" s="7" t="s">
        <v>23</v>
      </c>
      <c r="EWG876" s="29"/>
      <c r="EWH876" s="44">
        <v>44198</v>
      </c>
      <c r="EWI876" s="30" t="s">
        <v>22</v>
      </c>
      <c r="EWJ876" s="31">
        <v>20890</v>
      </c>
      <c r="EWK876" s="30">
        <v>1472014</v>
      </c>
      <c r="EWL876" s="30">
        <f ca="1">YEAR(TODAY())-YEAR(EWJ876)</f>
        <v>69</v>
      </c>
      <c r="EWM876" s="245"/>
      <c r="EWN876" s="7" t="s">
        <v>23</v>
      </c>
      <c r="EWO876" s="29"/>
      <c r="EWP876" s="44">
        <v>44198</v>
      </c>
      <c r="EWQ876" s="30" t="s">
        <v>22</v>
      </c>
      <c r="EWR876" s="31">
        <v>20890</v>
      </c>
      <c r="EWS876" s="30">
        <v>1472014</v>
      </c>
      <c r="EWT876" s="30">
        <f ca="1">YEAR(TODAY())-YEAR(EWR876)</f>
        <v>69</v>
      </c>
      <c r="EWU876" s="245"/>
      <c r="EWV876" s="7" t="s">
        <v>23</v>
      </c>
      <c r="EWW876" s="29"/>
      <c r="EWX876" s="44">
        <v>44198</v>
      </c>
      <c r="EWY876" s="30" t="s">
        <v>22</v>
      </c>
      <c r="EWZ876" s="31">
        <v>20890</v>
      </c>
      <c r="EXA876" s="30">
        <v>1472014</v>
      </c>
      <c r="EXB876" s="30">
        <f ca="1">YEAR(TODAY())-YEAR(EWZ876)</f>
        <v>69</v>
      </c>
      <c r="EXC876" s="245"/>
      <c r="EXD876" s="7" t="s">
        <v>23</v>
      </c>
      <c r="EXE876" s="29"/>
      <c r="EXF876" s="44">
        <v>44198</v>
      </c>
      <c r="EXG876" s="30" t="s">
        <v>22</v>
      </c>
      <c r="EXH876" s="31">
        <v>20890</v>
      </c>
      <c r="EXI876" s="30">
        <v>1472014</v>
      </c>
      <c r="EXJ876" s="30">
        <f ca="1">YEAR(TODAY())-YEAR(EXH876)</f>
        <v>69</v>
      </c>
      <c r="EXK876" s="245"/>
      <c r="EXL876" s="7" t="s">
        <v>23</v>
      </c>
      <c r="EXM876" s="29"/>
      <c r="EXN876" s="44">
        <v>44198</v>
      </c>
      <c r="EXO876" s="30" t="s">
        <v>22</v>
      </c>
      <c r="EXP876" s="31">
        <v>20890</v>
      </c>
      <c r="EXQ876" s="30">
        <v>1472014</v>
      </c>
      <c r="EXR876" s="30">
        <f ca="1">YEAR(TODAY())-YEAR(EXP876)</f>
        <v>69</v>
      </c>
      <c r="EXS876" s="245"/>
      <c r="EXT876" s="7" t="s">
        <v>23</v>
      </c>
      <c r="EXU876" s="29"/>
      <c r="EXV876" s="44">
        <v>44198</v>
      </c>
      <c r="EXW876" s="30" t="s">
        <v>22</v>
      </c>
      <c r="EXX876" s="31">
        <v>20890</v>
      </c>
      <c r="EXY876" s="30">
        <v>1472014</v>
      </c>
      <c r="EXZ876" s="30">
        <f ca="1">YEAR(TODAY())-YEAR(EXX876)</f>
        <v>69</v>
      </c>
      <c r="EYA876" s="245"/>
      <c r="EYB876" s="7" t="s">
        <v>23</v>
      </c>
      <c r="EYC876" s="29"/>
      <c r="EYD876" s="44">
        <v>44198</v>
      </c>
      <c r="EYE876" s="30" t="s">
        <v>22</v>
      </c>
      <c r="EYF876" s="31">
        <v>20890</v>
      </c>
      <c r="EYG876" s="30">
        <v>1472014</v>
      </c>
      <c r="EYH876" s="30">
        <f ca="1">YEAR(TODAY())-YEAR(EYF876)</f>
        <v>69</v>
      </c>
      <c r="EYI876" s="245"/>
      <c r="EYJ876" s="7" t="s">
        <v>23</v>
      </c>
      <c r="EYK876" s="29"/>
      <c r="EYL876" s="44">
        <v>44198</v>
      </c>
      <c r="EYM876" s="30" t="s">
        <v>22</v>
      </c>
      <c r="EYN876" s="31">
        <v>20890</v>
      </c>
      <c r="EYO876" s="30">
        <v>1472014</v>
      </c>
      <c r="EYP876" s="30">
        <f ca="1">YEAR(TODAY())-YEAR(EYN876)</f>
        <v>69</v>
      </c>
      <c r="EYQ876" s="245"/>
      <c r="EYR876" s="7" t="s">
        <v>23</v>
      </c>
      <c r="EYS876" s="29"/>
      <c r="EYT876" s="44">
        <v>44198</v>
      </c>
      <c r="EYU876" s="30" t="s">
        <v>22</v>
      </c>
      <c r="EYV876" s="31">
        <v>20890</v>
      </c>
      <c r="EYW876" s="30">
        <v>1472014</v>
      </c>
      <c r="EYX876" s="30">
        <f ca="1">YEAR(TODAY())-YEAR(EYV876)</f>
        <v>69</v>
      </c>
      <c r="EYY876" s="245"/>
      <c r="EYZ876" s="7" t="s">
        <v>23</v>
      </c>
      <c r="EZA876" s="29"/>
      <c r="EZB876" s="44">
        <v>44198</v>
      </c>
      <c r="EZC876" s="30" t="s">
        <v>22</v>
      </c>
      <c r="EZD876" s="31">
        <v>20890</v>
      </c>
      <c r="EZE876" s="30">
        <v>1472014</v>
      </c>
      <c r="EZF876" s="30">
        <f ca="1">YEAR(TODAY())-YEAR(EZD876)</f>
        <v>69</v>
      </c>
      <c r="EZG876" s="245"/>
      <c r="EZH876" s="7" t="s">
        <v>23</v>
      </c>
      <c r="EZI876" s="29"/>
      <c r="EZJ876" s="44">
        <v>44198</v>
      </c>
      <c r="EZK876" s="30" t="s">
        <v>22</v>
      </c>
      <c r="EZL876" s="31">
        <v>20890</v>
      </c>
      <c r="EZM876" s="30">
        <v>1472014</v>
      </c>
      <c r="EZN876" s="30">
        <f ca="1">YEAR(TODAY())-YEAR(EZL876)</f>
        <v>69</v>
      </c>
      <c r="EZO876" s="245"/>
      <c r="EZP876" s="7" t="s">
        <v>23</v>
      </c>
      <c r="EZQ876" s="29"/>
      <c r="EZR876" s="44">
        <v>44198</v>
      </c>
      <c r="EZS876" s="30" t="s">
        <v>22</v>
      </c>
      <c r="EZT876" s="31">
        <v>20890</v>
      </c>
      <c r="EZU876" s="30">
        <v>1472014</v>
      </c>
      <c r="EZV876" s="30">
        <f ca="1">YEAR(TODAY())-YEAR(EZT876)</f>
        <v>69</v>
      </c>
      <c r="EZW876" s="245"/>
      <c r="EZX876" s="7" t="s">
        <v>23</v>
      </c>
      <c r="EZY876" s="29"/>
      <c r="EZZ876" s="44">
        <v>44198</v>
      </c>
      <c r="FAA876" s="30" t="s">
        <v>22</v>
      </c>
      <c r="FAB876" s="31">
        <v>20890</v>
      </c>
      <c r="FAC876" s="30">
        <v>1472014</v>
      </c>
      <c r="FAD876" s="30">
        <f ca="1">YEAR(TODAY())-YEAR(FAB876)</f>
        <v>69</v>
      </c>
      <c r="FAE876" s="245"/>
      <c r="FAF876" s="7" t="s">
        <v>23</v>
      </c>
      <c r="FAG876" s="29"/>
      <c r="FAH876" s="44">
        <v>44198</v>
      </c>
      <c r="FAI876" s="30" t="s">
        <v>22</v>
      </c>
      <c r="FAJ876" s="31">
        <v>20890</v>
      </c>
      <c r="FAK876" s="30">
        <v>1472014</v>
      </c>
      <c r="FAL876" s="30">
        <f ca="1">YEAR(TODAY())-YEAR(FAJ876)</f>
        <v>69</v>
      </c>
      <c r="FAM876" s="245"/>
      <c r="FAN876" s="7" t="s">
        <v>23</v>
      </c>
      <c r="FAO876" s="29"/>
      <c r="FAP876" s="44">
        <v>44198</v>
      </c>
      <c r="FAQ876" s="30" t="s">
        <v>22</v>
      </c>
      <c r="FAR876" s="31">
        <v>20890</v>
      </c>
      <c r="FAS876" s="30">
        <v>1472014</v>
      </c>
      <c r="FAT876" s="30">
        <f ca="1">YEAR(TODAY())-YEAR(FAR876)</f>
        <v>69</v>
      </c>
      <c r="FAU876" s="245"/>
      <c r="FAV876" s="7" t="s">
        <v>23</v>
      </c>
      <c r="FAW876" s="29"/>
      <c r="FAX876" s="44">
        <v>44198</v>
      </c>
      <c r="FAY876" s="30" t="s">
        <v>22</v>
      </c>
      <c r="FAZ876" s="31">
        <v>20890</v>
      </c>
      <c r="FBA876" s="30">
        <v>1472014</v>
      </c>
      <c r="FBB876" s="30">
        <f ca="1">YEAR(TODAY())-YEAR(FAZ876)</f>
        <v>69</v>
      </c>
      <c r="FBC876" s="245"/>
      <c r="FBD876" s="7" t="s">
        <v>23</v>
      </c>
      <c r="FBE876" s="29"/>
      <c r="FBF876" s="44">
        <v>44198</v>
      </c>
      <c r="FBG876" s="30" t="s">
        <v>22</v>
      </c>
      <c r="FBH876" s="31">
        <v>20890</v>
      </c>
      <c r="FBI876" s="30">
        <v>1472014</v>
      </c>
      <c r="FBJ876" s="30">
        <f ca="1">YEAR(TODAY())-YEAR(FBH876)</f>
        <v>69</v>
      </c>
      <c r="FBK876" s="245"/>
      <c r="FBL876" s="7" t="s">
        <v>23</v>
      </c>
      <c r="FBM876" s="29"/>
      <c r="FBN876" s="44">
        <v>44198</v>
      </c>
      <c r="FBO876" s="30" t="s">
        <v>22</v>
      </c>
      <c r="FBP876" s="31">
        <v>20890</v>
      </c>
      <c r="FBQ876" s="30">
        <v>1472014</v>
      </c>
      <c r="FBR876" s="30">
        <f ca="1">YEAR(TODAY())-YEAR(FBP876)</f>
        <v>69</v>
      </c>
      <c r="FBS876" s="245"/>
      <c r="FBT876" s="7" t="s">
        <v>23</v>
      </c>
      <c r="FBU876" s="29"/>
      <c r="FBV876" s="44">
        <v>44198</v>
      </c>
      <c r="FBW876" s="30" t="s">
        <v>22</v>
      </c>
      <c r="FBX876" s="31">
        <v>20890</v>
      </c>
      <c r="FBY876" s="30">
        <v>1472014</v>
      </c>
      <c r="FBZ876" s="30">
        <f ca="1">YEAR(TODAY())-YEAR(FBX876)</f>
        <v>69</v>
      </c>
      <c r="FCA876" s="245"/>
      <c r="FCB876" s="7" t="s">
        <v>23</v>
      </c>
      <c r="FCC876" s="29"/>
      <c r="FCD876" s="44">
        <v>44198</v>
      </c>
      <c r="FCE876" s="30" t="s">
        <v>22</v>
      </c>
      <c r="FCF876" s="31">
        <v>20890</v>
      </c>
      <c r="FCG876" s="30">
        <v>1472014</v>
      </c>
      <c r="FCH876" s="30">
        <f ca="1">YEAR(TODAY())-YEAR(FCF876)</f>
        <v>69</v>
      </c>
      <c r="FCI876" s="245"/>
      <c r="FCJ876" s="7" t="s">
        <v>23</v>
      </c>
      <c r="FCK876" s="29"/>
      <c r="FCL876" s="44">
        <v>44198</v>
      </c>
      <c r="FCM876" s="30" t="s">
        <v>22</v>
      </c>
      <c r="FCN876" s="31">
        <v>20890</v>
      </c>
      <c r="FCO876" s="30">
        <v>1472014</v>
      </c>
      <c r="FCP876" s="30">
        <f ca="1">YEAR(TODAY())-YEAR(FCN876)</f>
        <v>69</v>
      </c>
      <c r="FCQ876" s="245"/>
      <c r="FCR876" s="7" t="s">
        <v>23</v>
      </c>
      <c r="FCS876" s="29"/>
      <c r="FCT876" s="44">
        <v>44198</v>
      </c>
      <c r="FCU876" s="30" t="s">
        <v>22</v>
      </c>
      <c r="FCV876" s="31">
        <v>20890</v>
      </c>
      <c r="FCW876" s="30">
        <v>1472014</v>
      </c>
      <c r="FCX876" s="30">
        <f ca="1">YEAR(TODAY())-YEAR(FCV876)</f>
        <v>69</v>
      </c>
      <c r="FCY876" s="245"/>
      <c r="FCZ876" s="7" t="s">
        <v>23</v>
      </c>
      <c r="FDA876" s="29"/>
      <c r="FDB876" s="44">
        <v>44198</v>
      </c>
      <c r="FDC876" s="30" t="s">
        <v>22</v>
      </c>
      <c r="FDD876" s="31">
        <v>20890</v>
      </c>
      <c r="FDE876" s="30">
        <v>1472014</v>
      </c>
      <c r="FDF876" s="30">
        <f ca="1">YEAR(TODAY())-YEAR(FDD876)</f>
        <v>69</v>
      </c>
      <c r="FDG876" s="245"/>
      <c r="FDH876" s="7" t="s">
        <v>23</v>
      </c>
      <c r="FDI876" s="29"/>
      <c r="FDJ876" s="44">
        <v>44198</v>
      </c>
      <c r="FDK876" s="30" t="s">
        <v>22</v>
      </c>
      <c r="FDL876" s="31">
        <v>20890</v>
      </c>
      <c r="FDM876" s="30">
        <v>1472014</v>
      </c>
      <c r="FDN876" s="30">
        <f ca="1">YEAR(TODAY())-YEAR(FDL876)</f>
        <v>69</v>
      </c>
      <c r="FDO876" s="245"/>
      <c r="FDP876" s="7" t="s">
        <v>23</v>
      </c>
      <c r="FDQ876" s="29"/>
      <c r="FDR876" s="44">
        <v>44198</v>
      </c>
      <c r="FDS876" s="30" t="s">
        <v>22</v>
      </c>
      <c r="FDT876" s="31">
        <v>20890</v>
      </c>
      <c r="FDU876" s="30">
        <v>1472014</v>
      </c>
      <c r="FDV876" s="30">
        <f ca="1">YEAR(TODAY())-YEAR(FDT876)</f>
        <v>69</v>
      </c>
      <c r="FDW876" s="245"/>
      <c r="FDX876" s="7" t="s">
        <v>23</v>
      </c>
      <c r="FDY876" s="29"/>
      <c r="FDZ876" s="44">
        <v>44198</v>
      </c>
      <c r="FEA876" s="30" t="s">
        <v>22</v>
      </c>
      <c r="FEB876" s="31">
        <v>20890</v>
      </c>
      <c r="FEC876" s="30">
        <v>1472014</v>
      </c>
      <c r="FED876" s="30">
        <f ca="1">YEAR(TODAY())-YEAR(FEB876)</f>
        <v>69</v>
      </c>
      <c r="FEE876" s="245"/>
      <c r="FEF876" s="7" t="s">
        <v>23</v>
      </c>
      <c r="FEG876" s="29"/>
      <c r="FEH876" s="44">
        <v>44198</v>
      </c>
      <c r="FEI876" s="30" t="s">
        <v>22</v>
      </c>
      <c r="FEJ876" s="31">
        <v>20890</v>
      </c>
      <c r="FEK876" s="30">
        <v>1472014</v>
      </c>
      <c r="FEL876" s="30">
        <f ca="1">YEAR(TODAY())-YEAR(FEJ876)</f>
        <v>69</v>
      </c>
      <c r="FEM876" s="245"/>
      <c r="FEN876" s="7" t="s">
        <v>23</v>
      </c>
      <c r="FEO876" s="29"/>
      <c r="FEP876" s="44">
        <v>44198</v>
      </c>
      <c r="FEQ876" s="30" t="s">
        <v>22</v>
      </c>
      <c r="FER876" s="31">
        <v>20890</v>
      </c>
      <c r="FES876" s="30">
        <v>1472014</v>
      </c>
      <c r="FET876" s="30">
        <f ca="1">YEAR(TODAY())-YEAR(FER876)</f>
        <v>69</v>
      </c>
      <c r="FEU876" s="245"/>
      <c r="FEV876" s="7" t="s">
        <v>23</v>
      </c>
      <c r="FEW876" s="29"/>
      <c r="FEX876" s="44">
        <v>44198</v>
      </c>
      <c r="FEY876" s="30" t="s">
        <v>22</v>
      </c>
      <c r="FEZ876" s="31">
        <v>20890</v>
      </c>
      <c r="FFA876" s="30">
        <v>1472014</v>
      </c>
      <c r="FFB876" s="30">
        <f ca="1">YEAR(TODAY())-YEAR(FEZ876)</f>
        <v>69</v>
      </c>
      <c r="FFC876" s="245"/>
      <c r="FFD876" s="7" t="s">
        <v>23</v>
      </c>
      <c r="FFE876" s="29"/>
      <c r="FFF876" s="44">
        <v>44198</v>
      </c>
      <c r="FFG876" s="30" t="s">
        <v>22</v>
      </c>
      <c r="FFH876" s="31">
        <v>20890</v>
      </c>
      <c r="FFI876" s="30">
        <v>1472014</v>
      </c>
      <c r="FFJ876" s="30">
        <f ca="1">YEAR(TODAY())-YEAR(FFH876)</f>
        <v>69</v>
      </c>
      <c r="FFK876" s="245"/>
      <c r="FFL876" s="7" t="s">
        <v>23</v>
      </c>
      <c r="FFM876" s="29"/>
      <c r="FFN876" s="44">
        <v>44198</v>
      </c>
      <c r="FFO876" s="30" t="s">
        <v>22</v>
      </c>
      <c r="FFP876" s="31">
        <v>20890</v>
      </c>
      <c r="FFQ876" s="30">
        <v>1472014</v>
      </c>
      <c r="FFR876" s="30">
        <f ca="1">YEAR(TODAY())-YEAR(FFP876)</f>
        <v>69</v>
      </c>
      <c r="FFS876" s="245"/>
      <c r="FFT876" s="7" t="s">
        <v>23</v>
      </c>
      <c r="FFU876" s="29"/>
      <c r="FFV876" s="44">
        <v>44198</v>
      </c>
      <c r="FFW876" s="30" t="s">
        <v>22</v>
      </c>
      <c r="FFX876" s="31">
        <v>20890</v>
      </c>
      <c r="FFY876" s="30">
        <v>1472014</v>
      </c>
      <c r="FFZ876" s="30">
        <f ca="1">YEAR(TODAY())-YEAR(FFX876)</f>
        <v>69</v>
      </c>
      <c r="FGA876" s="245"/>
      <c r="FGB876" s="7" t="s">
        <v>23</v>
      </c>
      <c r="FGC876" s="29"/>
      <c r="FGD876" s="44">
        <v>44198</v>
      </c>
      <c r="FGE876" s="30" t="s">
        <v>22</v>
      </c>
      <c r="FGF876" s="31">
        <v>20890</v>
      </c>
      <c r="FGG876" s="30">
        <v>1472014</v>
      </c>
      <c r="FGH876" s="30">
        <f ca="1">YEAR(TODAY())-YEAR(FGF876)</f>
        <v>69</v>
      </c>
      <c r="FGI876" s="245"/>
      <c r="FGJ876" s="7" t="s">
        <v>23</v>
      </c>
      <c r="FGK876" s="29"/>
      <c r="FGL876" s="44">
        <v>44198</v>
      </c>
      <c r="FGM876" s="30" t="s">
        <v>22</v>
      </c>
      <c r="FGN876" s="31">
        <v>20890</v>
      </c>
      <c r="FGO876" s="30">
        <v>1472014</v>
      </c>
      <c r="FGP876" s="30">
        <f ca="1">YEAR(TODAY())-YEAR(FGN876)</f>
        <v>69</v>
      </c>
      <c r="FGQ876" s="245"/>
      <c r="FGR876" s="7" t="s">
        <v>23</v>
      </c>
      <c r="FGS876" s="29"/>
      <c r="FGT876" s="44">
        <v>44198</v>
      </c>
      <c r="FGU876" s="30" t="s">
        <v>22</v>
      </c>
      <c r="FGV876" s="31">
        <v>20890</v>
      </c>
      <c r="FGW876" s="30">
        <v>1472014</v>
      </c>
      <c r="FGX876" s="30">
        <f ca="1">YEAR(TODAY())-YEAR(FGV876)</f>
        <v>69</v>
      </c>
      <c r="FGY876" s="245"/>
      <c r="FGZ876" s="7" t="s">
        <v>23</v>
      </c>
      <c r="FHA876" s="29"/>
      <c r="FHB876" s="44">
        <v>44198</v>
      </c>
      <c r="FHC876" s="30" t="s">
        <v>22</v>
      </c>
      <c r="FHD876" s="31">
        <v>20890</v>
      </c>
      <c r="FHE876" s="30">
        <v>1472014</v>
      </c>
      <c r="FHF876" s="30">
        <f ca="1">YEAR(TODAY())-YEAR(FHD876)</f>
        <v>69</v>
      </c>
      <c r="FHG876" s="245"/>
      <c r="FHH876" s="7" t="s">
        <v>23</v>
      </c>
      <c r="FHI876" s="29"/>
      <c r="FHJ876" s="44">
        <v>44198</v>
      </c>
      <c r="FHK876" s="30" t="s">
        <v>22</v>
      </c>
      <c r="FHL876" s="31">
        <v>20890</v>
      </c>
      <c r="FHM876" s="30">
        <v>1472014</v>
      </c>
      <c r="FHN876" s="30">
        <f ca="1">YEAR(TODAY())-YEAR(FHL876)</f>
        <v>69</v>
      </c>
      <c r="FHO876" s="245"/>
      <c r="FHP876" s="7" t="s">
        <v>23</v>
      </c>
      <c r="FHQ876" s="29"/>
      <c r="FHR876" s="44">
        <v>44198</v>
      </c>
      <c r="FHS876" s="30" t="s">
        <v>22</v>
      </c>
      <c r="FHT876" s="31">
        <v>20890</v>
      </c>
      <c r="FHU876" s="30">
        <v>1472014</v>
      </c>
      <c r="FHV876" s="30">
        <f ca="1">YEAR(TODAY())-YEAR(FHT876)</f>
        <v>69</v>
      </c>
      <c r="FHW876" s="245"/>
      <c r="FHX876" s="7" t="s">
        <v>23</v>
      </c>
      <c r="FHY876" s="29"/>
      <c r="FHZ876" s="44">
        <v>44198</v>
      </c>
      <c r="FIA876" s="30" t="s">
        <v>22</v>
      </c>
      <c r="FIB876" s="31">
        <v>20890</v>
      </c>
      <c r="FIC876" s="30">
        <v>1472014</v>
      </c>
      <c r="FID876" s="30">
        <f ca="1">YEAR(TODAY())-YEAR(FIB876)</f>
        <v>69</v>
      </c>
      <c r="FIE876" s="245"/>
      <c r="FIF876" s="7" t="s">
        <v>23</v>
      </c>
      <c r="FIG876" s="29"/>
      <c r="FIH876" s="44">
        <v>44198</v>
      </c>
      <c r="FII876" s="30" t="s">
        <v>22</v>
      </c>
      <c r="FIJ876" s="31">
        <v>20890</v>
      </c>
      <c r="FIK876" s="30">
        <v>1472014</v>
      </c>
      <c r="FIL876" s="30">
        <f ca="1">YEAR(TODAY())-YEAR(FIJ876)</f>
        <v>69</v>
      </c>
      <c r="FIM876" s="245"/>
      <c r="FIN876" s="7" t="s">
        <v>23</v>
      </c>
      <c r="FIO876" s="29"/>
      <c r="FIP876" s="44">
        <v>44198</v>
      </c>
      <c r="FIQ876" s="30" t="s">
        <v>22</v>
      </c>
      <c r="FIR876" s="31">
        <v>20890</v>
      </c>
      <c r="FIS876" s="30">
        <v>1472014</v>
      </c>
      <c r="FIT876" s="30">
        <f ca="1">YEAR(TODAY())-YEAR(FIR876)</f>
        <v>69</v>
      </c>
      <c r="FIU876" s="245"/>
      <c r="FIV876" s="7" t="s">
        <v>23</v>
      </c>
      <c r="FIW876" s="29"/>
      <c r="FIX876" s="44">
        <v>44198</v>
      </c>
      <c r="FIY876" s="30" t="s">
        <v>22</v>
      </c>
      <c r="FIZ876" s="31">
        <v>20890</v>
      </c>
      <c r="FJA876" s="30">
        <v>1472014</v>
      </c>
      <c r="FJB876" s="30">
        <f ca="1">YEAR(TODAY())-YEAR(FIZ876)</f>
        <v>69</v>
      </c>
      <c r="FJC876" s="245"/>
      <c r="FJD876" s="7" t="s">
        <v>23</v>
      </c>
      <c r="FJE876" s="29"/>
      <c r="FJF876" s="44">
        <v>44198</v>
      </c>
      <c r="FJG876" s="30" t="s">
        <v>22</v>
      </c>
      <c r="FJH876" s="31">
        <v>20890</v>
      </c>
      <c r="FJI876" s="30">
        <v>1472014</v>
      </c>
      <c r="FJJ876" s="30">
        <f ca="1">YEAR(TODAY())-YEAR(FJH876)</f>
        <v>69</v>
      </c>
      <c r="FJK876" s="245"/>
      <c r="FJL876" s="7" t="s">
        <v>23</v>
      </c>
      <c r="FJM876" s="29"/>
      <c r="FJN876" s="44">
        <v>44198</v>
      </c>
      <c r="FJO876" s="30" t="s">
        <v>22</v>
      </c>
      <c r="FJP876" s="31">
        <v>20890</v>
      </c>
      <c r="FJQ876" s="30">
        <v>1472014</v>
      </c>
      <c r="FJR876" s="30">
        <f ca="1">YEAR(TODAY())-YEAR(FJP876)</f>
        <v>69</v>
      </c>
      <c r="FJS876" s="245"/>
      <c r="FJT876" s="7" t="s">
        <v>23</v>
      </c>
      <c r="FJU876" s="29"/>
      <c r="FJV876" s="44">
        <v>44198</v>
      </c>
      <c r="FJW876" s="30" t="s">
        <v>22</v>
      </c>
      <c r="FJX876" s="31">
        <v>20890</v>
      </c>
      <c r="FJY876" s="30">
        <v>1472014</v>
      </c>
      <c r="FJZ876" s="30">
        <f ca="1">YEAR(TODAY())-YEAR(FJX876)</f>
        <v>69</v>
      </c>
      <c r="FKA876" s="245"/>
      <c r="FKB876" s="7" t="s">
        <v>23</v>
      </c>
      <c r="FKC876" s="29"/>
      <c r="FKD876" s="44">
        <v>44198</v>
      </c>
      <c r="FKE876" s="30" t="s">
        <v>22</v>
      </c>
      <c r="FKF876" s="31">
        <v>20890</v>
      </c>
      <c r="FKG876" s="30">
        <v>1472014</v>
      </c>
      <c r="FKH876" s="30">
        <f ca="1">YEAR(TODAY())-YEAR(FKF876)</f>
        <v>69</v>
      </c>
      <c r="FKI876" s="245"/>
      <c r="FKJ876" s="7" t="s">
        <v>23</v>
      </c>
      <c r="FKK876" s="29"/>
      <c r="FKL876" s="44">
        <v>44198</v>
      </c>
      <c r="FKM876" s="30" t="s">
        <v>22</v>
      </c>
      <c r="FKN876" s="31">
        <v>20890</v>
      </c>
      <c r="FKO876" s="30">
        <v>1472014</v>
      </c>
      <c r="FKP876" s="30">
        <f ca="1">YEAR(TODAY())-YEAR(FKN876)</f>
        <v>69</v>
      </c>
      <c r="FKQ876" s="245"/>
      <c r="FKR876" s="7" t="s">
        <v>23</v>
      </c>
      <c r="FKS876" s="29"/>
      <c r="FKT876" s="44">
        <v>44198</v>
      </c>
      <c r="FKU876" s="30" t="s">
        <v>22</v>
      </c>
      <c r="FKV876" s="31">
        <v>20890</v>
      </c>
      <c r="FKW876" s="30">
        <v>1472014</v>
      </c>
      <c r="FKX876" s="30">
        <f ca="1">YEAR(TODAY())-YEAR(FKV876)</f>
        <v>69</v>
      </c>
      <c r="FKY876" s="245"/>
      <c r="FKZ876" s="7" t="s">
        <v>23</v>
      </c>
      <c r="FLA876" s="29"/>
      <c r="FLB876" s="44">
        <v>44198</v>
      </c>
      <c r="FLC876" s="30" t="s">
        <v>22</v>
      </c>
      <c r="FLD876" s="31">
        <v>20890</v>
      </c>
      <c r="FLE876" s="30">
        <v>1472014</v>
      </c>
      <c r="FLF876" s="30">
        <f ca="1">YEAR(TODAY())-YEAR(FLD876)</f>
        <v>69</v>
      </c>
      <c r="FLG876" s="245"/>
      <c r="FLH876" s="7" t="s">
        <v>23</v>
      </c>
      <c r="FLI876" s="29"/>
      <c r="FLJ876" s="44">
        <v>44198</v>
      </c>
      <c r="FLK876" s="30" t="s">
        <v>22</v>
      </c>
      <c r="FLL876" s="31">
        <v>20890</v>
      </c>
      <c r="FLM876" s="30">
        <v>1472014</v>
      </c>
      <c r="FLN876" s="30">
        <f ca="1">YEAR(TODAY())-YEAR(FLL876)</f>
        <v>69</v>
      </c>
      <c r="FLO876" s="245"/>
      <c r="FLP876" s="7" t="s">
        <v>23</v>
      </c>
      <c r="FLQ876" s="29"/>
      <c r="FLR876" s="44">
        <v>44198</v>
      </c>
      <c r="FLS876" s="30" t="s">
        <v>22</v>
      </c>
      <c r="FLT876" s="31">
        <v>20890</v>
      </c>
      <c r="FLU876" s="30">
        <v>1472014</v>
      </c>
      <c r="FLV876" s="30">
        <f ca="1">YEAR(TODAY())-YEAR(FLT876)</f>
        <v>69</v>
      </c>
      <c r="FLW876" s="245"/>
      <c r="FLX876" s="7" t="s">
        <v>23</v>
      </c>
      <c r="FLY876" s="29"/>
      <c r="FLZ876" s="44">
        <v>44198</v>
      </c>
      <c r="FMA876" s="30" t="s">
        <v>22</v>
      </c>
      <c r="FMB876" s="31">
        <v>20890</v>
      </c>
      <c r="FMC876" s="30">
        <v>1472014</v>
      </c>
      <c r="FMD876" s="30">
        <f ca="1">YEAR(TODAY())-YEAR(FMB876)</f>
        <v>69</v>
      </c>
      <c r="FME876" s="245"/>
      <c r="FMF876" s="7" t="s">
        <v>23</v>
      </c>
      <c r="FMG876" s="29"/>
      <c r="FMH876" s="44">
        <v>44198</v>
      </c>
      <c r="FMI876" s="30" t="s">
        <v>22</v>
      </c>
      <c r="FMJ876" s="31">
        <v>20890</v>
      </c>
      <c r="FMK876" s="30">
        <v>1472014</v>
      </c>
      <c r="FML876" s="30">
        <f ca="1">YEAR(TODAY())-YEAR(FMJ876)</f>
        <v>69</v>
      </c>
      <c r="FMM876" s="245"/>
      <c r="FMN876" s="7" t="s">
        <v>23</v>
      </c>
      <c r="FMO876" s="29"/>
      <c r="FMP876" s="44">
        <v>44198</v>
      </c>
      <c r="FMQ876" s="30" t="s">
        <v>22</v>
      </c>
      <c r="FMR876" s="31">
        <v>20890</v>
      </c>
      <c r="FMS876" s="30">
        <v>1472014</v>
      </c>
      <c r="FMT876" s="30">
        <f ca="1">YEAR(TODAY())-YEAR(FMR876)</f>
        <v>69</v>
      </c>
      <c r="FMU876" s="245"/>
      <c r="FMV876" s="7" t="s">
        <v>23</v>
      </c>
      <c r="FMW876" s="29"/>
      <c r="FMX876" s="44">
        <v>44198</v>
      </c>
      <c r="FMY876" s="30" t="s">
        <v>22</v>
      </c>
      <c r="FMZ876" s="31">
        <v>20890</v>
      </c>
      <c r="FNA876" s="30">
        <v>1472014</v>
      </c>
      <c r="FNB876" s="30">
        <f ca="1">YEAR(TODAY())-YEAR(FMZ876)</f>
        <v>69</v>
      </c>
      <c r="FNC876" s="245"/>
      <c r="FND876" s="7" t="s">
        <v>23</v>
      </c>
      <c r="FNE876" s="29"/>
      <c r="FNF876" s="44">
        <v>44198</v>
      </c>
      <c r="FNG876" s="30" t="s">
        <v>22</v>
      </c>
      <c r="FNH876" s="31">
        <v>20890</v>
      </c>
      <c r="FNI876" s="30">
        <v>1472014</v>
      </c>
      <c r="FNJ876" s="30">
        <f ca="1">YEAR(TODAY())-YEAR(FNH876)</f>
        <v>69</v>
      </c>
      <c r="FNK876" s="245"/>
      <c r="FNL876" s="7" t="s">
        <v>23</v>
      </c>
      <c r="FNM876" s="29"/>
      <c r="FNN876" s="44">
        <v>44198</v>
      </c>
      <c r="FNO876" s="30" t="s">
        <v>22</v>
      </c>
      <c r="FNP876" s="31">
        <v>20890</v>
      </c>
      <c r="FNQ876" s="30">
        <v>1472014</v>
      </c>
      <c r="FNR876" s="30">
        <f ca="1">YEAR(TODAY())-YEAR(FNP876)</f>
        <v>69</v>
      </c>
      <c r="FNS876" s="245"/>
      <c r="FNT876" s="7" t="s">
        <v>23</v>
      </c>
      <c r="FNU876" s="29"/>
      <c r="FNV876" s="44">
        <v>44198</v>
      </c>
      <c r="FNW876" s="30" t="s">
        <v>22</v>
      </c>
      <c r="FNX876" s="31">
        <v>20890</v>
      </c>
      <c r="FNY876" s="30">
        <v>1472014</v>
      </c>
      <c r="FNZ876" s="30">
        <f ca="1">YEAR(TODAY())-YEAR(FNX876)</f>
        <v>69</v>
      </c>
      <c r="FOA876" s="245"/>
      <c r="FOB876" s="7" t="s">
        <v>23</v>
      </c>
      <c r="FOC876" s="29"/>
      <c r="FOD876" s="44">
        <v>44198</v>
      </c>
      <c r="FOE876" s="30" t="s">
        <v>22</v>
      </c>
      <c r="FOF876" s="31">
        <v>20890</v>
      </c>
      <c r="FOG876" s="30">
        <v>1472014</v>
      </c>
      <c r="FOH876" s="30">
        <f ca="1">YEAR(TODAY())-YEAR(FOF876)</f>
        <v>69</v>
      </c>
      <c r="FOI876" s="245"/>
      <c r="FOJ876" s="7" t="s">
        <v>23</v>
      </c>
      <c r="FOK876" s="29"/>
      <c r="FOL876" s="44">
        <v>44198</v>
      </c>
      <c r="FOM876" s="30" t="s">
        <v>22</v>
      </c>
      <c r="FON876" s="31">
        <v>20890</v>
      </c>
      <c r="FOO876" s="30">
        <v>1472014</v>
      </c>
      <c r="FOP876" s="30">
        <f ca="1">YEAR(TODAY())-YEAR(FON876)</f>
        <v>69</v>
      </c>
      <c r="FOQ876" s="245"/>
      <c r="FOR876" s="7" t="s">
        <v>23</v>
      </c>
      <c r="FOS876" s="29"/>
      <c r="FOT876" s="44">
        <v>44198</v>
      </c>
      <c r="FOU876" s="30" t="s">
        <v>22</v>
      </c>
      <c r="FOV876" s="31">
        <v>20890</v>
      </c>
      <c r="FOW876" s="30">
        <v>1472014</v>
      </c>
      <c r="FOX876" s="30">
        <f ca="1">YEAR(TODAY())-YEAR(FOV876)</f>
        <v>69</v>
      </c>
      <c r="FOY876" s="245"/>
      <c r="FOZ876" s="7" t="s">
        <v>23</v>
      </c>
      <c r="FPA876" s="29"/>
      <c r="FPB876" s="44">
        <v>44198</v>
      </c>
      <c r="FPC876" s="30" t="s">
        <v>22</v>
      </c>
      <c r="FPD876" s="31">
        <v>20890</v>
      </c>
      <c r="FPE876" s="30">
        <v>1472014</v>
      </c>
      <c r="FPF876" s="30">
        <f ca="1">YEAR(TODAY())-YEAR(FPD876)</f>
        <v>69</v>
      </c>
      <c r="FPG876" s="245"/>
      <c r="FPH876" s="7" t="s">
        <v>23</v>
      </c>
      <c r="FPI876" s="29"/>
      <c r="FPJ876" s="44">
        <v>44198</v>
      </c>
      <c r="FPK876" s="30" t="s">
        <v>22</v>
      </c>
      <c r="FPL876" s="31">
        <v>20890</v>
      </c>
      <c r="FPM876" s="30">
        <v>1472014</v>
      </c>
      <c r="FPN876" s="30">
        <f ca="1">YEAR(TODAY())-YEAR(FPL876)</f>
        <v>69</v>
      </c>
      <c r="FPO876" s="245"/>
      <c r="FPP876" s="7" t="s">
        <v>23</v>
      </c>
      <c r="FPQ876" s="29"/>
      <c r="FPR876" s="44">
        <v>44198</v>
      </c>
      <c r="FPS876" s="30" t="s">
        <v>22</v>
      </c>
      <c r="FPT876" s="31">
        <v>20890</v>
      </c>
      <c r="FPU876" s="30">
        <v>1472014</v>
      </c>
      <c r="FPV876" s="30">
        <f ca="1">YEAR(TODAY())-YEAR(FPT876)</f>
        <v>69</v>
      </c>
      <c r="FPW876" s="245"/>
      <c r="FPX876" s="7" t="s">
        <v>23</v>
      </c>
      <c r="FPY876" s="29"/>
      <c r="FPZ876" s="44">
        <v>44198</v>
      </c>
      <c r="FQA876" s="30" t="s">
        <v>22</v>
      </c>
      <c r="FQB876" s="31">
        <v>20890</v>
      </c>
      <c r="FQC876" s="30">
        <v>1472014</v>
      </c>
      <c r="FQD876" s="30">
        <f ca="1">YEAR(TODAY())-YEAR(FQB876)</f>
        <v>69</v>
      </c>
      <c r="FQE876" s="245"/>
      <c r="FQF876" s="7" t="s">
        <v>23</v>
      </c>
      <c r="FQG876" s="29"/>
      <c r="FQH876" s="44">
        <v>44198</v>
      </c>
      <c r="FQI876" s="30" t="s">
        <v>22</v>
      </c>
      <c r="FQJ876" s="31">
        <v>20890</v>
      </c>
      <c r="FQK876" s="30">
        <v>1472014</v>
      </c>
      <c r="FQL876" s="30">
        <f ca="1">YEAR(TODAY())-YEAR(FQJ876)</f>
        <v>69</v>
      </c>
      <c r="FQM876" s="245"/>
      <c r="FQN876" s="7" t="s">
        <v>23</v>
      </c>
      <c r="FQO876" s="29"/>
      <c r="FQP876" s="44">
        <v>44198</v>
      </c>
      <c r="FQQ876" s="30" t="s">
        <v>22</v>
      </c>
      <c r="FQR876" s="31">
        <v>20890</v>
      </c>
      <c r="FQS876" s="30">
        <v>1472014</v>
      </c>
      <c r="FQT876" s="30">
        <f ca="1">YEAR(TODAY())-YEAR(FQR876)</f>
        <v>69</v>
      </c>
      <c r="FQU876" s="245"/>
      <c r="FQV876" s="7" t="s">
        <v>23</v>
      </c>
      <c r="FQW876" s="29"/>
      <c r="FQX876" s="44">
        <v>44198</v>
      </c>
      <c r="FQY876" s="30" t="s">
        <v>22</v>
      </c>
      <c r="FQZ876" s="31">
        <v>20890</v>
      </c>
      <c r="FRA876" s="30">
        <v>1472014</v>
      </c>
      <c r="FRB876" s="30">
        <f ca="1">YEAR(TODAY())-YEAR(FQZ876)</f>
        <v>69</v>
      </c>
      <c r="FRC876" s="245"/>
      <c r="FRD876" s="7" t="s">
        <v>23</v>
      </c>
      <c r="FRE876" s="29"/>
      <c r="FRF876" s="44">
        <v>44198</v>
      </c>
      <c r="FRG876" s="30" t="s">
        <v>22</v>
      </c>
      <c r="FRH876" s="31">
        <v>20890</v>
      </c>
      <c r="FRI876" s="30">
        <v>1472014</v>
      </c>
      <c r="FRJ876" s="30">
        <f ca="1">YEAR(TODAY())-YEAR(FRH876)</f>
        <v>69</v>
      </c>
      <c r="FRK876" s="245"/>
      <c r="FRL876" s="7" t="s">
        <v>23</v>
      </c>
      <c r="FRM876" s="29"/>
      <c r="FRN876" s="44">
        <v>44198</v>
      </c>
      <c r="FRO876" s="30" t="s">
        <v>22</v>
      </c>
      <c r="FRP876" s="31">
        <v>20890</v>
      </c>
      <c r="FRQ876" s="30">
        <v>1472014</v>
      </c>
      <c r="FRR876" s="30">
        <f ca="1">YEAR(TODAY())-YEAR(FRP876)</f>
        <v>69</v>
      </c>
      <c r="FRS876" s="245"/>
      <c r="FRT876" s="7" t="s">
        <v>23</v>
      </c>
      <c r="FRU876" s="29"/>
      <c r="FRV876" s="44">
        <v>44198</v>
      </c>
      <c r="FRW876" s="30" t="s">
        <v>22</v>
      </c>
      <c r="FRX876" s="31">
        <v>20890</v>
      </c>
      <c r="FRY876" s="30">
        <v>1472014</v>
      </c>
      <c r="FRZ876" s="30">
        <f ca="1">YEAR(TODAY())-YEAR(FRX876)</f>
        <v>69</v>
      </c>
      <c r="FSA876" s="245"/>
      <c r="FSB876" s="7" t="s">
        <v>23</v>
      </c>
      <c r="FSC876" s="29"/>
      <c r="FSD876" s="44">
        <v>44198</v>
      </c>
      <c r="FSE876" s="30" t="s">
        <v>22</v>
      </c>
      <c r="FSF876" s="31">
        <v>20890</v>
      </c>
      <c r="FSG876" s="30">
        <v>1472014</v>
      </c>
      <c r="FSH876" s="30">
        <f ca="1">YEAR(TODAY())-YEAR(FSF876)</f>
        <v>69</v>
      </c>
      <c r="FSI876" s="245"/>
      <c r="FSJ876" s="7" t="s">
        <v>23</v>
      </c>
      <c r="FSK876" s="29"/>
      <c r="FSL876" s="44">
        <v>44198</v>
      </c>
      <c r="FSM876" s="30" t="s">
        <v>22</v>
      </c>
      <c r="FSN876" s="31">
        <v>20890</v>
      </c>
      <c r="FSO876" s="30">
        <v>1472014</v>
      </c>
      <c r="FSP876" s="30">
        <f ca="1">YEAR(TODAY())-YEAR(FSN876)</f>
        <v>69</v>
      </c>
      <c r="FSQ876" s="245"/>
      <c r="FSR876" s="7" t="s">
        <v>23</v>
      </c>
      <c r="FSS876" s="29"/>
      <c r="FST876" s="44">
        <v>44198</v>
      </c>
      <c r="FSU876" s="30" t="s">
        <v>22</v>
      </c>
      <c r="FSV876" s="31">
        <v>20890</v>
      </c>
      <c r="FSW876" s="30">
        <v>1472014</v>
      </c>
      <c r="FSX876" s="30">
        <f ca="1">YEAR(TODAY())-YEAR(FSV876)</f>
        <v>69</v>
      </c>
      <c r="FSY876" s="245"/>
      <c r="FSZ876" s="7" t="s">
        <v>23</v>
      </c>
      <c r="FTA876" s="29"/>
      <c r="FTB876" s="44">
        <v>44198</v>
      </c>
      <c r="FTC876" s="30" t="s">
        <v>22</v>
      </c>
      <c r="FTD876" s="31">
        <v>20890</v>
      </c>
      <c r="FTE876" s="30">
        <v>1472014</v>
      </c>
      <c r="FTF876" s="30">
        <f ca="1">YEAR(TODAY())-YEAR(FTD876)</f>
        <v>69</v>
      </c>
      <c r="FTG876" s="245"/>
      <c r="FTH876" s="7" t="s">
        <v>23</v>
      </c>
      <c r="FTI876" s="29"/>
      <c r="FTJ876" s="44">
        <v>44198</v>
      </c>
      <c r="FTK876" s="30" t="s">
        <v>22</v>
      </c>
      <c r="FTL876" s="31">
        <v>20890</v>
      </c>
      <c r="FTM876" s="30">
        <v>1472014</v>
      </c>
      <c r="FTN876" s="30">
        <f ca="1">YEAR(TODAY())-YEAR(FTL876)</f>
        <v>69</v>
      </c>
      <c r="FTO876" s="245"/>
      <c r="FTP876" s="7" t="s">
        <v>23</v>
      </c>
      <c r="FTQ876" s="29"/>
      <c r="FTR876" s="44">
        <v>44198</v>
      </c>
      <c r="FTS876" s="30" t="s">
        <v>22</v>
      </c>
      <c r="FTT876" s="31">
        <v>20890</v>
      </c>
      <c r="FTU876" s="30">
        <v>1472014</v>
      </c>
      <c r="FTV876" s="30">
        <f ca="1">YEAR(TODAY())-YEAR(FTT876)</f>
        <v>69</v>
      </c>
      <c r="FTW876" s="245"/>
      <c r="FTX876" s="7" t="s">
        <v>23</v>
      </c>
      <c r="FTY876" s="29"/>
      <c r="FTZ876" s="44">
        <v>44198</v>
      </c>
      <c r="FUA876" s="30" t="s">
        <v>22</v>
      </c>
      <c r="FUB876" s="31">
        <v>20890</v>
      </c>
      <c r="FUC876" s="30">
        <v>1472014</v>
      </c>
      <c r="FUD876" s="30">
        <f ca="1">YEAR(TODAY())-YEAR(FUB876)</f>
        <v>69</v>
      </c>
      <c r="FUE876" s="245"/>
      <c r="FUF876" s="7" t="s">
        <v>23</v>
      </c>
      <c r="FUG876" s="29"/>
      <c r="FUH876" s="44">
        <v>44198</v>
      </c>
      <c r="FUI876" s="30" t="s">
        <v>22</v>
      </c>
      <c r="FUJ876" s="31">
        <v>20890</v>
      </c>
      <c r="FUK876" s="30">
        <v>1472014</v>
      </c>
      <c r="FUL876" s="30">
        <f ca="1">YEAR(TODAY())-YEAR(FUJ876)</f>
        <v>69</v>
      </c>
      <c r="FUM876" s="245"/>
      <c r="FUN876" s="7" t="s">
        <v>23</v>
      </c>
      <c r="FUO876" s="29"/>
      <c r="FUP876" s="44">
        <v>44198</v>
      </c>
      <c r="FUQ876" s="30" t="s">
        <v>22</v>
      </c>
      <c r="FUR876" s="31">
        <v>20890</v>
      </c>
      <c r="FUS876" s="30">
        <v>1472014</v>
      </c>
      <c r="FUT876" s="30">
        <f ca="1">YEAR(TODAY())-YEAR(FUR876)</f>
        <v>69</v>
      </c>
      <c r="FUU876" s="245"/>
      <c r="FUV876" s="7" t="s">
        <v>23</v>
      </c>
      <c r="FUW876" s="29"/>
      <c r="FUX876" s="44">
        <v>44198</v>
      </c>
      <c r="FUY876" s="30" t="s">
        <v>22</v>
      </c>
      <c r="FUZ876" s="31">
        <v>20890</v>
      </c>
      <c r="FVA876" s="30">
        <v>1472014</v>
      </c>
      <c r="FVB876" s="30">
        <f ca="1">YEAR(TODAY())-YEAR(FUZ876)</f>
        <v>69</v>
      </c>
      <c r="FVC876" s="245"/>
      <c r="FVD876" s="7" t="s">
        <v>23</v>
      </c>
      <c r="FVE876" s="29"/>
      <c r="FVF876" s="44">
        <v>44198</v>
      </c>
      <c r="FVG876" s="30" t="s">
        <v>22</v>
      </c>
      <c r="FVH876" s="31">
        <v>20890</v>
      </c>
      <c r="FVI876" s="30">
        <v>1472014</v>
      </c>
      <c r="FVJ876" s="30">
        <f ca="1">YEAR(TODAY())-YEAR(FVH876)</f>
        <v>69</v>
      </c>
      <c r="FVK876" s="245"/>
      <c r="FVL876" s="7" t="s">
        <v>23</v>
      </c>
      <c r="FVM876" s="29"/>
      <c r="FVN876" s="44">
        <v>44198</v>
      </c>
      <c r="FVO876" s="30" t="s">
        <v>22</v>
      </c>
      <c r="FVP876" s="31">
        <v>20890</v>
      </c>
      <c r="FVQ876" s="30">
        <v>1472014</v>
      </c>
      <c r="FVR876" s="30">
        <f ca="1">YEAR(TODAY())-YEAR(FVP876)</f>
        <v>69</v>
      </c>
      <c r="FVS876" s="245"/>
      <c r="FVT876" s="7" t="s">
        <v>23</v>
      </c>
      <c r="FVU876" s="29"/>
      <c r="FVV876" s="44">
        <v>44198</v>
      </c>
      <c r="FVW876" s="30" t="s">
        <v>22</v>
      </c>
      <c r="FVX876" s="31">
        <v>20890</v>
      </c>
      <c r="FVY876" s="30">
        <v>1472014</v>
      </c>
      <c r="FVZ876" s="30">
        <f ca="1">YEAR(TODAY())-YEAR(FVX876)</f>
        <v>69</v>
      </c>
      <c r="FWA876" s="245"/>
      <c r="FWB876" s="7" t="s">
        <v>23</v>
      </c>
      <c r="FWC876" s="29"/>
      <c r="FWD876" s="44">
        <v>44198</v>
      </c>
      <c r="FWE876" s="30" t="s">
        <v>22</v>
      </c>
      <c r="FWF876" s="31">
        <v>20890</v>
      </c>
      <c r="FWG876" s="30">
        <v>1472014</v>
      </c>
      <c r="FWH876" s="30">
        <f ca="1">YEAR(TODAY())-YEAR(FWF876)</f>
        <v>69</v>
      </c>
      <c r="FWI876" s="245"/>
      <c r="FWJ876" s="7" t="s">
        <v>23</v>
      </c>
      <c r="FWK876" s="29"/>
      <c r="FWL876" s="44">
        <v>44198</v>
      </c>
      <c r="FWM876" s="30" t="s">
        <v>22</v>
      </c>
      <c r="FWN876" s="31">
        <v>20890</v>
      </c>
      <c r="FWO876" s="30">
        <v>1472014</v>
      </c>
      <c r="FWP876" s="30">
        <f ca="1">YEAR(TODAY())-YEAR(FWN876)</f>
        <v>69</v>
      </c>
      <c r="FWQ876" s="245"/>
      <c r="FWR876" s="7" t="s">
        <v>23</v>
      </c>
      <c r="FWS876" s="29"/>
      <c r="FWT876" s="44">
        <v>44198</v>
      </c>
      <c r="FWU876" s="30" t="s">
        <v>22</v>
      </c>
      <c r="FWV876" s="31">
        <v>20890</v>
      </c>
      <c r="FWW876" s="30">
        <v>1472014</v>
      </c>
      <c r="FWX876" s="30">
        <f ca="1">YEAR(TODAY())-YEAR(FWV876)</f>
        <v>69</v>
      </c>
      <c r="FWY876" s="245"/>
      <c r="FWZ876" s="7" t="s">
        <v>23</v>
      </c>
      <c r="FXA876" s="29"/>
      <c r="FXB876" s="44">
        <v>44198</v>
      </c>
      <c r="FXC876" s="30" t="s">
        <v>22</v>
      </c>
      <c r="FXD876" s="31">
        <v>20890</v>
      </c>
      <c r="FXE876" s="30">
        <v>1472014</v>
      </c>
      <c r="FXF876" s="30">
        <f ca="1">YEAR(TODAY())-YEAR(FXD876)</f>
        <v>69</v>
      </c>
      <c r="FXG876" s="245"/>
      <c r="FXH876" s="7" t="s">
        <v>23</v>
      </c>
      <c r="FXI876" s="29"/>
      <c r="FXJ876" s="44">
        <v>44198</v>
      </c>
      <c r="FXK876" s="30" t="s">
        <v>22</v>
      </c>
      <c r="FXL876" s="31">
        <v>20890</v>
      </c>
      <c r="FXM876" s="30">
        <v>1472014</v>
      </c>
      <c r="FXN876" s="30">
        <f ca="1">YEAR(TODAY())-YEAR(FXL876)</f>
        <v>69</v>
      </c>
      <c r="FXO876" s="245"/>
      <c r="FXP876" s="7" t="s">
        <v>23</v>
      </c>
      <c r="FXQ876" s="29"/>
      <c r="FXR876" s="44">
        <v>44198</v>
      </c>
      <c r="FXS876" s="30" t="s">
        <v>22</v>
      </c>
      <c r="FXT876" s="31">
        <v>20890</v>
      </c>
      <c r="FXU876" s="30">
        <v>1472014</v>
      </c>
      <c r="FXV876" s="30">
        <f ca="1">YEAR(TODAY())-YEAR(FXT876)</f>
        <v>69</v>
      </c>
      <c r="FXW876" s="245"/>
      <c r="FXX876" s="7" t="s">
        <v>23</v>
      </c>
      <c r="FXY876" s="29"/>
      <c r="FXZ876" s="44">
        <v>44198</v>
      </c>
      <c r="FYA876" s="30" t="s">
        <v>22</v>
      </c>
      <c r="FYB876" s="31">
        <v>20890</v>
      </c>
      <c r="FYC876" s="30">
        <v>1472014</v>
      </c>
      <c r="FYD876" s="30">
        <f ca="1">YEAR(TODAY())-YEAR(FYB876)</f>
        <v>69</v>
      </c>
      <c r="FYE876" s="245"/>
      <c r="FYF876" s="7" t="s">
        <v>23</v>
      </c>
      <c r="FYG876" s="29"/>
      <c r="FYH876" s="44">
        <v>44198</v>
      </c>
      <c r="FYI876" s="30" t="s">
        <v>22</v>
      </c>
      <c r="FYJ876" s="31">
        <v>20890</v>
      </c>
      <c r="FYK876" s="30">
        <v>1472014</v>
      </c>
      <c r="FYL876" s="30">
        <f ca="1">YEAR(TODAY())-YEAR(FYJ876)</f>
        <v>69</v>
      </c>
      <c r="FYM876" s="245"/>
      <c r="FYN876" s="7" t="s">
        <v>23</v>
      </c>
      <c r="FYO876" s="29"/>
      <c r="FYP876" s="44">
        <v>44198</v>
      </c>
      <c r="FYQ876" s="30" t="s">
        <v>22</v>
      </c>
      <c r="FYR876" s="31">
        <v>20890</v>
      </c>
      <c r="FYS876" s="30">
        <v>1472014</v>
      </c>
      <c r="FYT876" s="30">
        <f ca="1">YEAR(TODAY())-YEAR(FYR876)</f>
        <v>69</v>
      </c>
      <c r="FYU876" s="245"/>
      <c r="FYV876" s="7" t="s">
        <v>23</v>
      </c>
      <c r="FYW876" s="29"/>
      <c r="FYX876" s="44">
        <v>44198</v>
      </c>
      <c r="FYY876" s="30" t="s">
        <v>22</v>
      </c>
      <c r="FYZ876" s="31">
        <v>20890</v>
      </c>
      <c r="FZA876" s="30">
        <v>1472014</v>
      </c>
      <c r="FZB876" s="30">
        <f ca="1">YEAR(TODAY())-YEAR(FYZ876)</f>
        <v>69</v>
      </c>
      <c r="FZC876" s="245"/>
      <c r="FZD876" s="7" t="s">
        <v>23</v>
      </c>
      <c r="FZE876" s="29"/>
      <c r="FZF876" s="44">
        <v>44198</v>
      </c>
      <c r="FZG876" s="30" t="s">
        <v>22</v>
      </c>
      <c r="FZH876" s="31">
        <v>20890</v>
      </c>
      <c r="FZI876" s="30">
        <v>1472014</v>
      </c>
      <c r="FZJ876" s="30">
        <f ca="1">YEAR(TODAY())-YEAR(FZH876)</f>
        <v>69</v>
      </c>
      <c r="FZK876" s="245"/>
      <c r="FZL876" s="7" t="s">
        <v>23</v>
      </c>
      <c r="FZM876" s="29"/>
      <c r="FZN876" s="44">
        <v>44198</v>
      </c>
      <c r="FZO876" s="30" t="s">
        <v>22</v>
      </c>
      <c r="FZP876" s="31">
        <v>20890</v>
      </c>
      <c r="FZQ876" s="30">
        <v>1472014</v>
      </c>
      <c r="FZR876" s="30">
        <f ca="1">YEAR(TODAY())-YEAR(FZP876)</f>
        <v>69</v>
      </c>
      <c r="FZS876" s="245"/>
      <c r="FZT876" s="7" t="s">
        <v>23</v>
      </c>
      <c r="FZU876" s="29"/>
      <c r="FZV876" s="44">
        <v>44198</v>
      </c>
      <c r="FZW876" s="30" t="s">
        <v>22</v>
      </c>
      <c r="FZX876" s="31">
        <v>20890</v>
      </c>
      <c r="FZY876" s="30">
        <v>1472014</v>
      </c>
      <c r="FZZ876" s="30">
        <f ca="1">YEAR(TODAY())-YEAR(FZX876)</f>
        <v>69</v>
      </c>
      <c r="GAA876" s="245"/>
      <c r="GAB876" s="7" t="s">
        <v>23</v>
      </c>
      <c r="GAC876" s="29"/>
      <c r="GAD876" s="44">
        <v>44198</v>
      </c>
      <c r="GAE876" s="30" t="s">
        <v>22</v>
      </c>
      <c r="GAF876" s="31">
        <v>20890</v>
      </c>
      <c r="GAG876" s="30">
        <v>1472014</v>
      </c>
      <c r="GAH876" s="30">
        <f ca="1">YEAR(TODAY())-YEAR(GAF876)</f>
        <v>69</v>
      </c>
      <c r="GAI876" s="245"/>
      <c r="GAJ876" s="7" t="s">
        <v>23</v>
      </c>
      <c r="GAK876" s="29"/>
      <c r="GAL876" s="44">
        <v>44198</v>
      </c>
      <c r="GAM876" s="30" t="s">
        <v>22</v>
      </c>
      <c r="GAN876" s="31">
        <v>20890</v>
      </c>
      <c r="GAO876" s="30">
        <v>1472014</v>
      </c>
      <c r="GAP876" s="30">
        <f ca="1">YEAR(TODAY())-YEAR(GAN876)</f>
        <v>69</v>
      </c>
      <c r="GAQ876" s="245"/>
      <c r="GAR876" s="7" t="s">
        <v>23</v>
      </c>
      <c r="GAS876" s="29"/>
      <c r="GAT876" s="44">
        <v>44198</v>
      </c>
      <c r="GAU876" s="30" t="s">
        <v>22</v>
      </c>
      <c r="GAV876" s="31">
        <v>20890</v>
      </c>
      <c r="GAW876" s="30">
        <v>1472014</v>
      </c>
      <c r="GAX876" s="30">
        <f ca="1">YEAR(TODAY())-YEAR(GAV876)</f>
        <v>69</v>
      </c>
      <c r="GAY876" s="245"/>
      <c r="GAZ876" s="7" t="s">
        <v>23</v>
      </c>
      <c r="GBA876" s="29"/>
      <c r="GBB876" s="44">
        <v>44198</v>
      </c>
      <c r="GBC876" s="30" t="s">
        <v>22</v>
      </c>
      <c r="GBD876" s="31">
        <v>20890</v>
      </c>
      <c r="GBE876" s="30">
        <v>1472014</v>
      </c>
      <c r="GBF876" s="30">
        <f ca="1">YEAR(TODAY())-YEAR(GBD876)</f>
        <v>69</v>
      </c>
      <c r="GBG876" s="245"/>
      <c r="GBH876" s="7" t="s">
        <v>23</v>
      </c>
      <c r="GBI876" s="29"/>
      <c r="GBJ876" s="44">
        <v>44198</v>
      </c>
      <c r="GBK876" s="30" t="s">
        <v>22</v>
      </c>
      <c r="GBL876" s="31">
        <v>20890</v>
      </c>
      <c r="GBM876" s="30">
        <v>1472014</v>
      </c>
      <c r="GBN876" s="30">
        <f ca="1">YEAR(TODAY())-YEAR(GBL876)</f>
        <v>69</v>
      </c>
      <c r="GBO876" s="245"/>
      <c r="GBP876" s="7" t="s">
        <v>23</v>
      </c>
      <c r="GBQ876" s="29"/>
      <c r="GBR876" s="44">
        <v>44198</v>
      </c>
      <c r="GBS876" s="30" t="s">
        <v>22</v>
      </c>
      <c r="GBT876" s="31">
        <v>20890</v>
      </c>
      <c r="GBU876" s="30">
        <v>1472014</v>
      </c>
      <c r="GBV876" s="30">
        <f ca="1">YEAR(TODAY())-YEAR(GBT876)</f>
        <v>69</v>
      </c>
      <c r="GBW876" s="245"/>
      <c r="GBX876" s="7" t="s">
        <v>23</v>
      </c>
      <c r="GBY876" s="29"/>
      <c r="GBZ876" s="44">
        <v>44198</v>
      </c>
      <c r="GCA876" s="30" t="s">
        <v>22</v>
      </c>
      <c r="GCB876" s="31">
        <v>20890</v>
      </c>
      <c r="GCC876" s="30">
        <v>1472014</v>
      </c>
      <c r="GCD876" s="30">
        <f ca="1">YEAR(TODAY())-YEAR(GCB876)</f>
        <v>69</v>
      </c>
      <c r="GCE876" s="245"/>
      <c r="GCF876" s="7" t="s">
        <v>23</v>
      </c>
      <c r="GCG876" s="29"/>
      <c r="GCH876" s="44">
        <v>44198</v>
      </c>
      <c r="GCI876" s="30" t="s">
        <v>22</v>
      </c>
      <c r="GCJ876" s="31">
        <v>20890</v>
      </c>
      <c r="GCK876" s="30">
        <v>1472014</v>
      </c>
      <c r="GCL876" s="30">
        <f ca="1">YEAR(TODAY())-YEAR(GCJ876)</f>
        <v>69</v>
      </c>
      <c r="GCM876" s="245"/>
      <c r="GCN876" s="7" t="s">
        <v>23</v>
      </c>
      <c r="GCO876" s="29"/>
      <c r="GCP876" s="44">
        <v>44198</v>
      </c>
      <c r="GCQ876" s="30" t="s">
        <v>22</v>
      </c>
      <c r="GCR876" s="31">
        <v>20890</v>
      </c>
      <c r="GCS876" s="30">
        <v>1472014</v>
      </c>
      <c r="GCT876" s="30">
        <f ca="1">YEAR(TODAY())-YEAR(GCR876)</f>
        <v>69</v>
      </c>
      <c r="GCU876" s="245"/>
      <c r="GCV876" s="7" t="s">
        <v>23</v>
      </c>
      <c r="GCW876" s="29"/>
      <c r="GCX876" s="44">
        <v>44198</v>
      </c>
      <c r="GCY876" s="30" t="s">
        <v>22</v>
      </c>
      <c r="GCZ876" s="31">
        <v>20890</v>
      </c>
      <c r="GDA876" s="30">
        <v>1472014</v>
      </c>
      <c r="GDB876" s="30">
        <f ca="1">YEAR(TODAY())-YEAR(GCZ876)</f>
        <v>69</v>
      </c>
      <c r="GDC876" s="245"/>
      <c r="GDD876" s="7" t="s">
        <v>23</v>
      </c>
      <c r="GDE876" s="29"/>
      <c r="GDF876" s="44">
        <v>44198</v>
      </c>
      <c r="GDG876" s="30" t="s">
        <v>22</v>
      </c>
      <c r="GDH876" s="31">
        <v>20890</v>
      </c>
      <c r="GDI876" s="30">
        <v>1472014</v>
      </c>
      <c r="GDJ876" s="30">
        <f ca="1">YEAR(TODAY())-YEAR(GDH876)</f>
        <v>69</v>
      </c>
      <c r="GDK876" s="245"/>
      <c r="GDL876" s="7" t="s">
        <v>23</v>
      </c>
      <c r="GDM876" s="29"/>
      <c r="GDN876" s="44">
        <v>44198</v>
      </c>
      <c r="GDO876" s="30" t="s">
        <v>22</v>
      </c>
      <c r="GDP876" s="31">
        <v>20890</v>
      </c>
      <c r="GDQ876" s="30">
        <v>1472014</v>
      </c>
      <c r="GDR876" s="30">
        <f ca="1">YEAR(TODAY())-YEAR(GDP876)</f>
        <v>69</v>
      </c>
      <c r="GDS876" s="245"/>
      <c r="GDT876" s="7" t="s">
        <v>23</v>
      </c>
      <c r="GDU876" s="29"/>
      <c r="GDV876" s="44">
        <v>44198</v>
      </c>
      <c r="GDW876" s="30" t="s">
        <v>22</v>
      </c>
      <c r="GDX876" s="31">
        <v>20890</v>
      </c>
      <c r="GDY876" s="30">
        <v>1472014</v>
      </c>
      <c r="GDZ876" s="30">
        <f ca="1">YEAR(TODAY())-YEAR(GDX876)</f>
        <v>69</v>
      </c>
      <c r="GEA876" s="245"/>
      <c r="GEB876" s="7" t="s">
        <v>23</v>
      </c>
      <c r="GEC876" s="29"/>
      <c r="GED876" s="44">
        <v>44198</v>
      </c>
      <c r="GEE876" s="30" t="s">
        <v>22</v>
      </c>
      <c r="GEF876" s="31">
        <v>20890</v>
      </c>
      <c r="GEG876" s="30">
        <v>1472014</v>
      </c>
      <c r="GEH876" s="30">
        <f ca="1">YEAR(TODAY())-YEAR(GEF876)</f>
        <v>69</v>
      </c>
      <c r="GEI876" s="245"/>
      <c r="GEJ876" s="7" t="s">
        <v>23</v>
      </c>
      <c r="GEK876" s="29"/>
      <c r="GEL876" s="44">
        <v>44198</v>
      </c>
      <c r="GEM876" s="30" t="s">
        <v>22</v>
      </c>
      <c r="GEN876" s="31">
        <v>20890</v>
      </c>
      <c r="GEO876" s="30">
        <v>1472014</v>
      </c>
      <c r="GEP876" s="30">
        <f ca="1">YEAR(TODAY())-YEAR(GEN876)</f>
        <v>69</v>
      </c>
      <c r="GEQ876" s="245"/>
      <c r="GER876" s="7" t="s">
        <v>23</v>
      </c>
      <c r="GES876" s="29"/>
      <c r="GET876" s="44">
        <v>44198</v>
      </c>
      <c r="GEU876" s="30" t="s">
        <v>22</v>
      </c>
      <c r="GEV876" s="31">
        <v>20890</v>
      </c>
      <c r="GEW876" s="30">
        <v>1472014</v>
      </c>
      <c r="GEX876" s="30">
        <f ca="1">YEAR(TODAY())-YEAR(GEV876)</f>
        <v>69</v>
      </c>
      <c r="GEY876" s="245"/>
      <c r="GEZ876" s="7" t="s">
        <v>23</v>
      </c>
      <c r="GFA876" s="29"/>
      <c r="GFB876" s="44">
        <v>44198</v>
      </c>
      <c r="GFC876" s="30" t="s">
        <v>22</v>
      </c>
      <c r="GFD876" s="31">
        <v>20890</v>
      </c>
      <c r="GFE876" s="30">
        <v>1472014</v>
      </c>
      <c r="GFF876" s="30">
        <f ca="1">YEAR(TODAY())-YEAR(GFD876)</f>
        <v>69</v>
      </c>
      <c r="GFG876" s="245"/>
      <c r="GFH876" s="7" t="s">
        <v>23</v>
      </c>
      <c r="GFI876" s="29"/>
      <c r="GFJ876" s="44">
        <v>44198</v>
      </c>
      <c r="GFK876" s="30" t="s">
        <v>22</v>
      </c>
      <c r="GFL876" s="31">
        <v>20890</v>
      </c>
      <c r="GFM876" s="30">
        <v>1472014</v>
      </c>
      <c r="GFN876" s="30">
        <f ca="1">YEAR(TODAY())-YEAR(GFL876)</f>
        <v>69</v>
      </c>
      <c r="GFO876" s="245"/>
      <c r="GFP876" s="7" t="s">
        <v>23</v>
      </c>
      <c r="GFQ876" s="29"/>
      <c r="GFR876" s="44">
        <v>44198</v>
      </c>
      <c r="GFS876" s="30" t="s">
        <v>22</v>
      </c>
      <c r="GFT876" s="31">
        <v>20890</v>
      </c>
      <c r="GFU876" s="30">
        <v>1472014</v>
      </c>
      <c r="GFV876" s="30">
        <f ca="1">YEAR(TODAY())-YEAR(GFT876)</f>
        <v>69</v>
      </c>
      <c r="GFW876" s="245"/>
      <c r="GFX876" s="7" t="s">
        <v>23</v>
      </c>
      <c r="GFY876" s="29"/>
      <c r="GFZ876" s="44">
        <v>44198</v>
      </c>
      <c r="GGA876" s="30" t="s">
        <v>22</v>
      </c>
      <c r="GGB876" s="31">
        <v>20890</v>
      </c>
      <c r="GGC876" s="30">
        <v>1472014</v>
      </c>
      <c r="GGD876" s="30">
        <f ca="1">YEAR(TODAY())-YEAR(GGB876)</f>
        <v>69</v>
      </c>
      <c r="GGE876" s="245"/>
      <c r="GGF876" s="7" t="s">
        <v>23</v>
      </c>
      <c r="GGG876" s="29"/>
      <c r="GGH876" s="44">
        <v>44198</v>
      </c>
      <c r="GGI876" s="30" t="s">
        <v>22</v>
      </c>
      <c r="GGJ876" s="31">
        <v>20890</v>
      </c>
      <c r="GGK876" s="30">
        <v>1472014</v>
      </c>
      <c r="GGL876" s="30">
        <f ca="1">YEAR(TODAY())-YEAR(GGJ876)</f>
        <v>69</v>
      </c>
      <c r="GGM876" s="245"/>
      <c r="GGN876" s="7" t="s">
        <v>23</v>
      </c>
      <c r="GGO876" s="29"/>
      <c r="GGP876" s="44">
        <v>44198</v>
      </c>
      <c r="GGQ876" s="30" t="s">
        <v>22</v>
      </c>
      <c r="GGR876" s="31">
        <v>20890</v>
      </c>
      <c r="GGS876" s="30">
        <v>1472014</v>
      </c>
      <c r="GGT876" s="30">
        <f ca="1">YEAR(TODAY())-YEAR(GGR876)</f>
        <v>69</v>
      </c>
      <c r="GGU876" s="245"/>
      <c r="GGV876" s="7" t="s">
        <v>23</v>
      </c>
      <c r="GGW876" s="29"/>
      <c r="GGX876" s="44">
        <v>44198</v>
      </c>
      <c r="GGY876" s="30" t="s">
        <v>22</v>
      </c>
      <c r="GGZ876" s="31">
        <v>20890</v>
      </c>
      <c r="GHA876" s="30">
        <v>1472014</v>
      </c>
      <c r="GHB876" s="30">
        <f ca="1">YEAR(TODAY())-YEAR(GGZ876)</f>
        <v>69</v>
      </c>
      <c r="GHC876" s="245"/>
      <c r="GHD876" s="7" t="s">
        <v>23</v>
      </c>
      <c r="GHE876" s="29"/>
      <c r="GHF876" s="44">
        <v>44198</v>
      </c>
      <c r="GHG876" s="30" t="s">
        <v>22</v>
      </c>
      <c r="GHH876" s="31">
        <v>20890</v>
      </c>
      <c r="GHI876" s="30">
        <v>1472014</v>
      </c>
      <c r="GHJ876" s="30">
        <f ca="1">YEAR(TODAY())-YEAR(GHH876)</f>
        <v>69</v>
      </c>
      <c r="GHK876" s="245"/>
      <c r="GHL876" s="7" t="s">
        <v>23</v>
      </c>
      <c r="GHM876" s="29"/>
      <c r="GHN876" s="44">
        <v>44198</v>
      </c>
      <c r="GHO876" s="30" t="s">
        <v>22</v>
      </c>
      <c r="GHP876" s="31">
        <v>20890</v>
      </c>
      <c r="GHQ876" s="30">
        <v>1472014</v>
      </c>
      <c r="GHR876" s="30">
        <f ca="1">YEAR(TODAY())-YEAR(GHP876)</f>
        <v>69</v>
      </c>
      <c r="GHS876" s="245"/>
      <c r="GHT876" s="7" t="s">
        <v>23</v>
      </c>
      <c r="GHU876" s="29"/>
      <c r="GHV876" s="44">
        <v>44198</v>
      </c>
      <c r="GHW876" s="30" t="s">
        <v>22</v>
      </c>
      <c r="GHX876" s="31">
        <v>20890</v>
      </c>
      <c r="GHY876" s="30">
        <v>1472014</v>
      </c>
      <c r="GHZ876" s="30">
        <f ca="1">YEAR(TODAY())-YEAR(GHX876)</f>
        <v>69</v>
      </c>
      <c r="GIA876" s="245"/>
      <c r="GIB876" s="7" t="s">
        <v>23</v>
      </c>
      <c r="GIC876" s="29"/>
      <c r="GID876" s="44">
        <v>44198</v>
      </c>
      <c r="GIE876" s="30" t="s">
        <v>22</v>
      </c>
      <c r="GIF876" s="31">
        <v>20890</v>
      </c>
      <c r="GIG876" s="30">
        <v>1472014</v>
      </c>
      <c r="GIH876" s="30">
        <f ca="1">YEAR(TODAY())-YEAR(GIF876)</f>
        <v>69</v>
      </c>
      <c r="GII876" s="245"/>
      <c r="GIJ876" s="7" t="s">
        <v>23</v>
      </c>
      <c r="GIK876" s="29"/>
      <c r="GIL876" s="44">
        <v>44198</v>
      </c>
      <c r="GIM876" s="30" t="s">
        <v>22</v>
      </c>
      <c r="GIN876" s="31">
        <v>20890</v>
      </c>
      <c r="GIO876" s="30">
        <v>1472014</v>
      </c>
      <c r="GIP876" s="30">
        <f ca="1">YEAR(TODAY())-YEAR(GIN876)</f>
        <v>69</v>
      </c>
      <c r="GIQ876" s="245"/>
      <c r="GIR876" s="7" t="s">
        <v>23</v>
      </c>
      <c r="GIS876" s="29"/>
      <c r="GIT876" s="44">
        <v>44198</v>
      </c>
      <c r="GIU876" s="30" t="s">
        <v>22</v>
      </c>
      <c r="GIV876" s="31">
        <v>20890</v>
      </c>
      <c r="GIW876" s="30">
        <v>1472014</v>
      </c>
      <c r="GIX876" s="30">
        <f ca="1">YEAR(TODAY())-YEAR(GIV876)</f>
        <v>69</v>
      </c>
      <c r="GIY876" s="245"/>
      <c r="GIZ876" s="7" t="s">
        <v>23</v>
      </c>
      <c r="GJA876" s="29"/>
      <c r="GJB876" s="44">
        <v>44198</v>
      </c>
      <c r="GJC876" s="30" t="s">
        <v>22</v>
      </c>
      <c r="GJD876" s="31">
        <v>20890</v>
      </c>
      <c r="GJE876" s="30">
        <v>1472014</v>
      </c>
      <c r="GJF876" s="30">
        <f ca="1">YEAR(TODAY())-YEAR(GJD876)</f>
        <v>69</v>
      </c>
      <c r="GJG876" s="245"/>
      <c r="GJH876" s="7" t="s">
        <v>23</v>
      </c>
      <c r="GJI876" s="29"/>
      <c r="GJJ876" s="44">
        <v>44198</v>
      </c>
      <c r="GJK876" s="30" t="s">
        <v>22</v>
      </c>
      <c r="GJL876" s="31">
        <v>20890</v>
      </c>
      <c r="GJM876" s="30">
        <v>1472014</v>
      </c>
      <c r="GJN876" s="30">
        <f ca="1">YEAR(TODAY())-YEAR(GJL876)</f>
        <v>69</v>
      </c>
      <c r="GJO876" s="245"/>
      <c r="GJP876" s="7" t="s">
        <v>23</v>
      </c>
      <c r="GJQ876" s="29"/>
      <c r="GJR876" s="44">
        <v>44198</v>
      </c>
      <c r="GJS876" s="30" t="s">
        <v>22</v>
      </c>
      <c r="GJT876" s="31">
        <v>20890</v>
      </c>
      <c r="GJU876" s="30">
        <v>1472014</v>
      </c>
      <c r="GJV876" s="30">
        <f ca="1">YEAR(TODAY())-YEAR(GJT876)</f>
        <v>69</v>
      </c>
      <c r="GJW876" s="245"/>
      <c r="GJX876" s="7" t="s">
        <v>23</v>
      </c>
      <c r="GJY876" s="29"/>
      <c r="GJZ876" s="44">
        <v>44198</v>
      </c>
      <c r="GKA876" s="30" t="s">
        <v>22</v>
      </c>
      <c r="GKB876" s="31">
        <v>20890</v>
      </c>
      <c r="GKC876" s="30">
        <v>1472014</v>
      </c>
      <c r="GKD876" s="30">
        <f ca="1">YEAR(TODAY())-YEAR(GKB876)</f>
        <v>69</v>
      </c>
      <c r="GKE876" s="245"/>
      <c r="GKF876" s="7" t="s">
        <v>23</v>
      </c>
      <c r="GKG876" s="29"/>
      <c r="GKH876" s="44">
        <v>44198</v>
      </c>
      <c r="GKI876" s="30" t="s">
        <v>22</v>
      </c>
      <c r="GKJ876" s="31">
        <v>20890</v>
      </c>
      <c r="GKK876" s="30">
        <v>1472014</v>
      </c>
      <c r="GKL876" s="30">
        <f ca="1">YEAR(TODAY())-YEAR(GKJ876)</f>
        <v>69</v>
      </c>
      <c r="GKM876" s="245"/>
      <c r="GKN876" s="7" t="s">
        <v>23</v>
      </c>
      <c r="GKO876" s="29"/>
      <c r="GKP876" s="44">
        <v>44198</v>
      </c>
      <c r="GKQ876" s="30" t="s">
        <v>22</v>
      </c>
      <c r="GKR876" s="31">
        <v>20890</v>
      </c>
      <c r="GKS876" s="30">
        <v>1472014</v>
      </c>
      <c r="GKT876" s="30">
        <f ca="1">YEAR(TODAY())-YEAR(GKR876)</f>
        <v>69</v>
      </c>
      <c r="GKU876" s="245"/>
      <c r="GKV876" s="7" t="s">
        <v>23</v>
      </c>
      <c r="GKW876" s="29"/>
      <c r="GKX876" s="44">
        <v>44198</v>
      </c>
      <c r="GKY876" s="30" t="s">
        <v>22</v>
      </c>
      <c r="GKZ876" s="31">
        <v>20890</v>
      </c>
      <c r="GLA876" s="30">
        <v>1472014</v>
      </c>
      <c r="GLB876" s="30">
        <f ca="1">YEAR(TODAY())-YEAR(GKZ876)</f>
        <v>69</v>
      </c>
      <c r="GLC876" s="245"/>
      <c r="GLD876" s="7" t="s">
        <v>23</v>
      </c>
      <c r="GLE876" s="29"/>
      <c r="GLF876" s="44">
        <v>44198</v>
      </c>
      <c r="GLG876" s="30" t="s">
        <v>22</v>
      </c>
      <c r="GLH876" s="31">
        <v>20890</v>
      </c>
      <c r="GLI876" s="30">
        <v>1472014</v>
      </c>
      <c r="GLJ876" s="30">
        <f ca="1">YEAR(TODAY())-YEAR(GLH876)</f>
        <v>69</v>
      </c>
      <c r="GLK876" s="245"/>
      <c r="GLL876" s="7" t="s">
        <v>23</v>
      </c>
      <c r="GLM876" s="29"/>
      <c r="GLN876" s="44">
        <v>44198</v>
      </c>
      <c r="GLO876" s="30" t="s">
        <v>22</v>
      </c>
      <c r="GLP876" s="31">
        <v>20890</v>
      </c>
      <c r="GLQ876" s="30">
        <v>1472014</v>
      </c>
      <c r="GLR876" s="30">
        <f ca="1">YEAR(TODAY())-YEAR(GLP876)</f>
        <v>69</v>
      </c>
      <c r="GLS876" s="245"/>
      <c r="GLT876" s="7" t="s">
        <v>23</v>
      </c>
      <c r="GLU876" s="29"/>
      <c r="GLV876" s="44">
        <v>44198</v>
      </c>
      <c r="GLW876" s="30" t="s">
        <v>22</v>
      </c>
      <c r="GLX876" s="31">
        <v>20890</v>
      </c>
      <c r="GLY876" s="30">
        <v>1472014</v>
      </c>
      <c r="GLZ876" s="30">
        <f ca="1">YEAR(TODAY())-YEAR(GLX876)</f>
        <v>69</v>
      </c>
      <c r="GMA876" s="245"/>
      <c r="GMB876" s="7" t="s">
        <v>23</v>
      </c>
      <c r="GMC876" s="29"/>
      <c r="GMD876" s="44">
        <v>44198</v>
      </c>
      <c r="GME876" s="30" t="s">
        <v>22</v>
      </c>
      <c r="GMF876" s="31">
        <v>20890</v>
      </c>
      <c r="GMG876" s="30">
        <v>1472014</v>
      </c>
      <c r="GMH876" s="30">
        <f ca="1">YEAR(TODAY())-YEAR(GMF876)</f>
        <v>69</v>
      </c>
      <c r="GMI876" s="245"/>
      <c r="GMJ876" s="7" t="s">
        <v>23</v>
      </c>
      <c r="GMK876" s="29"/>
      <c r="GML876" s="44">
        <v>44198</v>
      </c>
      <c r="GMM876" s="30" t="s">
        <v>22</v>
      </c>
      <c r="GMN876" s="31">
        <v>20890</v>
      </c>
      <c r="GMO876" s="30">
        <v>1472014</v>
      </c>
      <c r="GMP876" s="30">
        <f ca="1">YEAR(TODAY())-YEAR(GMN876)</f>
        <v>69</v>
      </c>
      <c r="GMQ876" s="245"/>
      <c r="GMR876" s="7" t="s">
        <v>23</v>
      </c>
      <c r="GMS876" s="29"/>
      <c r="GMT876" s="44">
        <v>44198</v>
      </c>
      <c r="GMU876" s="30" t="s">
        <v>22</v>
      </c>
      <c r="GMV876" s="31">
        <v>20890</v>
      </c>
      <c r="GMW876" s="30">
        <v>1472014</v>
      </c>
      <c r="GMX876" s="30">
        <f ca="1">YEAR(TODAY())-YEAR(GMV876)</f>
        <v>69</v>
      </c>
      <c r="GMY876" s="245"/>
      <c r="GMZ876" s="7" t="s">
        <v>23</v>
      </c>
      <c r="GNA876" s="29"/>
      <c r="GNB876" s="44">
        <v>44198</v>
      </c>
      <c r="GNC876" s="30" t="s">
        <v>22</v>
      </c>
      <c r="GND876" s="31">
        <v>20890</v>
      </c>
      <c r="GNE876" s="30">
        <v>1472014</v>
      </c>
      <c r="GNF876" s="30">
        <f ca="1">YEAR(TODAY())-YEAR(GND876)</f>
        <v>69</v>
      </c>
      <c r="GNG876" s="245"/>
      <c r="GNH876" s="7" t="s">
        <v>23</v>
      </c>
      <c r="GNI876" s="29"/>
      <c r="GNJ876" s="44">
        <v>44198</v>
      </c>
      <c r="GNK876" s="30" t="s">
        <v>22</v>
      </c>
      <c r="GNL876" s="31">
        <v>20890</v>
      </c>
      <c r="GNM876" s="30">
        <v>1472014</v>
      </c>
      <c r="GNN876" s="30">
        <f ca="1">YEAR(TODAY())-YEAR(GNL876)</f>
        <v>69</v>
      </c>
      <c r="GNO876" s="245"/>
      <c r="GNP876" s="7" t="s">
        <v>23</v>
      </c>
      <c r="GNQ876" s="29"/>
      <c r="GNR876" s="44">
        <v>44198</v>
      </c>
      <c r="GNS876" s="30" t="s">
        <v>22</v>
      </c>
      <c r="GNT876" s="31">
        <v>20890</v>
      </c>
      <c r="GNU876" s="30">
        <v>1472014</v>
      </c>
      <c r="GNV876" s="30">
        <f ca="1">YEAR(TODAY())-YEAR(GNT876)</f>
        <v>69</v>
      </c>
      <c r="GNW876" s="245"/>
      <c r="GNX876" s="7" t="s">
        <v>23</v>
      </c>
      <c r="GNY876" s="29"/>
      <c r="GNZ876" s="44">
        <v>44198</v>
      </c>
      <c r="GOA876" s="30" t="s">
        <v>22</v>
      </c>
      <c r="GOB876" s="31">
        <v>20890</v>
      </c>
      <c r="GOC876" s="30">
        <v>1472014</v>
      </c>
      <c r="GOD876" s="30">
        <f ca="1">YEAR(TODAY())-YEAR(GOB876)</f>
        <v>69</v>
      </c>
      <c r="GOE876" s="245"/>
      <c r="GOF876" s="7" t="s">
        <v>23</v>
      </c>
      <c r="GOG876" s="29"/>
      <c r="GOH876" s="44">
        <v>44198</v>
      </c>
      <c r="GOI876" s="30" t="s">
        <v>22</v>
      </c>
      <c r="GOJ876" s="31">
        <v>20890</v>
      </c>
      <c r="GOK876" s="30">
        <v>1472014</v>
      </c>
      <c r="GOL876" s="30">
        <f ca="1">YEAR(TODAY())-YEAR(GOJ876)</f>
        <v>69</v>
      </c>
      <c r="GOM876" s="245"/>
      <c r="GON876" s="7" t="s">
        <v>23</v>
      </c>
      <c r="GOO876" s="29"/>
      <c r="GOP876" s="44">
        <v>44198</v>
      </c>
      <c r="GOQ876" s="30" t="s">
        <v>22</v>
      </c>
      <c r="GOR876" s="31">
        <v>20890</v>
      </c>
      <c r="GOS876" s="30">
        <v>1472014</v>
      </c>
      <c r="GOT876" s="30">
        <f ca="1">YEAR(TODAY())-YEAR(GOR876)</f>
        <v>69</v>
      </c>
      <c r="GOU876" s="245"/>
      <c r="GOV876" s="7" t="s">
        <v>23</v>
      </c>
      <c r="GOW876" s="29"/>
      <c r="GOX876" s="44">
        <v>44198</v>
      </c>
      <c r="GOY876" s="30" t="s">
        <v>22</v>
      </c>
      <c r="GOZ876" s="31">
        <v>20890</v>
      </c>
      <c r="GPA876" s="30">
        <v>1472014</v>
      </c>
      <c r="GPB876" s="30">
        <f ca="1">YEAR(TODAY())-YEAR(GOZ876)</f>
        <v>69</v>
      </c>
      <c r="GPC876" s="245"/>
      <c r="GPD876" s="7" t="s">
        <v>23</v>
      </c>
      <c r="GPE876" s="29"/>
      <c r="GPF876" s="44">
        <v>44198</v>
      </c>
      <c r="GPG876" s="30" t="s">
        <v>22</v>
      </c>
      <c r="GPH876" s="31">
        <v>20890</v>
      </c>
      <c r="GPI876" s="30">
        <v>1472014</v>
      </c>
      <c r="GPJ876" s="30">
        <f ca="1">YEAR(TODAY())-YEAR(GPH876)</f>
        <v>69</v>
      </c>
      <c r="GPK876" s="245"/>
      <c r="GPL876" s="7" t="s">
        <v>23</v>
      </c>
      <c r="GPM876" s="29"/>
      <c r="GPN876" s="44">
        <v>44198</v>
      </c>
      <c r="GPO876" s="30" t="s">
        <v>22</v>
      </c>
      <c r="GPP876" s="31">
        <v>20890</v>
      </c>
      <c r="GPQ876" s="30">
        <v>1472014</v>
      </c>
      <c r="GPR876" s="30">
        <f ca="1">YEAR(TODAY())-YEAR(GPP876)</f>
        <v>69</v>
      </c>
      <c r="GPS876" s="245"/>
      <c r="GPT876" s="7" t="s">
        <v>23</v>
      </c>
      <c r="GPU876" s="29"/>
      <c r="GPV876" s="44">
        <v>44198</v>
      </c>
      <c r="GPW876" s="30" t="s">
        <v>22</v>
      </c>
      <c r="GPX876" s="31">
        <v>20890</v>
      </c>
      <c r="GPY876" s="30">
        <v>1472014</v>
      </c>
      <c r="GPZ876" s="30">
        <f ca="1">YEAR(TODAY())-YEAR(GPX876)</f>
        <v>69</v>
      </c>
      <c r="GQA876" s="245"/>
      <c r="GQB876" s="7" t="s">
        <v>23</v>
      </c>
      <c r="GQC876" s="29"/>
      <c r="GQD876" s="44">
        <v>44198</v>
      </c>
      <c r="GQE876" s="30" t="s">
        <v>22</v>
      </c>
      <c r="GQF876" s="31">
        <v>20890</v>
      </c>
      <c r="GQG876" s="30">
        <v>1472014</v>
      </c>
      <c r="GQH876" s="30">
        <f ca="1">YEAR(TODAY())-YEAR(GQF876)</f>
        <v>69</v>
      </c>
      <c r="GQI876" s="245"/>
      <c r="GQJ876" s="7" t="s">
        <v>23</v>
      </c>
      <c r="GQK876" s="29"/>
      <c r="GQL876" s="44">
        <v>44198</v>
      </c>
      <c r="GQM876" s="30" t="s">
        <v>22</v>
      </c>
      <c r="GQN876" s="31">
        <v>20890</v>
      </c>
      <c r="GQO876" s="30">
        <v>1472014</v>
      </c>
      <c r="GQP876" s="30">
        <f ca="1">YEAR(TODAY())-YEAR(GQN876)</f>
        <v>69</v>
      </c>
      <c r="GQQ876" s="245"/>
      <c r="GQR876" s="7" t="s">
        <v>23</v>
      </c>
      <c r="GQS876" s="29"/>
      <c r="GQT876" s="44">
        <v>44198</v>
      </c>
      <c r="GQU876" s="30" t="s">
        <v>22</v>
      </c>
      <c r="GQV876" s="31">
        <v>20890</v>
      </c>
      <c r="GQW876" s="30">
        <v>1472014</v>
      </c>
      <c r="GQX876" s="30">
        <f ca="1">YEAR(TODAY())-YEAR(GQV876)</f>
        <v>69</v>
      </c>
      <c r="GQY876" s="245"/>
      <c r="GQZ876" s="7" t="s">
        <v>23</v>
      </c>
      <c r="GRA876" s="29"/>
      <c r="GRB876" s="44">
        <v>44198</v>
      </c>
      <c r="GRC876" s="30" t="s">
        <v>22</v>
      </c>
      <c r="GRD876" s="31">
        <v>20890</v>
      </c>
      <c r="GRE876" s="30">
        <v>1472014</v>
      </c>
      <c r="GRF876" s="30">
        <f ca="1">YEAR(TODAY())-YEAR(GRD876)</f>
        <v>69</v>
      </c>
      <c r="GRG876" s="245"/>
      <c r="GRH876" s="7" t="s">
        <v>23</v>
      </c>
      <c r="GRI876" s="29"/>
      <c r="GRJ876" s="44">
        <v>44198</v>
      </c>
      <c r="GRK876" s="30" t="s">
        <v>22</v>
      </c>
      <c r="GRL876" s="31">
        <v>20890</v>
      </c>
      <c r="GRM876" s="30">
        <v>1472014</v>
      </c>
      <c r="GRN876" s="30">
        <f ca="1">YEAR(TODAY())-YEAR(GRL876)</f>
        <v>69</v>
      </c>
      <c r="GRO876" s="245"/>
      <c r="GRP876" s="7" t="s">
        <v>23</v>
      </c>
      <c r="GRQ876" s="29"/>
      <c r="GRR876" s="44">
        <v>44198</v>
      </c>
      <c r="GRS876" s="30" t="s">
        <v>22</v>
      </c>
      <c r="GRT876" s="31">
        <v>20890</v>
      </c>
      <c r="GRU876" s="30">
        <v>1472014</v>
      </c>
      <c r="GRV876" s="30">
        <f ca="1">YEAR(TODAY())-YEAR(GRT876)</f>
        <v>69</v>
      </c>
      <c r="GRW876" s="245"/>
      <c r="GRX876" s="7" t="s">
        <v>23</v>
      </c>
      <c r="GRY876" s="29"/>
      <c r="GRZ876" s="44">
        <v>44198</v>
      </c>
      <c r="GSA876" s="30" t="s">
        <v>22</v>
      </c>
      <c r="GSB876" s="31">
        <v>20890</v>
      </c>
      <c r="GSC876" s="30">
        <v>1472014</v>
      </c>
      <c r="GSD876" s="30">
        <f ca="1">YEAR(TODAY())-YEAR(GSB876)</f>
        <v>69</v>
      </c>
      <c r="GSE876" s="245"/>
      <c r="GSF876" s="7" t="s">
        <v>23</v>
      </c>
      <c r="GSG876" s="29"/>
      <c r="GSH876" s="44">
        <v>44198</v>
      </c>
      <c r="GSI876" s="30" t="s">
        <v>22</v>
      </c>
      <c r="GSJ876" s="31">
        <v>20890</v>
      </c>
      <c r="GSK876" s="30">
        <v>1472014</v>
      </c>
      <c r="GSL876" s="30">
        <f ca="1">YEAR(TODAY())-YEAR(GSJ876)</f>
        <v>69</v>
      </c>
      <c r="GSM876" s="245"/>
      <c r="GSN876" s="7" t="s">
        <v>23</v>
      </c>
      <c r="GSO876" s="29"/>
      <c r="GSP876" s="44">
        <v>44198</v>
      </c>
      <c r="GSQ876" s="30" t="s">
        <v>22</v>
      </c>
      <c r="GSR876" s="31">
        <v>20890</v>
      </c>
      <c r="GSS876" s="30">
        <v>1472014</v>
      </c>
      <c r="GST876" s="30">
        <f ca="1">YEAR(TODAY())-YEAR(GSR876)</f>
        <v>69</v>
      </c>
      <c r="GSU876" s="245"/>
      <c r="GSV876" s="7" t="s">
        <v>23</v>
      </c>
      <c r="GSW876" s="29"/>
      <c r="GSX876" s="44">
        <v>44198</v>
      </c>
      <c r="GSY876" s="30" t="s">
        <v>22</v>
      </c>
      <c r="GSZ876" s="31">
        <v>20890</v>
      </c>
      <c r="GTA876" s="30">
        <v>1472014</v>
      </c>
      <c r="GTB876" s="30">
        <f ca="1">YEAR(TODAY())-YEAR(GSZ876)</f>
        <v>69</v>
      </c>
      <c r="GTC876" s="245"/>
      <c r="GTD876" s="7" t="s">
        <v>23</v>
      </c>
      <c r="GTE876" s="29"/>
      <c r="GTF876" s="44">
        <v>44198</v>
      </c>
      <c r="GTG876" s="30" t="s">
        <v>22</v>
      </c>
      <c r="GTH876" s="31">
        <v>20890</v>
      </c>
      <c r="GTI876" s="30">
        <v>1472014</v>
      </c>
      <c r="GTJ876" s="30">
        <f ca="1">YEAR(TODAY())-YEAR(GTH876)</f>
        <v>69</v>
      </c>
      <c r="GTK876" s="245"/>
      <c r="GTL876" s="7" t="s">
        <v>23</v>
      </c>
      <c r="GTM876" s="29"/>
      <c r="GTN876" s="44">
        <v>44198</v>
      </c>
      <c r="GTO876" s="30" t="s">
        <v>22</v>
      </c>
      <c r="GTP876" s="31">
        <v>20890</v>
      </c>
      <c r="GTQ876" s="30">
        <v>1472014</v>
      </c>
      <c r="GTR876" s="30">
        <f ca="1">YEAR(TODAY())-YEAR(GTP876)</f>
        <v>69</v>
      </c>
      <c r="GTS876" s="245"/>
      <c r="GTT876" s="7" t="s">
        <v>23</v>
      </c>
      <c r="GTU876" s="29"/>
      <c r="GTV876" s="44">
        <v>44198</v>
      </c>
      <c r="GTW876" s="30" t="s">
        <v>22</v>
      </c>
      <c r="GTX876" s="31">
        <v>20890</v>
      </c>
      <c r="GTY876" s="30">
        <v>1472014</v>
      </c>
      <c r="GTZ876" s="30">
        <f ca="1">YEAR(TODAY())-YEAR(GTX876)</f>
        <v>69</v>
      </c>
      <c r="GUA876" s="245"/>
      <c r="GUB876" s="7" t="s">
        <v>23</v>
      </c>
      <c r="GUC876" s="29"/>
      <c r="GUD876" s="44">
        <v>44198</v>
      </c>
      <c r="GUE876" s="30" t="s">
        <v>22</v>
      </c>
      <c r="GUF876" s="31">
        <v>20890</v>
      </c>
      <c r="GUG876" s="30">
        <v>1472014</v>
      </c>
      <c r="GUH876" s="30">
        <f ca="1">YEAR(TODAY())-YEAR(GUF876)</f>
        <v>69</v>
      </c>
      <c r="GUI876" s="245"/>
      <c r="GUJ876" s="7" t="s">
        <v>23</v>
      </c>
      <c r="GUK876" s="29"/>
      <c r="GUL876" s="44">
        <v>44198</v>
      </c>
      <c r="GUM876" s="30" t="s">
        <v>22</v>
      </c>
      <c r="GUN876" s="31">
        <v>20890</v>
      </c>
      <c r="GUO876" s="30">
        <v>1472014</v>
      </c>
      <c r="GUP876" s="30">
        <f ca="1">YEAR(TODAY())-YEAR(GUN876)</f>
        <v>69</v>
      </c>
      <c r="GUQ876" s="245"/>
      <c r="GUR876" s="7" t="s">
        <v>23</v>
      </c>
      <c r="GUS876" s="29"/>
      <c r="GUT876" s="44">
        <v>44198</v>
      </c>
      <c r="GUU876" s="30" t="s">
        <v>22</v>
      </c>
      <c r="GUV876" s="31">
        <v>20890</v>
      </c>
      <c r="GUW876" s="30">
        <v>1472014</v>
      </c>
      <c r="GUX876" s="30">
        <f ca="1">YEAR(TODAY())-YEAR(GUV876)</f>
        <v>69</v>
      </c>
      <c r="GUY876" s="245"/>
      <c r="GUZ876" s="7" t="s">
        <v>23</v>
      </c>
      <c r="GVA876" s="29"/>
      <c r="GVB876" s="44">
        <v>44198</v>
      </c>
      <c r="GVC876" s="30" t="s">
        <v>22</v>
      </c>
      <c r="GVD876" s="31">
        <v>20890</v>
      </c>
      <c r="GVE876" s="30">
        <v>1472014</v>
      </c>
      <c r="GVF876" s="30">
        <f ca="1">YEAR(TODAY())-YEAR(GVD876)</f>
        <v>69</v>
      </c>
      <c r="GVG876" s="245"/>
      <c r="GVH876" s="7" t="s">
        <v>23</v>
      </c>
      <c r="GVI876" s="29"/>
      <c r="GVJ876" s="44">
        <v>44198</v>
      </c>
      <c r="GVK876" s="30" t="s">
        <v>22</v>
      </c>
      <c r="GVL876" s="31">
        <v>20890</v>
      </c>
      <c r="GVM876" s="30">
        <v>1472014</v>
      </c>
      <c r="GVN876" s="30">
        <f ca="1">YEAR(TODAY())-YEAR(GVL876)</f>
        <v>69</v>
      </c>
      <c r="GVO876" s="245"/>
      <c r="GVP876" s="7" t="s">
        <v>23</v>
      </c>
      <c r="GVQ876" s="29"/>
      <c r="GVR876" s="44">
        <v>44198</v>
      </c>
      <c r="GVS876" s="30" t="s">
        <v>22</v>
      </c>
      <c r="GVT876" s="31">
        <v>20890</v>
      </c>
      <c r="GVU876" s="30">
        <v>1472014</v>
      </c>
      <c r="GVV876" s="30">
        <f ca="1">YEAR(TODAY())-YEAR(GVT876)</f>
        <v>69</v>
      </c>
      <c r="GVW876" s="245"/>
      <c r="GVX876" s="7" t="s">
        <v>23</v>
      </c>
      <c r="GVY876" s="29"/>
      <c r="GVZ876" s="44">
        <v>44198</v>
      </c>
      <c r="GWA876" s="30" t="s">
        <v>22</v>
      </c>
      <c r="GWB876" s="31">
        <v>20890</v>
      </c>
      <c r="GWC876" s="30">
        <v>1472014</v>
      </c>
      <c r="GWD876" s="30">
        <f ca="1">YEAR(TODAY())-YEAR(GWB876)</f>
        <v>69</v>
      </c>
      <c r="GWE876" s="245"/>
      <c r="GWF876" s="7" t="s">
        <v>23</v>
      </c>
      <c r="GWG876" s="29"/>
      <c r="GWH876" s="44">
        <v>44198</v>
      </c>
      <c r="GWI876" s="30" t="s">
        <v>22</v>
      </c>
      <c r="GWJ876" s="31">
        <v>20890</v>
      </c>
      <c r="GWK876" s="30">
        <v>1472014</v>
      </c>
      <c r="GWL876" s="30">
        <f ca="1">YEAR(TODAY())-YEAR(GWJ876)</f>
        <v>69</v>
      </c>
      <c r="GWM876" s="245"/>
      <c r="GWN876" s="7" t="s">
        <v>23</v>
      </c>
      <c r="GWO876" s="29"/>
      <c r="GWP876" s="44">
        <v>44198</v>
      </c>
      <c r="GWQ876" s="30" t="s">
        <v>22</v>
      </c>
      <c r="GWR876" s="31">
        <v>20890</v>
      </c>
      <c r="GWS876" s="30">
        <v>1472014</v>
      </c>
      <c r="GWT876" s="30">
        <f ca="1">YEAR(TODAY())-YEAR(GWR876)</f>
        <v>69</v>
      </c>
      <c r="GWU876" s="245"/>
      <c r="GWV876" s="7" t="s">
        <v>23</v>
      </c>
      <c r="GWW876" s="29"/>
      <c r="GWX876" s="44">
        <v>44198</v>
      </c>
      <c r="GWY876" s="30" t="s">
        <v>22</v>
      </c>
      <c r="GWZ876" s="31">
        <v>20890</v>
      </c>
      <c r="GXA876" s="30">
        <v>1472014</v>
      </c>
      <c r="GXB876" s="30">
        <f ca="1">YEAR(TODAY())-YEAR(GWZ876)</f>
        <v>69</v>
      </c>
      <c r="GXC876" s="245"/>
      <c r="GXD876" s="7" t="s">
        <v>23</v>
      </c>
      <c r="GXE876" s="29"/>
      <c r="GXF876" s="44">
        <v>44198</v>
      </c>
      <c r="GXG876" s="30" t="s">
        <v>22</v>
      </c>
      <c r="GXH876" s="31">
        <v>20890</v>
      </c>
      <c r="GXI876" s="30">
        <v>1472014</v>
      </c>
      <c r="GXJ876" s="30">
        <f ca="1">YEAR(TODAY())-YEAR(GXH876)</f>
        <v>69</v>
      </c>
      <c r="GXK876" s="245"/>
      <c r="GXL876" s="7" t="s">
        <v>23</v>
      </c>
      <c r="GXM876" s="29"/>
      <c r="GXN876" s="44">
        <v>44198</v>
      </c>
      <c r="GXO876" s="30" t="s">
        <v>22</v>
      </c>
      <c r="GXP876" s="31">
        <v>20890</v>
      </c>
      <c r="GXQ876" s="30">
        <v>1472014</v>
      </c>
      <c r="GXR876" s="30">
        <f ca="1">YEAR(TODAY())-YEAR(GXP876)</f>
        <v>69</v>
      </c>
      <c r="GXS876" s="245"/>
      <c r="GXT876" s="7" t="s">
        <v>23</v>
      </c>
      <c r="GXU876" s="29"/>
      <c r="GXV876" s="44">
        <v>44198</v>
      </c>
      <c r="GXW876" s="30" t="s">
        <v>22</v>
      </c>
      <c r="GXX876" s="31">
        <v>20890</v>
      </c>
      <c r="GXY876" s="30">
        <v>1472014</v>
      </c>
      <c r="GXZ876" s="30">
        <f ca="1">YEAR(TODAY())-YEAR(GXX876)</f>
        <v>69</v>
      </c>
      <c r="GYA876" s="245"/>
      <c r="GYB876" s="7" t="s">
        <v>23</v>
      </c>
      <c r="GYC876" s="29"/>
      <c r="GYD876" s="44">
        <v>44198</v>
      </c>
      <c r="GYE876" s="30" t="s">
        <v>22</v>
      </c>
      <c r="GYF876" s="31">
        <v>20890</v>
      </c>
      <c r="GYG876" s="30">
        <v>1472014</v>
      </c>
      <c r="GYH876" s="30">
        <f ca="1">YEAR(TODAY())-YEAR(GYF876)</f>
        <v>69</v>
      </c>
      <c r="GYI876" s="245"/>
      <c r="GYJ876" s="7" t="s">
        <v>23</v>
      </c>
      <c r="GYK876" s="29"/>
      <c r="GYL876" s="44">
        <v>44198</v>
      </c>
      <c r="GYM876" s="30" t="s">
        <v>22</v>
      </c>
      <c r="GYN876" s="31">
        <v>20890</v>
      </c>
      <c r="GYO876" s="30">
        <v>1472014</v>
      </c>
      <c r="GYP876" s="30">
        <f ca="1">YEAR(TODAY())-YEAR(GYN876)</f>
        <v>69</v>
      </c>
      <c r="GYQ876" s="245"/>
      <c r="GYR876" s="7" t="s">
        <v>23</v>
      </c>
      <c r="GYS876" s="29"/>
      <c r="GYT876" s="44">
        <v>44198</v>
      </c>
      <c r="GYU876" s="30" t="s">
        <v>22</v>
      </c>
      <c r="GYV876" s="31">
        <v>20890</v>
      </c>
      <c r="GYW876" s="30">
        <v>1472014</v>
      </c>
      <c r="GYX876" s="30">
        <f ca="1">YEAR(TODAY())-YEAR(GYV876)</f>
        <v>69</v>
      </c>
      <c r="GYY876" s="245"/>
      <c r="GYZ876" s="7" t="s">
        <v>23</v>
      </c>
      <c r="GZA876" s="29"/>
      <c r="GZB876" s="44">
        <v>44198</v>
      </c>
      <c r="GZC876" s="30" t="s">
        <v>22</v>
      </c>
      <c r="GZD876" s="31">
        <v>20890</v>
      </c>
      <c r="GZE876" s="30">
        <v>1472014</v>
      </c>
      <c r="GZF876" s="30">
        <f ca="1">YEAR(TODAY())-YEAR(GZD876)</f>
        <v>69</v>
      </c>
      <c r="GZG876" s="245"/>
      <c r="GZH876" s="7" t="s">
        <v>23</v>
      </c>
      <c r="GZI876" s="29"/>
      <c r="GZJ876" s="44">
        <v>44198</v>
      </c>
      <c r="GZK876" s="30" t="s">
        <v>22</v>
      </c>
      <c r="GZL876" s="31">
        <v>20890</v>
      </c>
      <c r="GZM876" s="30">
        <v>1472014</v>
      </c>
      <c r="GZN876" s="30">
        <f ca="1">YEAR(TODAY())-YEAR(GZL876)</f>
        <v>69</v>
      </c>
      <c r="GZO876" s="245"/>
      <c r="GZP876" s="7" t="s">
        <v>23</v>
      </c>
      <c r="GZQ876" s="29"/>
      <c r="GZR876" s="44">
        <v>44198</v>
      </c>
      <c r="GZS876" s="30" t="s">
        <v>22</v>
      </c>
      <c r="GZT876" s="31">
        <v>20890</v>
      </c>
      <c r="GZU876" s="30">
        <v>1472014</v>
      </c>
      <c r="GZV876" s="30">
        <f ca="1">YEAR(TODAY())-YEAR(GZT876)</f>
        <v>69</v>
      </c>
      <c r="GZW876" s="245"/>
      <c r="GZX876" s="7" t="s">
        <v>23</v>
      </c>
      <c r="GZY876" s="29"/>
      <c r="GZZ876" s="44">
        <v>44198</v>
      </c>
      <c r="HAA876" s="30" t="s">
        <v>22</v>
      </c>
      <c r="HAB876" s="31">
        <v>20890</v>
      </c>
      <c r="HAC876" s="30">
        <v>1472014</v>
      </c>
      <c r="HAD876" s="30">
        <f ca="1">YEAR(TODAY())-YEAR(HAB876)</f>
        <v>69</v>
      </c>
      <c r="HAE876" s="245"/>
      <c r="HAF876" s="7" t="s">
        <v>23</v>
      </c>
      <c r="HAG876" s="29"/>
      <c r="HAH876" s="44">
        <v>44198</v>
      </c>
      <c r="HAI876" s="30" t="s">
        <v>22</v>
      </c>
      <c r="HAJ876" s="31">
        <v>20890</v>
      </c>
      <c r="HAK876" s="30">
        <v>1472014</v>
      </c>
      <c r="HAL876" s="30">
        <f ca="1">YEAR(TODAY())-YEAR(HAJ876)</f>
        <v>69</v>
      </c>
      <c r="HAM876" s="245"/>
      <c r="HAN876" s="7" t="s">
        <v>23</v>
      </c>
      <c r="HAO876" s="29"/>
      <c r="HAP876" s="44">
        <v>44198</v>
      </c>
      <c r="HAQ876" s="30" t="s">
        <v>22</v>
      </c>
      <c r="HAR876" s="31">
        <v>20890</v>
      </c>
      <c r="HAS876" s="30">
        <v>1472014</v>
      </c>
      <c r="HAT876" s="30">
        <f ca="1">YEAR(TODAY())-YEAR(HAR876)</f>
        <v>69</v>
      </c>
      <c r="HAU876" s="245"/>
      <c r="HAV876" s="7" t="s">
        <v>23</v>
      </c>
      <c r="HAW876" s="29"/>
      <c r="HAX876" s="44">
        <v>44198</v>
      </c>
      <c r="HAY876" s="30" t="s">
        <v>22</v>
      </c>
      <c r="HAZ876" s="31">
        <v>20890</v>
      </c>
      <c r="HBA876" s="30">
        <v>1472014</v>
      </c>
      <c r="HBB876" s="30">
        <f ca="1">YEAR(TODAY())-YEAR(HAZ876)</f>
        <v>69</v>
      </c>
      <c r="HBC876" s="245"/>
      <c r="HBD876" s="7" t="s">
        <v>23</v>
      </c>
      <c r="HBE876" s="29"/>
      <c r="HBF876" s="44">
        <v>44198</v>
      </c>
      <c r="HBG876" s="30" t="s">
        <v>22</v>
      </c>
      <c r="HBH876" s="31">
        <v>20890</v>
      </c>
      <c r="HBI876" s="30">
        <v>1472014</v>
      </c>
      <c r="HBJ876" s="30">
        <f ca="1">YEAR(TODAY())-YEAR(HBH876)</f>
        <v>69</v>
      </c>
      <c r="HBK876" s="245"/>
      <c r="HBL876" s="7" t="s">
        <v>23</v>
      </c>
      <c r="HBM876" s="29"/>
      <c r="HBN876" s="44">
        <v>44198</v>
      </c>
      <c r="HBO876" s="30" t="s">
        <v>22</v>
      </c>
      <c r="HBP876" s="31">
        <v>20890</v>
      </c>
      <c r="HBQ876" s="30">
        <v>1472014</v>
      </c>
      <c r="HBR876" s="30">
        <f ca="1">YEAR(TODAY())-YEAR(HBP876)</f>
        <v>69</v>
      </c>
      <c r="HBS876" s="245"/>
      <c r="HBT876" s="7" t="s">
        <v>23</v>
      </c>
      <c r="HBU876" s="29"/>
      <c r="HBV876" s="44">
        <v>44198</v>
      </c>
      <c r="HBW876" s="30" t="s">
        <v>22</v>
      </c>
      <c r="HBX876" s="31">
        <v>20890</v>
      </c>
      <c r="HBY876" s="30">
        <v>1472014</v>
      </c>
      <c r="HBZ876" s="30">
        <f ca="1">YEAR(TODAY())-YEAR(HBX876)</f>
        <v>69</v>
      </c>
      <c r="HCA876" s="245"/>
      <c r="HCB876" s="7" t="s">
        <v>23</v>
      </c>
      <c r="HCC876" s="29"/>
      <c r="HCD876" s="44">
        <v>44198</v>
      </c>
      <c r="HCE876" s="30" t="s">
        <v>22</v>
      </c>
      <c r="HCF876" s="31">
        <v>20890</v>
      </c>
      <c r="HCG876" s="30">
        <v>1472014</v>
      </c>
      <c r="HCH876" s="30">
        <f ca="1">YEAR(TODAY())-YEAR(HCF876)</f>
        <v>69</v>
      </c>
      <c r="HCI876" s="245"/>
      <c r="HCJ876" s="7" t="s">
        <v>23</v>
      </c>
      <c r="HCK876" s="29"/>
      <c r="HCL876" s="44">
        <v>44198</v>
      </c>
      <c r="HCM876" s="30" t="s">
        <v>22</v>
      </c>
      <c r="HCN876" s="31">
        <v>20890</v>
      </c>
      <c r="HCO876" s="30">
        <v>1472014</v>
      </c>
      <c r="HCP876" s="30">
        <f ca="1">YEAR(TODAY())-YEAR(HCN876)</f>
        <v>69</v>
      </c>
      <c r="HCQ876" s="245"/>
      <c r="HCR876" s="7" t="s">
        <v>23</v>
      </c>
      <c r="HCS876" s="29"/>
      <c r="HCT876" s="44">
        <v>44198</v>
      </c>
      <c r="HCU876" s="30" t="s">
        <v>22</v>
      </c>
      <c r="HCV876" s="31">
        <v>20890</v>
      </c>
      <c r="HCW876" s="30">
        <v>1472014</v>
      </c>
      <c r="HCX876" s="30">
        <f ca="1">YEAR(TODAY())-YEAR(HCV876)</f>
        <v>69</v>
      </c>
      <c r="HCY876" s="245"/>
      <c r="HCZ876" s="7" t="s">
        <v>23</v>
      </c>
      <c r="HDA876" s="29"/>
      <c r="HDB876" s="44">
        <v>44198</v>
      </c>
      <c r="HDC876" s="30" t="s">
        <v>22</v>
      </c>
      <c r="HDD876" s="31">
        <v>20890</v>
      </c>
      <c r="HDE876" s="30">
        <v>1472014</v>
      </c>
      <c r="HDF876" s="30">
        <f ca="1">YEAR(TODAY())-YEAR(HDD876)</f>
        <v>69</v>
      </c>
      <c r="HDG876" s="245"/>
      <c r="HDH876" s="7" t="s">
        <v>23</v>
      </c>
      <c r="HDI876" s="29"/>
      <c r="HDJ876" s="44">
        <v>44198</v>
      </c>
      <c r="HDK876" s="30" t="s">
        <v>22</v>
      </c>
      <c r="HDL876" s="31">
        <v>20890</v>
      </c>
      <c r="HDM876" s="30">
        <v>1472014</v>
      </c>
      <c r="HDN876" s="30">
        <f ca="1">YEAR(TODAY())-YEAR(HDL876)</f>
        <v>69</v>
      </c>
      <c r="HDO876" s="245"/>
      <c r="HDP876" s="7" t="s">
        <v>23</v>
      </c>
      <c r="HDQ876" s="29"/>
      <c r="HDR876" s="44">
        <v>44198</v>
      </c>
      <c r="HDS876" s="30" t="s">
        <v>22</v>
      </c>
      <c r="HDT876" s="31">
        <v>20890</v>
      </c>
      <c r="HDU876" s="30">
        <v>1472014</v>
      </c>
      <c r="HDV876" s="30">
        <f ca="1">YEAR(TODAY())-YEAR(HDT876)</f>
        <v>69</v>
      </c>
      <c r="HDW876" s="245"/>
      <c r="HDX876" s="7" t="s">
        <v>23</v>
      </c>
      <c r="HDY876" s="29"/>
      <c r="HDZ876" s="44">
        <v>44198</v>
      </c>
      <c r="HEA876" s="30" t="s">
        <v>22</v>
      </c>
      <c r="HEB876" s="31">
        <v>20890</v>
      </c>
      <c r="HEC876" s="30">
        <v>1472014</v>
      </c>
      <c r="HED876" s="30">
        <f ca="1">YEAR(TODAY())-YEAR(HEB876)</f>
        <v>69</v>
      </c>
      <c r="HEE876" s="245"/>
      <c r="HEF876" s="7" t="s">
        <v>23</v>
      </c>
      <c r="HEG876" s="29"/>
      <c r="HEH876" s="44">
        <v>44198</v>
      </c>
      <c r="HEI876" s="30" t="s">
        <v>22</v>
      </c>
      <c r="HEJ876" s="31">
        <v>20890</v>
      </c>
      <c r="HEK876" s="30">
        <v>1472014</v>
      </c>
      <c r="HEL876" s="30">
        <f ca="1">YEAR(TODAY())-YEAR(HEJ876)</f>
        <v>69</v>
      </c>
      <c r="HEM876" s="245"/>
      <c r="HEN876" s="7" t="s">
        <v>23</v>
      </c>
      <c r="HEO876" s="29"/>
      <c r="HEP876" s="44">
        <v>44198</v>
      </c>
      <c r="HEQ876" s="30" t="s">
        <v>22</v>
      </c>
      <c r="HER876" s="31">
        <v>20890</v>
      </c>
      <c r="HES876" s="30">
        <v>1472014</v>
      </c>
      <c r="HET876" s="30">
        <f ca="1">YEAR(TODAY())-YEAR(HER876)</f>
        <v>69</v>
      </c>
      <c r="HEU876" s="245"/>
      <c r="HEV876" s="7" t="s">
        <v>23</v>
      </c>
      <c r="HEW876" s="29"/>
      <c r="HEX876" s="44">
        <v>44198</v>
      </c>
      <c r="HEY876" s="30" t="s">
        <v>22</v>
      </c>
      <c r="HEZ876" s="31">
        <v>20890</v>
      </c>
      <c r="HFA876" s="30">
        <v>1472014</v>
      </c>
      <c r="HFB876" s="30">
        <f ca="1">YEAR(TODAY())-YEAR(HEZ876)</f>
        <v>69</v>
      </c>
      <c r="HFC876" s="245"/>
      <c r="HFD876" s="7" t="s">
        <v>23</v>
      </c>
      <c r="HFE876" s="29"/>
      <c r="HFF876" s="44">
        <v>44198</v>
      </c>
      <c r="HFG876" s="30" t="s">
        <v>22</v>
      </c>
      <c r="HFH876" s="31">
        <v>20890</v>
      </c>
      <c r="HFI876" s="30">
        <v>1472014</v>
      </c>
      <c r="HFJ876" s="30">
        <f ca="1">YEAR(TODAY())-YEAR(HFH876)</f>
        <v>69</v>
      </c>
      <c r="HFK876" s="245"/>
      <c r="HFL876" s="7" t="s">
        <v>23</v>
      </c>
      <c r="HFM876" s="29"/>
      <c r="HFN876" s="44">
        <v>44198</v>
      </c>
      <c r="HFO876" s="30" t="s">
        <v>22</v>
      </c>
      <c r="HFP876" s="31">
        <v>20890</v>
      </c>
      <c r="HFQ876" s="30">
        <v>1472014</v>
      </c>
      <c r="HFR876" s="30">
        <f ca="1">YEAR(TODAY())-YEAR(HFP876)</f>
        <v>69</v>
      </c>
      <c r="HFS876" s="245"/>
      <c r="HFT876" s="7" t="s">
        <v>23</v>
      </c>
      <c r="HFU876" s="29"/>
      <c r="HFV876" s="44">
        <v>44198</v>
      </c>
      <c r="HFW876" s="30" t="s">
        <v>22</v>
      </c>
      <c r="HFX876" s="31">
        <v>20890</v>
      </c>
      <c r="HFY876" s="30">
        <v>1472014</v>
      </c>
      <c r="HFZ876" s="30">
        <f ca="1">YEAR(TODAY())-YEAR(HFX876)</f>
        <v>69</v>
      </c>
      <c r="HGA876" s="245"/>
      <c r="HGB876" s="7" t="s">
        <v>23</v>
      </c>
      <c r="HGC876" s="29"/>
      <c r="HGD876" s="44">
        <v>44198</v>
      </c>
      <c r="HGE876" s="30" t="s">
        <v>22</v>
      </c>
      <c r="HGF876" s="31">
        <v>20890</v>
      </c>
      <c r="HGG876" s="30">
        <v>1472014</v>
      </c>
      <c r="HGH876" s="30">
        <f ca="1">YEAR(TODAY())-YEAR(HGF876)</f>
        <v>69</v>
      </c>
      <c r="HGI876" s="245"/>
      <c r="HGJ876" s="7" t="s">
        <v>23</v>
      </c>
      <c r="HGK876" s="29"/>
      <c r="HGL876" s="44">
        <v>44198</v>
      </c>
      <c r="HGM876" s="30" t="s">
        <v>22</v>
      </c>
      <c r="HGN876" s="31">
        <v>20890</v>
      </c>
      <c r="HGO876" s="30">
        <v>1472014</v>
      </c>
      <c r="HGP876" s="30">
        <f ca="1">YEAR(TODAY())-YEAR(HGN876)</f>
        <v>69</v>
      </c>
      <c r="HGQ876" s="245"/>
      <c r="HGR876" s="7" t="s">
        <v>23</v>
      </c>
      <c r="HGS876" s="29"/>
      <c r="HGT876" s="44">
        <v>44198</v>
      </c>
      <c r="HGU876" s="30" t="s">
        <v>22</v>
      </c>
      <c r="HGV876" s="31">
        <v>20890</v>
      </c>
      <c r="HGW876" s="30">
        <v>1472014</v>
      </c>
      <c r="HGX876" s="30">
        <f ca="1">YEAR(TODAY())-YEAR(HGV876)</f>
        <v>69</v>
      </c>
      <c r="HGY876" s="245"/>
      <c r="HGZ876" s="7" t="s">
        <v>23</v>
      </c>
      <c r="HHA876" s="29"/>
      <c r="HHB876" s="44">
        <v>44198</v>
      </c>
      <c r="HHC876" s="30" t="s">
        <v>22</v>
      </c>
      <c r="HHD876" s="31">
        <v>20890</v>
      </c>
      <c r="HHE876" s="30">
        <v>1472014</v>
      </c>
      <c r="HHF876" s="30">
        <f ca="1">YEAR(TODAY())-YEAR(HHD876)</f>
        <v>69</v>
      </c>
      <c r="HHG876" s="245"/>
      <c r="HHH876" s="7" t="s">
        <v>23</v>
      </c>
      <c r="HHI876" s="29"/>
      <c r="HHJ876" s="44">
        <v>44198</v>
      </c>
      <c r="HHK876" s="30" t="s">
        <v>22</v>
      </c>
      <c r="HHL876" s="31">
        <v>20890</v>
      </c>
      <c r="HHM876" s="30">
        <v>1472014</v>
      </c>
      <c r="HHN876" s="30">
        <f ca="1">YEAR(TODAY())-YEAR(HHL876)</f>
        <v>69</v>
      </c>
      <c r="HHO876" s="245"/>
      <c r="HHP876" s="7" t="s">
        <v>23</v>
      </c>
      <c r="HHQ876" s="29"/>
      <c r="HHR876" s="44">
        <v>44198</v>
      </c>
      <c r="HHS876" s="30" t="s">
        <v>22</v>
      </c>
      <c r="HHT876" s="31">
        <v>20890</v>
      </c>
      <c r="HHU876" s="30">
        <v>1472014</v>
      </c>
      <c r="HHV876" s="30">
        <f ca="1">YEAR(TODAY())-YEAR(HHT876)</f>
        <v>69</v>
      </c>
      <c r="HHW876" s="245"/>
      <c r="HHX876" s="7" t="s">
        <v>23</v>
      </c>
      <c r="HHY876" s="29"/>
      <c r="HHZ876" s="44">
        <v>44198</v>
      </c>
      <c r="HIA876" s="30" t="s">
        <v>22</v>
      </c>
      <c r="HIB876" s="31">
        <v>20890</v>
      </c>
      <c r="HIC876" s="30">
        <v>1472014</v>
      </c>
      <c r="HID876" s="30">
        <f ca="1">YEAR(TODAY())-YEAR(HIB876)</f>
        <v>69</v>
      </c>
      <c r="HIE876" s="245"/>
      <c r="HIF876" s="7" t="s">
        <v>23</v>
      </c>
      <c r="HIG876" s="29"/>
      <c r="HIH876" s="44">
        <v>44198</v>
      </c>
      <c r="HII876" s="30" t="s">
        <v>22</v>
      </c>
      <c r="HIJ876" s="31">
        <v>20890</v>
      </c>
      <c r="HIK876" s="30">
        <v>1472014</v>
      </c>
      <c r="HIL876" s="30">
        <f ca="1">YEAR(TODAY())-YEAR(HIJ876)</f>
        <v>69</v>
      </c>
      <c r="HIM876" s="245"/>
      <c r="HIN876" s="7" t="s">
        <v>23</v>
      </c>
      <c r="HIO876" s="29"/>
      <c r="HIP876" s="44">
        <v>44198</v>
      </c>
      <c r="HIQ876" s="30" t="s">
        <v>22</v>
      </c>
      <c r="HIR876" s="31">
        <v>20890</v>
      </c>
      <c r="HIS876" s="30">
        <v>1472014</v>
      </c>
      <c r="HIT876" s="30">
        <f ca="1">YEAR(TODAY())-YEAR(HIR876)</f>
        <v>69</v>
      </c>
      <c r="HIU876" s="245"/>
      <c r="HIV876" s="7" t="s">
        <v>23</v>
      </c>
      <c r="HIW876" s="29"/>
      <c r="HIX876" s="44">
        <v>44198</v>
      </c>
      <c r="HIY876" s="30" t="s">
        <v>22</v>
      </c>
      <c r="HIZ876" s="31">
        <v>20890</v>
      </c>
      <c r="HJA876" s="30">
        <v>1472014</v>
      </c>
      <c r="HJB876" s="30">
        <f ca="1">YEAR(TODAY())-YEAR(HIZ876)</f>
        <v>69</v>
      </c>
      <c r="HJC876" s="245"/>
      <c r="HJD876" s="7" t="s">
        <v>23</v>
      </c>
      <c r="HJE876" s="29"/>
      <c r="HJF876" s="44">
        <v>44198</v>
      </c>
      <c r="HJG876" s="30" t="s">
        <v>22</v>
      </c>
      <c r="HJH876" s="31">
        <v>20890</v>
      </c>
      <c r="HJI876" s="30">
        <v>1472014</v>
      </c>
      <c r="HJJ876" s="30">
        <f ca="1">YEAR(TODAY())-YEAR(HJH876)</f>
        <v>69</v>
      </c>
      <c r="HJK876" s="245"/>
      <c r="HJL876" s="7" t="s">
        <v>23</v>
      </c>
      <c r="HJM876" s="29"/>
      <c r="HJN876" s="44">
        <v>44198</v>
      </c>
      <c r="HJO876" s="30" t="s">
        <v>22</v>
      </c>
      <c r="HJP876" s="31">
        <v>20890</v>
      </c>
      <c r="HJQ876" s="30">
        <v>1472014</v>
      </c>
      <c r="HJR876" s="30">
        <f ca="1">YEAR(TODAY())-YEAR(HJP876)</f>
        <v>69</v>
      </c>
      <c r="HJS876" s="245"/>
      <c r="HJT876" s="7" t="s">
        <v>23</v>
      </c>
      <c r="HJU876" s="29"/>
      <c r="HJV876" s="44">
        <v>44198</v>
      </c>
      <c r="HJW876" s="30" t="s">
        <v>22</v>
      </c>
      <c r="HJX876" s="31">
        <v>20890</v>
      </c>
      <c r="HJY876" s="30">
        <v>1472014</v>
      </c>
      <c r="HJZ876" s="30">
        <f ca="1">YEAR(TODAY())-YEAR(HJX876)</f>
        <v>69</v>
      </c>
      <c r="HKA876" s="245"/>
      <c r="HKB876" s="7" t="s">
        <v>23</v>
      </c>
      <c r="HKC876" s="29"/>
      <c r="HKD876" s="44">
        <v>44198</v>
      </c>
      <c r="HKE876" s="30" t="s">
        <v>22</v>
      </c>
      <c r="HKF876" s="31">
        <v>20890</v>
      </c>
      <c r="HKG876" s="30">
        <v>1472014</v>
      </c>
      <c r="HKH876" s="30">
        <f ca="1">YEAR(TODAY())-YEAR(HKF876)</f>
        <v>69</v>
      </c>
      <c r="HKI876" s="245"/>
      <c r="HKJ876" s="7" t="s">
        <v>23</v>
      </c>
      <c r="HKK876" s="29"/>
      <c r="HKL876" s="44">
        <v>44198</v>
      </c>
      <c r="HKM876" s="30" t="s">
        <v>22</v>
      </c>
      <c r="HKN876" s="31">
        <v>20890</v>
      </c>
      <c r="HKO876" s="30">
        <v>1472014</v>
      </c>
      <c r="HKP876" s="30">
        <f ca="1">YEAR(TODAY())-YEAR(HKN876)</f>
        <v>69</v>
      </c>
      <c r="HKQ876" s="245"/>
      <c r="HKR876" s="7" t="s">
        <v>23</v>
      </c>
      <c r="HKS876" s="29"/>
      <c r="HKT876" s="44">
        <v>44198</v>
      </c>
      <c r="HKU876" s="30" t="s">
        <v>22</v>
      </c>
      <c r="HKV876" s="31">
        <v>20890</v>
      </c>
      <c r="HKW876" s="30">
        <v>1472014</v>
      </c>
      <c r="HKX876" s="30">
        <f ca="1">YEAR(TODAY())-YEAR(HKV876)</f>
        <v>69</v>
      </c>
      <c r="HKY876" s="245"/>
      <c r="HKZ876" s="7" t="s">
        <v>23</v>
      </c>
      <c r="HLA876" s="29"/>
      <c r="HLB876" s="44">
        <v>44198</v>
      </c>
      <c r="HLC876" s="30" t="s">
        <v>22</v>
      </c>
      <c r="HLD876" s="31">
        <v>20890</v>
      </c>
      <c r="HLE876" s="30">
        <v>1472014</v>
      </c>
      <c r="HLF876" s="30">
        <f ca="1">YEAR(TODAY())-YEAR(HLD876)</f>
        <v>69</v>
      </c>
      <c r="HLG876" s="245"/>
      <c r="HLH876" s="7" t="s">
        <v>23</v>
      </c>
      <c r="HLI876" s="29"/>
      <c r="HLJ876" s="44">
        <v>44198</v>
      </c>
      <c r="HLK876" s="30" t="s">
        <v>22</v>
      </c>
      <c r="HLL876" s="31">
        <v>20890</v>
      </c>
      <c r="HLM876" s="30">
        <v>1472014</v>
      </c>
      <c r="HLN876" s="30">
        <f ca="1">YEAR(TODAY())-YEAR(HLL876)</f>
        <v>69</v>
      </c>
      <c r="HLO876" s="245"/>
      <c r="HLP876" s="7" t="s">
        <v>23</v>
      </c>
      <c r="HLQ876" s="29"/>
      <c r="HLR876" s="44">
        <v>44198</v>
      </c>
      <c r="HLS876" s="30" t="s">
        <v>22</v>
      </c>
      <c r="HLT876" s="31">
        <v>20890</v>
      </c>
      <c r="HLU876" s="30">
        <v>1472014</v>
      </c>
      <c r="HLV876" s="30">
        <f ca="1">YEAR(TODAY())-YEAR(HLT876)</f>
        <v>69</v>
      </c>
      <c r="HLW876" s="245"/>
      <c r="HLX876" s="7" t="s">
        <v>23</v>
      </c>
      <c r="HLY876" s="29"/>
      <c r="HLZ876" s="44">
        <v>44198</v>
      </c>
      <c r="HMA876" s="30" t="s">
        <v>22</v>
      </c>
      <c r="HMB876" s="31">
        <v>20890</v>
      </c>
      <c r="HMC876" s="30">
        <v>1472014</v>
      </c>
      <c r="HMD876" s="30">
        <f ca="1">YEAR(TODAY())-YEAR(HMB876)</f>
        <v>69</v>
      </c>
      <c r="HME876" s="245"/>
      <c r="HMF876" s="7" t="s">
        <v>23</v>
      </c>
      <c r="HMG876" s="29"/>
      <c r="HMH876" s="44">
        <v>44198</v>
      </c>
      <c r="HMI876" s="30" t="s">
        <v>22</v>
      </c>
      <c r="HMJ876" s="31">
        <v>20890</v>
      </c>
      <c r="HMK876" s="30">
        <v>1472014</v>
      </c>
      <c r="HML876" s="30">
        <f ca="1">YEAR(TODAY())-YEAR(HMJ876)</f>
        <v>69</v>
      </c>
      <c r="HMM876" s="245"/>
      <c r="HMN876" s="7" t="s">
        <v>23</v>
      </c>
      <c r="HMO876" s="29"/>
      <c r="HMP876" s="44">
        <v>44198</v>
      </c>
      <c r="HMQ876" s="30" t="s">
        <v>22</v>
      </c>
      <c r="HMR876" s="31">
        <v>20890</v>
      </c>
      <c r="HMS876" s="30">
        <v>1472014</v>
      </c>
      <c r="HMT876" s="30">
        <f ca="1">YEAR(TODAY())-YEAR(HMR876)</f>
        <v>69</v>
      </c>
      <c r="HMU876" s="245"/>
      <c r="HMV876" s="7" t="s">
        <v>23</v>
      </c>
      <c r="HMW876" s="29"/>
      <c r="HMX876" s="44">
        <v>44198</v>
      </c>
      <c r="HMY876" s="30" t="s">
        <v>22</v>
      </c>
      <c r="HMZ876" s="31">
        <v>20890</v>
      </c>
      <c r="HNA876" s="30">
        <v>1472014</v>
      </c>
      <c r="HNB876" s="30">
        <f ca="1">YEAR(TODAY())-YEAR(HMZ876)</f>
        <v>69</v>
      </c>
      <c r="HNC876" s="245"/>
      <c r="HND876" s="7" t="s">
        <v>23</v>
      </c>
      <c r="HNE876" s="29"/>
      <c r="HNF876" s="44">
        <v>44198</v>
      </c>
      <c r="HNG876" s="30" t="s">
        <v>22</v>
      </c>
      <c r="HNH876" s="31">
        <v>20890</v>
      </c>
      <c r="HNI876" s="30">
        <v>1472014</v>
      </c>
      <c r="HNJ876" s="30">
        <f ca="1">YEAR(TODAY())-YEAR(HNH876)</f>
        <v>69</v>
      </c>
      <c r="HNK876" s="245"/>
      <c r="HNL876" s="7" t="s">
        <v>23</v>
      </c>
      <c r="HNM876" s="29"/>
      <c r="HNN876" s="44">
        <v>44198</v>
      </c>
      <c r="HNO876" s="30" t="s">
        <v>22</v>
      </c>
      <c r="HNP876" s="31">
        <v>20890</v>
      </c>
      <c r="HNQ876" s="30">
        <v>1472014</v>
      </c>
      <c r="HNR876" s="30">
        <f ca="1">YEAR(TODAY())-YEAR(HNP876)</f>
        <v>69</v>
      </c>
      <c r="HNS876" s="245"/>
      <c r="HNT876" s="7" t="s">
        <v>23</v>
      </c>
      <c r="HNU876" s="29"/>
      <c r="HNV876" s="44">
        <v>44198</v>
      </c>
      <c r="HNW876" s="30" t="s">
        <v>22</v>
      </c>
      <c r="HNX876" s="31">
        <v>20890</v>
      </c>
      <c r="HNY876" s="30">
        <v>1472014</v>
      </c>
      <c r="HNZ876" s="30">
        <f ca="1">YEAR(TODAY())-YEAR(HNX876)</f>
        <v>69</v>
      </c>
      <c r="HOA876" s="245"/>
      <c r="HOB876" s="7" t="s">
        <v>23</v>
      </c>
      <c r="HOC876" s="29"/>
      <c r="HOD876" s="44">
        <v>44198</v>
      </c>
      <c r="HOE876" s="30" t="s">
        <v>22</v>
      </c>
      <c r="HOF876" s="31">
        <v>20890</v>
      </c>
      <c r="HOG876" s="30">
        <v>1472014</v>
      </c>
      <c r="HOH876" s="30">
        <f ca="1">YEAR(TODAY())-YEAR(HOF876)</f>
        <v>69</v>
      </c>
      <c r="HOI876" s="245"/>
      <c r="HOJ876" s="7" t="s">
        <v>23</v>
      </c>
      <c r="HOK876" s="29"/>
      <c r="HOL876" s="44">
        <v>44198</v>
      </c>
      <c r="HOM876" s="30" t="s">
        <v>22</v>
      </c>
      <c r="HON876" s="31">
        <v>20890</v>
      </c>
      <c r="HOO876" s="30">
        <v>1472014</v>
      </c>
      <c r="HOP876" s="30">
        <f ca="1">YEAR(TODAY())-YEAR(HON876)</f>
        <v>69</v>
      </c>
      <c r="HOQ876" s="245"/>
      <c r="HOR876" s="7" t="s">
        <v>23</v>
      </c>
      <c r="HOS876" s="29"/>
      <c r="HOT876" s="44">
        <v>44198</v>
      </c>
      <c r="HOU876" s="30" t="s">
        <v>22</v>
      </c>
      <c r="HOV876" s="31">
        <v>20890</v>
      </c>
      <c r="HOW876" s="30">
        <v>1472014</v>
      </c>
      <c r="HOX876" s="30">
        <f ca="1">YEAR(TODAY())-YEAR(HOV876)</f>
        <v>69</v>
      </c>
      <c r="HOY876" s="245"/>
      <c r="HOZ876" s="7" t="s">
        <v>23</v>
      </c>
      <c r="HPA876" s="29"/>
      <c r="HPB876" s="44">
        <v>44198</v>
      </c>
      <c r="HPC876" s="30" t="s">
        <v>22</v>
      </c>
      <c r="HPD876" s="31">
        <v>20890</v>
      </c>
      <c r="HPE876" s="30">
        <v>1472014</v>
      </c>
      <c r="HPF876" s="30">
        <f ca="1">YEAR(TODAY())-YEAR(HPD876)</f>
        <v>69</v>
      </c>
      <c r="HPG876" s="245"/>
      <c r="HPH876" s="7" t="s">
        <v>23</v>
      </c>
      <c r="HPI876" s="29"/>
      <c r="HPJ876" s="44">
        <v>44198</v>
      </c>
      <c r="HPK876" s="30" t="s">
        <v>22</v>
      </c>
      <c r="HPL876" s="31">
        <v>20890</v>
      </c>
      <c r="HPM876" s="30">
        <v>1472014</v>
      </c>
      <c r="HPN876" s="30">
        <f ca="1">YEAR(TODAY())-YEAR(HPL876)</f>
        <v>69</v>
      </c>
      <c r="HPO876" s="245"/>
      <c r="HPP876" s="7" t="s">
        <v>23</v>
      </c>
      <c r="HPQ876" s="29"/>
      <c r="HPR876" s="44">
        <v>44198</v>
      </c>
      <c r="HPS876" s="30" t="s">
        <v>22</v>
      </c>
      <c r="HPT876" s="31">
        <v>20890</v>
      </c>
      <c r="HPU876" s="30">
        <v>1472014</v>
      </c>
      <c r="HPV876" s="30">
        <f ca="1">YEAR(TODAY())-YEAR(HPT876)</f>
        <v>69</v>
      </c>
      <c r="HPW876" s="245"/>
      <c r="HPX876" s="7" t="s">
        <v>23</v>
      </c>
      <c r="HPY876" s="29"/>
      <c r="HPZ876" s="44">
        <v>44198</v>
      </c>
      <c r="HQA876" s="30" t="s">
        <v>22</v>
      </c>
      <c r="HQB876" s="31">
        <v>20890</v>
      </c>
      <c r="HQC876" s="30">
        <v>1472014</v>
      </c>
      <c r="HQD876" s="30">
        <f ca="1">YEAR(TODAY())-YEAR(HQB876)</f>
        <v>69</v>
      </c>
      <c r="HQE876" s="245"/>
      <c r="HQF876" s="7" t="s">
        <v>23</v>
      </c>
      <c r="HQG876" s="29"/>
      <c r="HQH876" s="44">
        <v>44198</v>
      </c>
      <c r="HQI876" s="30" t="s">
        <v>22</v>
      </c>
      <c r="HQJ876" s="31">
        <v>20890</v>
      </c>
      <c r="HQK876" s="30">
        <v>1472014</v>
      </c>
      <c r="HQL876" s="30">
        <f ca="1">YEAR(TODAY())-YEAR(HQJ876)</f>
        <v>69</v>
      </c>
      <c r="HQM876" s="245"/>
      <c r="HQN876" s="7" t="s">
        <v>23</v>
      </c>
      <c r="HQO876" s="29"/>
      <c r="HQP876" s="44">
        <v>44198</v>
      </c>
      <c r="HQQ876" s="30" t="s">
        <v>22</v>
      </c>
      <c r="HQR876" s="31">
        <v>20890</v>
      </c>
      <c r="HQS876" s="30">
        <v>1472014</v>
      </c>
      <c r="HQT876" s="30">
        <f ca="1">YEAR(TODAY())-YEAR(HQR876)</f>
        <v>69</v>
      </c>
      <c r="HQU876" s="245"/>
      <c r="HQV876" s="7" t="s">
        <v>23</v>
      </c>
      <c r="HQW876" s="29"/>
      <c r="HQX876" s="44">
        <v>44198</v>
      </c>
      <c r="HQY876" s="30" t="s">
        <v>22</v>
      </c>
      <c r="HQZ876" s="31">
        <v>20890</v>
      </c>
      <c r="HRA876" s="30">
        <v>1472014</v>
      </c>
      <c r="HRB876" s="30">
        <f ca="1">YEAR(TODAY())-YEAR(HQZ876)</f>
        <v>69</v>
      </c>
      <c r="HRC876" s="245"/>
      <c r="HRD876" s="7" t="s">
        <v>23</v>
      </c>
      <c r="HRE876" s="29"/>
      <c r="HRF876" s="44">
        <v>44198</v>
      </c>
      <c r="HRG876" s="30" t="s">
        <v>22</v>
      </c>
      <c r="HRH876" s="31">
        <v>20890</v>
      </c>
      <c r="HRI876" s="30">
        <v>1472014</v>
      </c>
      <c r="HRJ876" s="30">
        <f ca="1">YEAR(TODAY())-YEAR(HRH876)</f>
        <v>69</v>
      </c>
      <c r="HRK876" s="245"/>
      <c r="HRL876" s="7" t="s">
        <v>23</v>
      </c>
      <c r="HRM876" s="29"/>
      <c r="HRN876" s="44">
        <v>44198</v>
      </c>
      <c r="HRO876" s="30" t="s">
        <v>22</v>
      </c>
      <c r="HRP876" s="31">
        <v>20890</v>
      </c>
      <c r="HRQ876" s="30">
        <v>1472014</v>
      </c>
      <c r="HRR876" s="30">
        <f ca="1">YEAR(TODAY())-YEAR(HRP876)</f>
        <v>69</v>
      </c>
      <c r="HRS876" s="245"/>
      <c r="HRT876" s="7" t="s">
        <v>23</v>
      </c>
      <c r="HRU876" s="29"/>
      <c r="HRV876" s="44">
        <v>44198</v>
      </c>
      <c r="HRW876" s="30" t="s">
        <v>22</v>
      </c>
      <c r="HRX876" s="31">
        <v>20890</v>
      </c>
      <c r="HRY876" s="30">
        <v>1472014</v>
      </c>
      <c r="HRZ876" s="30">
        <f ca="1">YEAR(TODAY())-YEAR(HRX876)</f>
        <v>69</v>
      </c>
      <c r="HSA876" s="245"/>
      <c r="HSB876" s="7" t="s">
        <v>23</v>
      </c>
      <c r="HSC876" s="29"/>
      <c r="HSD876" s="44">
        <v>44198</v>
      </c>
      <c r="HSE876" s="30" t="s">
        <v>22</v>
      </c>
      <c r="HSF876" s="31">
        <v>20890</v>
      </c>
      <c r="HSG876" s="30">
        <v>1472014</v>
      </c>
      <c r="HSH876" s="30">
        <f ca="1">YEAR(TODAY())-YEAR(HSF876)</f>
        <v>69</v>
      </c>
      <c r="HSI876" s="245"/>
      <c r="HSJ876" s="7" t="s">
        <v>23</v>
      </c>
      <c r="HSK876" s="29"/>
      <c r="HSL876" s="44">
        <v>44198</v>
      </c>
      <c r="HSM876" s="30" t="s">
        <v>22</v>
      </c>
      <c r="HSN876" s="31">
        <v>20890</v>
      </c>
      <c r="HSO876" s="30">
        <v>1472014</v>
      </c>
      <c r="HSP876" s="30">
        <f ca="1">YEAR(TODAY())-YEAR(HSN876)</f>
        <v>69</v>
      </c>
      <c r="HSQ876" s="245"/>
      <c r="HSR876" s="7" t="s">
        <v>23</v>
      </c>
      <c r="HSS876" s="29"/>
      <c r="HST876" s="44">
        <v>44198</v>
      </c>
      <c r="HSU876" s="30" t="s">
        <v>22</v>
      </c>
      <c r="HSV876" s="31">
        <v>20890</v>
      </c>
      <c r="HSW876" s="30">
        <v>1472014</v>
      </c>
      <c r="HSX876" s="30">
        <f ca="1">YEAR(TODAY())-YEAR(HSV876)</f>
        <v>69</v>
      </c>
      <c r="HSY876" s="245"/>
      <c r="HSZ876" s="7" t="s">
        <v>23</v>
      </c>
      <c r="HTA876" s="29"/>
      <c r="HTB876" s="44">
        <v>44198</v>
      </c>
      <c r="HTC876" s="30" t="s">
        <v>22</v>
      </c>
      <c r="HTD876" s="31">
        <v>20890</v>
      </c>
      <c r="HTE876" s="30">
        <v>1472014</v>
      </c>
      <c r="HTF876" s="30">
        <f ca="1">YEAR(TODAY())-YEAR(HTD876)</f>
        <v>69</v>
      </c>
      <c r="HTG876" s="245"/>
      <c r="HTH876" s="7" t="s">
        <v>23</v>
      </c>
      <c r="HTI876" s="29"/>
      <c r="HTJ876" s="44">
        <v>44198</v>
      </c>
      <c r="HTK876" s="30" t="s">
        <v>22</v>
      </c>
      <c r="HTL876" s="31">
        <v>20890</v>
      </c>
      <c r="HTM876" s="30">
        <v>1472014</v>
      </c>
      <c r="HTN876" s="30">
        <f ca="1">YEAR(TODAY())-YEAR(HTL876)</f>
        <v>69</v>
      </c>
      <c r="HTO876" s="245"/>
      <c r="HTP876" s="7" t="s">
        <v>23</v>
      </c>
      <c r="HTQ876" s="29"/>
      <c r="HTR876" s="44">
        <v>44198</v>
      </c>
      <c r="HTS876" s="30" t="s">
        <v>22</v>
      </c>
      <c r="HTT876" s="31">
        <v>20890</v>
      </c>
      <c r="HTU876" s="30">
        <v>1472014</v>
      </c>
      <c r="HTV876" s="30">
        <f ca="1">YEAR(TODAY())-YEAR(HTT876)</f>
        <v>69</v>
      </c>
      <c r="HTW876" s="245"/>
      <c r="HTX876" s="7" t="s">
        <v>23</v>
      </c>
      <c r="HTY876" s="29"/>
      <c r="HTZ876" s="44">
        <v>44198</v>
      </c>
      <c r="HUA876" s="30" t="s">
        <v>22</v>
      </c>
      <c r="HUB876" s="31">
        <v>20890</v>
      </c>
      <c r="HUC876" s="30">
        <v>1472014</v>
      </c>
      <c r="HUD876" s="30">
        <f ca="1">YEAR(TODAY())-YEAR(HUB876)</f>
        <v>69</v>
      </c>
      <c r="HUE876" s="245"/>
      <c r="HUF876" s="7" t="s">
        <v>23</v>
      </c>
      <c r="HUG876" s="29"/>
      <c r="HUH876" s="44">
        <v>44198</v>
      </c>
      <c r="HUI876" s="30" t="s">
        <v>22</v>
      </c>
      <c r="HUJ876" s="31">
        <v>20890</v>
      </c>
      <c r="HUK876" s="30">
        <v>1472014</v>
      </c>
      <c r="HUL876" s="30">
        <f ca="1">YEAR(TODAY())-YEAR(HUJ876)</f>
        <v>69</v>
      </c>
      <c r="HUM876" s="245"/>
      <c r="HUN876" s="7" t="s">
        <v>23</v>
      </c>
      <c r="HUO876" s="29"/>
      <c r="HUP876" s="44">
        <v>44198</v>
      </c>
      <c r="HUQ876" s="30" t="s">
        <v>22</v>
      </c>
      <c r="HUR876" s="31">
        <v>20890</v>
      </c>
      <c r="HUS876" s="30">
        <v>1472014</v>
      </c>
      <c r="HUT876" s="30">
        <f ca="1">YEAR(TODAY())-YEAR(HUR876)</f>
        <v>69</v>
      </c>
      <c r="HUU876" s="245"/>
      <c r="HUV876" s="7" t="s">
        <v>23</v>
      </c>
      <c r="HUW876" s="29"/>
      <c r="HUX876" s="44">
        <v>44198</v>
      </c>
      <c r="HUY876" s="30" t="s">
        <v>22</v>
      </c>
      <c r="HUZ876" s="31">
        <v>20890</v>
      </c>
      <c r="HVA876" s="30">
        <v>1472014</v>
      </c>
      <c r="HVB876" s="30">
        <f ca="1">YEAR(TODAY())-YEAR(HUZ876)</f>
        <v>69</v>
      </c>
      <c r="HVC876" s="245"/>
      <c r="HVD876" s="7" t="s">
        <v>23</v>
      </c>
      <c r="HVE876" s="29"/>
      <c r="HVF876" s="44">
        <v>44198</v>
      </c>
      <c r="HVG876" s="30" t="s">
        <v>22</v>
      </c>
      <c r="HVH876" s="31">
        <v>20890</v>
      </c>
      <c r="HVI876" s="30">
        <v>1472014</v>
      </c>
      <c r="HVJ876" s="30">
        <f ca="1">YEAR(TODAY())-YEAR(HVH876)</f>
        <v>69</v>
      </c>
      <c r="HVK876" s="245"/>
      <c r="HVL876" s="7" t="s">
        <v>23</v>
      </c>
      <c r="HVM876" s="29"/>
      <c r="HVN876" s="44">
        <v>44198</v>
      </c>
      <c r="HVO876" s="30" t="s">
        <v>22</v>
      </c>
      <c r="HVP876" s="31">
        <v>20890</v>
      </c>
      <c r="HVQ876" s="30">
        <v>1472014</v>
      </c>
      <c r="HVR876" s="30">
        <f ca="1">YEAR(TODAY())-YEAR(HVP876)</f>
        <v>69</v>
      </c>
      <c r="HVS876" s="245"/>
      <c r="HVT876" s="7" t="s">
        <v>23</v>
      </c>
      <c r="HVU876" s="29"/>
      <c r="HVV876" s="44">
        <v>44198</v>
      </c>
      <c r="HVW876" s="30" t="s">
        <v>22</v>
      </c>
      <c r="HVX876" s="31">
        <v>20890</v>
      </c>
      <c r="HVY876" s="30">
        <v>1472014</v>
      </c>
      <c r="HVZ876" s="30">
        <f ca="1">YEAR(TODAY())-YEAR(HVX876)</f>
        <v>69</v>
      </c>
      <c r="HWA876" s="245"/>
      <c r="HWB876" s="7" t="s">
        <v>23</v>
      </c>
      <c r="HWC876" s="29"/>
      <c r="HWD876" s="44">
        <v>44198</v>
      </c>
      <c r="HWE876" s="30" t="s">
        <v>22</v>
      </c>
      <c r="HWF876" s="31">
        <v>20890</v>
      </c>
      <c r="HWG876" s="30">
        <v>1472014</v>
      </c>
      <c r="HWH876" s="30">
        <f ca="1">YEAR(TODAY())-YEAR(HWF876)</f>
        <v>69</v>
      </c>
      <c r="HWI876" s="245"/>
      <c r="HWJ876" s="7" t="s">
        <v>23</v>
      </c>
      <c r="HWK876" s="29"/>
      <c r="HWL876" s="44">
        <v>44198</v>
      </c>
      <c r="HWM876" s="30" t="s">
        <v>22</v>
      </c>
      <c r="HWN876" s="31">
        <v>20890</v>
      </c>
      <c r="HWO876" s="30">
        <v>1472014</v>
      </c>
      <c r="HWP876" s="30">
        <f ca="1">YEAR(TODAY())-YEAR(HWN876)</f>
        <v>69</v>
      </c>
      <c r="HWQ876" s="245"/>
      <c r="HWR876" s="7" t="s">
        <v>23</v>
      </c>
      <c r="HWS876" s="29"/>
      <c r="HWT876" s="44">
        <v>44198</v>
      </c>
      <c r="HWU876" s="30" t="s">
        <v>22</v>
      </c>
      <c r="HWV876" s="31">
        <v>20890</v>
      </c>
      <c r="HWW876" s="30">
        <v>1472014</v>
      </c>
      <c r="HWX876" s="30">
        <f ca="1">YEAR(TODAY())-YEAR(HWV876)</f>
        <v>69</v>
      </c>
      <c r="HWY876" s="245"/>
      <c r="HWZ876" s="7" t="s">
        <v>23</v>
      </c>
      <c r="HXA876" s="29"/>
      <c r="HXB876" s="44">
        <v>44198</v>
      </c>
      <c r="HXC876" s="30" t="s">
        <v>22</v>
      </c>
      <c r="HXD876" s="31">
        <v>20890</v>
      </c>
      <c r="HXE876" s="30">
        <v>1472014</v>
      </c>
      <c r="HXF876" s="30">
        <f ca="1">YEAR(TODAY())-YEAR(HXD876)</f>
        <v>69</v>
      </c>
      <c r="HXG876" s="245"/>
      <c r="HXH876" s="7" t="s">
        <v>23</v>
      </c>
      <c r="HXI876" s="29"/>
      <c r="HXJ876" s="44">
        <v>44198</v>
      </c>
      <c r="HXK876" s="30" t="s">
        <v>22</v>
      </c>
      <c r="HXL876" s="31">
        <v>20890</v>
      </c>
      <c r="HXM876" s="30">
        <v>1472014</v>
      </c>
      <c r="HXN876" s="30">
        <f ca="1">YEAR(TODAY())-YEAR(HXL876)</f>
        <v>69</v>
      </c>
      <c r="HXO876" s="245"/>
      <c r="HXP876" s="7" t="s">
        <v>23</v>
      </c>
      <c r="HXQ876" s="29"/>
      <c r="HXR876" s="44">
        <v>44198</v>
      </c>
      <c r="HXS876" s="30" t="s">
        <v>22</v>
      </c>
      <c r="HXT876" s="31">
        <v>20890</v>
      </c>
      <c r="HXU876" s="30">
        <v>1472014</v>
      </c>
      <c r="HXV876" s="30">
        <f ca="1">YEAR(TODAY())-YEAR(HXT876)</f>
        <v>69</v>
      </c>
      <c r="HXW876" s="245"/>
      <c r="HXX876" s="7" t="s">
        <v>23</v>
      </c>
      <c r="HXY876" s="29"/>
      <c r="HXZ876" s="44">
        <v>44198</v>
      </c>
      <c r="HYA876" s="30" t="s">
        <v>22</v>
      </c>
      <c r="HYB876" s="31">
        <v>20890</v>
      </c>
      <c r="HYC876" s="30">
        <v>1472014</v>
      </c>
      <c r="HYD876" s="30">
        <f ca="1">YEAR(TODAY())-YEAR(HYB876)</f>
        <v>69</v>
      </c>
      <c r="HYE876" s="245"/>
      <c r="HYF876" s="7" t="s">
        <v>23</v>
      </c>
      <c r="HYG876" s="29"/>
      <c r="HYH876" s="44">
        <v>44198</v>
      </c>
      <c r="HYI876" s="30" t="s">
        <v>22</v>
      </c>
      <c r="HYJ876" s="31">
        <v>20890</v>
      </c>
      <c r="HYK876" s="30">
        <v>1472014</v>
      </c>
      <c r="HYL876" s="30">
        <f ca="1">YEAR(TODAY())-YEAR(HYJ876)</f>
        <v>69</v>
      </c>
      <c r="HYM876" s="245"/>
      <c r="HYN876" s="7" t="s">
        <v>23</v>
      </c>
      <c r="HYO876" s="29"/>
      <c r="HYP876" s="44">
        <v>44198</v>
      </c>
      <c r="HYQ876" s="30" t="s">
        <v>22</v>
      </c>
      <c r="HYR876" s="31">
        <v>20890</v>
      </c>
      <c r="HYS876" s="30">
        <v>1472014</v>
      </c>
      <c r="HYT876" s="30">
        <f ca="1">YEAR(TODAY())-YEAR(HYR876)</f>
        <v>69</v>
      </c>
      <c r="HYU876" s="245"/>
      <c r="HYV876" s="7" t="s">
        <v>23</v>
      </c>
      <c r="HYW876" s="29"/>
      <c r="HYX876" s="44">
        <v>44198</v>
      </c>
      <c r="HYY876" s="30" t="s">
        <v>22</v>
      </c>
      <c r="HYZ876" s="31">
        <v>20890</v>
      </c>
      <c r="HZA876" s="30">
        <v>1472014</v>
      </c>
      <c r="HZB876" s="30">
        <f ca="1">YEAR(TODAY())-YEAR(HYZ876)</f>
        <v>69</v>
      </c>
      <c r="HZC876" s="245"/>
      <c r="HZD876" s="7" t="s">
        <v>23</v>
      </c>
      <c r="HZE876" s="29"/>
      <c r="HZF876" s="44">
        <v>44198</v>
      </c>
      <c r="HZG876" s="30" t="s">
        <v>22</v>
      </c>
      <c r="HZH876" s="31">
        <v>20890</v>
      </c>
      <c r="HZI876" s="30">
        <v>1472014</v>
      </c>
      <c r="HZJ876" s="30">
        <f ca="1">YEAR(TODAY())-YEAR(HZH876)</f>
        <v>69</v>
      </c>
      <c r="HZK876" s="245"/>
      <c r="HZL876" s="7" t="s">
        <v>23</v>
      </c>
      <c r="HZM876" s="29"/>
      <c r="HZN876" s="44">
        <v>44198</v>
      </c>
      <c r="HZO876" s="30" t="s">
        <v>22</v>
      </c>
      <c r="HZP876" s="31">
        <v>20890</v>
      </c>
      <c r="HZQ876" s="30">
        <v>1472014</v>
      </c>
      <c r="HZR876" s="30">
        <f ca="1">YEAR(TODAY())-YEAR(HZP876)</f>
        <v>69</v>
      </c>
      <c r="HZS876" s="245"/>
      <c r="HZT876" s="7" t="s">
        <v>23</v>
      </c>
      <c r="HZU876" s="29"/>
      <c r="HZV876" s="44">
        <v>44198</v>
      </c>
      <c r="HZW876" s="30" t="s">
        <v>22</v>
      </c>
      <c r="HZX876" s="31">
        <v>20890</v>
      </c>
      <c r="HZY876" s="30">
        <v>1472014</v>
      </c>
      <c r="HZZ876" s="30">
        <f ca="1">YEAR(TODAY())-YEAR(HZX876)</f>
        <v>69</v>
      </c>
      <c r="IAA876" s="245"/>
      <c r="IAB876" s="7" t="s">
        <v>23</v>
      </c>
      <c r="IAC876" s="29"/>
      <c r="IAD876" s="44">
        <v>44198</v>
      </c>
      <c r="IAE876" s="30" t="s">
        <v>22</v>
      </c>
      <c r="IAF876" s="31">
        <v>20890</v>
      </c>
      <c r="IAG876" s="30">
        <v>1472014</v>
      </c>
      <c r="IAH876" s="30">
        <f ca="1">YEAR(TODAY())-YEAR(IAF876)</f>
        <v>69</v>
      </c>
      <c r="IAI876" s="245"/>
      <c r="IAJ876" s="7" t="s">
        <v>23</v>
      </c>
      <c r="IAK876" s="29"/>
      <c r="IAL876" s="44">
        <v>44198</v>
      </c>
      <c r="IAM876" s="30" t="s">
        <v>22</v>
      </c>
      <c r="IAN876" s="31">
        <v>20890</v>
      </c>
      <c r="IAO876" s="30">
        <v>1472014</v>
      </c>
      <c r="IAP876" s="30">
        <f ca="1">YEAR(TODAY())-YEAR(IAN876)</f>
        <v>69</v>
      </c>
      <c r="IAQ876" s="245"/>
      <c r="IAR876" s="7" t="s">
        <v>23</v>
      </c>
      <c r="IAS876" s="29"/>
      <c r="IAT876" s="44">
        <v>44198</v>
      </c>
      <c r="IAU876" s="30" t="s">
        <v>22</v>
      </c>
      <c r="IAV876" s="31">
        <v>20890</v>
      </c>
      <c r="IAW876" s="30">
        <v>1472014</v>
      </c>
      <c r="IAX876" s="30">
        <f ca="1">YEAR(TODAY())-YEAR(IAV876)</f>
        <v>69</v>
      </c>
      <c r="IAY876" s="245"/>
      <c r="IAZ876" s="7" t="s">
        <v>23</v>
      </c>
      <c r="IBA876" s="29"/>
      <c r="IBB876" s="44">
        <v>44198</v>
      </c>
      <c r="IBC876" s="30" t="s">
        <v>22</v>
      </c>
      <c r="IBD876" s="31">
        <v>20890</v>
      </c>
      <c r="IBE876" s="30">
        <v>1472014</v>
      </c>
      <c r="IBF876" s="30">
        <f ca="1">YEAR(TODAY())-YEAR(IBD876)</f>
        <v>69</v>
      </c>
      <c r="IBG876" s="245"/>
      <c r="IBH876" s="7" t="s">
        <v>23</v>
      </c>
      <c r="IBI876" s="29"/>
      <c r="IBJ876" s="44">
        <v>44198</v>
      </c>
      <c r="IBK876" s="30" t="s">
        <v>22</v>
      </c>
      <c r="IBL876" s="31">
        <v>20890</v>
      </c>
      <c r="IBM876" s="30">
        <v>1472014</v>
      </c>
      <c r="IBN876" s="30">
        <f ca="1">YEAR(TODAY())-YEAR(IBL876)</f>
        <v>69</v>
      </c>
      <c r="IBO876" s="245"/>
      <c r="IBP876" s="7" t="s">
        <v>23</v>
      </c>
      <c r="IBQ876" s="29"/>
      <c r="IBR876" s="44">
        <v>44198</v>
      </c>
      <c r="IBS876" s="30" t="s">
        <v>22</v>
      </c>
      <c r="IBT876" s="31">
        <v>20890</v>
      </c>
      <c r="IBU876" s="30">
        <v>1472014</v>
      </c>
      <c r="IBV876" s="30">
        <f ca="1">YEAR(TODAY())-YEAR(IBT876)</f>
        <v>69</v>
      </c>
      <c r="IBW876" s="245"/>
      <c r="IBX876" s="7" t="s">
        <v>23</v>
      </c>
      <c r="IBY876" s="29"/>
      <c r="IBZ876" s="44">
        <v>44198</v>
      </c>
      <c r="ICA876" s="30" t="s">
        <v>22</v>
      </c>
      <c r="ICB876" s="31">
        <v>20890</v>
      </c>
      <c r="ICC876" s="30">
        <v>1472014</v>
      </c>
      <c r="ICD876" s="30">
        <f ca="1">YEAR(TODAY())-YEAR(ICB876)</f>
        <v>69</v>
      </c>
      <c r="ICE876" s="245"/>
      <c r="ICF876" s="7" t="s">
        <v>23</v>
      </c>
      <c r="ICG876" s="29"/>
      <c r="ICH876" s="44">
        <v>44198</v>
      </c>
      <c r="ICI876" s="30" t="s">
        <v>22</v>
      </c>
      <c r="ICJ876" s="31">
        <v>20890</v>
      </c>
      <c r="ICK876" s="30">
        <v>1472014</v>
      </c>
      <c r="ICL876" s="30">
        <f ca="1">YEAR(TODAY())-YEAR(ICJ876)</f>
        <v>69</v>
      </c>
      <c r="ICM876" s="245"/>
      <c r="ICN876" s="7" t="s">
        <v>23</v>
      </c>
      <c r="ICO876" s="29"/>
      <c r="ICP876" s="44">
        <v>44198</v>
      </c>
      <c r="ICQ876" s="30" t="s">
        <v>22</v>
      </c>
      <c r="ICR876" s="31">
        <v>20890</v>
      </c>
      <c r="ICS876" s="30">
        <v>1472014</v>
      </c>
      <c r="ICT876" s="30">
        <f ca="1">YEAR(TODAY())-YEAR(ICR876)</f>
        <v>69</v>
      </c>
      <c r="ICU876" s="245"/>
      <c r="ICV876" s="7" t="s">
        <v>23</v>
      </c>
      <c r="ICW876" s="29"/>
      <c r="ICX876" s="44">
        <v>44198</v>
      </c>
      <c r="ICY876" s="30" t="s">
        <v>22</v>
      </c>
      <c r="ICZ876" s="31">
        <v>20890</v>
      </c>
      <c r="IDA876" s="30">
        <v>1472014</v>
      </c>
      <c r="IDB876" s="30">
        <f ca="1">YEAR(TODAY())-YEAR(ICZ876)</f>
        <v>69</v>
      </c>
      <c r="IDC876" s="245"/>
      <c r="IDD876" s="7" t="s">
        <v>23</v>
      </c>
      <c r="IDE876" s="29"/>
      <c r="IDF876" s="44">
        <v>44198</v>
      </c>
      <c r="IDG876" s="30" t="s">
        <v>22</v>
      </c>
      <c r="IDH876" s="31">
        <v>20890</v>
      </c>
      <c r="IDI876" s="30">
        <v>1472014</v>
      </c>
      <c r="IDJ876" s="30">
        <f ca="1">YEAR(TODAY())-YEAR(IDH876)</f>
        <v>69</v>
      </c>
      <c r="IDK876" s="245"/>
      <c r="IDL876" s="7" t="s">
        <v>23</v>
      </c>
      <c r="IDM876" s="29"/>
      <c r="IDN876" s="44">
        <v>44198</v>
      </c>
      <c r="IDO876" s="30" t="s">
        <v>22</v>
      </c>
      <c r="IDP876" s="31">
        <v>20890</v>
      </c>
      <c r="IDQ876" s="30">
        <v>1472014</v>
      </c>
      <c r="IDR876" s="30">
        <f ca="1">YEAR(TODAY())-YEAR(IDP876)</f>
        <v>69</v>
      </c>
      <c r="IDS876" s="245"/>
      <c r="IDT876" s="7" t="s">
        <v>23</v>
      </c>
      <c r="IDU876" s="29"/>
      <c r="IDV876" s="44">
        <v>44198</v>
      </c>
      <c r="IDW876" s="30" t="s">
        <v>22</v>
      </c>
      <c r="IDX876" s="31">
        <v>20890</v>
      </c>
      <c r="IDY876" s="30">
        <v>1472014</v>
      </c>
      <c r="IDZ876" s="30">
        <f ca="1">YEAR(TODAY())-YEAR(IDX876)</f>
        <v>69</v>
      </c>
      <c r="IEA876" s="245"/>
      <c r="IEB876" s="7" t="s">
        <v>23</v>
      </c>
      <c r="IEC876" s="29"/>
      <c r="IED876" s="44">
        <v>44198</v>
      </c>
      <c r="IEE876" s="30" t="s">
        <v>22</v>
      </c>
      <c r="IEF876" s="31">
        <v>20890</v>
      </c>
      <c r="IEG876" s="30">
        <v>1472014</v>
      </c>
      <c r="IEH876" s="30">
        <f ca="1">YEAR(TODAY())-YEAR(IEF876)</f>
        <v>69</v>
      </c>
      <c r="IEI876" s="245"/>
      <c r="IEJ876" s="7" t="s">
        <v>23</v>
      </c>
      <c r="IEK876" s="29"/>
      <c r="IEL876" s="44">
        <v>44198</v>
      </c>
      <c r="IEM876" s="30" t="s">
        <v>22</v>
      </c>
      <c r="IEN876" s="31">
        <v>20890</v>
      </c>
      <c r="IEO876" s="30">
        <v>1472014</v>
      </c>
      <c r="IEP876" s="30">
        <f ca="1">YEAR(TODAY())-YEAR(IEN876)</f>
        <v>69</v>
      </c>
      <c r="IEQ876" s="245"/>
      <c r="IER876" s="7" t="s">
        <v>23</v>
      </c>
      <c r="IES876" s="29"/>
      <c r="IET876" s="44">
        <v>44198</v>
      </c>
      <c r="IEU876" s="30" t="s">
        <v>22</v>
      </c>
      <c r="IEV876" s="31">
        <v>20890</v>
      </c>
      <c r="IEW876" s="30">
        <v>1472014</v>
      </c>
      <c r="IEX876" s="30">
        <f ca="1">YEAR(TODAY())-YEAR(IEV876)</f>
        <v>69</v>
      </c>
      <c r="IEY876" s="245"/>
      <c r="IEZ876" s="7" t="s">
        <v>23</v>
      </c>
      <c r="IFA876" s="29"/>
      <c r="IFB876" s="44">
        <v>44198</v>
      </c>
      <c r="IFC876" s="30" t="s">
        <v>22</v>
      </c>
      <c r="IFD876" s="31">
        <v>20890</v>
      </c>
      <c r="IFE876" s="30">
        <v>1472014</v>
      </c>
      <c r="IFF876" s="30">
        <f ca="1">YEAR(TODAY())-YEAR(IFD876)</f>
        <v>69</v>
      </c>
      <c r="IFG876" s="245"/>
      <c r="IFH876" s="7" t="s">
        <v>23</v>
      </c>
      <c r="IFI876" s="29"/>
      <c r="IFJ876" s="44">
        <v>44198</v>
      </c>
      <c r="IFK876" s="30" t="s">
        <v>22</v>
      </c>
      <c r="IFL876" s="31">
        <v>20890</v>
      </c>
      <c r="IFM876" s="30">
        <v>1472014</v>
      </c>
      <c r="IFN876" s="30">
        <f ca="1">YEAR(TODAY())-YEAR(IFL876)</f>
        <v>69</v>
      </c>
      <c r="IFO876" s="245"/>
      <c r="IFP876" s="7" t="s">
        <v>23</v>
      </c>
      <c r="IFQ876" s="29"/>
      <c r="IFR876" s="44">
        <v>44198</v>
      </c>
      <c r="IFS876" s="30" t="s">
        <v>22</v>
      </c>
      <c r="IFT876" s="31">
        <v>20890</v>
      </c>
      <c r="IFU876" s="30">
        <v>1472014</v>
      </c>
      <c r="IFV876" s="30">
        <f ca="1">YEAR(TODAY())-YEAR(IFT876)</f>
        <v>69</v>
      </c>
      <c r="IFW876" s="245"/>
      <c r="IFX876" s="7" t="s">
        <v>23</v>
      </c>
      <c r="IFY876" s="29"/>
      <c r="IFZ876" s="44">
        <v>44198</v>
      </c>
      <c r="IGA876" s="30" t="s">
        <v>22</v>
      </c>
      <c r="IGB876" s="31">
        <v>20890</v>
      </c>
      <c r="IGC876" s="30">
        <v>1472014</v>
      </c>
      <c r="IGD876" s="30">
        <f ca="1">YEAR(TODAY())-YEAR(IGB876)</f>
        <v>69</v>
      </c>
      <c r="IGE876" s="245"/>
      <c r="IGF876" s="7" t="s">
        <v>23</v>
      </c>
      <c r="IGG876" s="29"/>
      <c r="IGH876" s="44">
        <v>44198</v>
      </c>
      <c r="IGI876" s="30" t="s">
        <v>22</v>
      </c>
      <c r="IGJ876" s="31">
        <v>20890</v>
      </c>
      <c r="IGK876" s="30">
        <v>1472014</v>
      </c>
      <c r="IGL876" s="30">
        <f ca="1">YEAR(TODAY())-YEAR(IGJ876)</f>
        <v>69</v>
      </c>
      <c r="IGM876" s="245"/>
      <c r="IGN876" s="7" t="s">
        <v>23</v>
      </c>
      <c r="IGO876" s="29"/>
      <c r="IGP876" s="44">
        <v>44198</v>
      </c>
      <c r="IGQ876" s="30" t="s">
        <v>22</v>
      </c>
      <c r="IGR876" s="31">
        <v>20890</v>
      </c>
      <c r="IGS876" s="30">
        <v>1472014</v>
      </c>
      <c r="IGT876" s="30">
        <f ca="1">YEAR(TODAY())-YEAR(IGR876)</f>
        <v>69</v>
      </c>
      <c r="IGU876" s="245"/>
      <c r="IGV876" s="7" t="s">
        <v>23</v>
      </c>
      <c r="IGW876" s="29"/>
      <c r="IGX876" s="44">
        <v>44198</v>
      </c>
      <c r="IGY876" s="30" t="s">
        <v>22</v>
      </c>
      <c r="IGZ876" s="31">
        <v>20890</v>
      </c>
      <c r="IHA876" s="30">
        <v>1472014</v>
      </c>
      <c r="IHB876" s="30">
        <f ca="1">YEAR(TODAY())-YEAR(IGZ876)</f>
        <v>69</v>
      </c>
      <c r="IHC876" s="245"/>
      <c r="IHD876" s="7" t="s">
        <v>23</v>
      </c>
      <c r="IHE876" s="29"/>
      <c r="IHF876" s="44">
        <v>44198</v>
      </c>
      <c r="IHG876" s="30" t="s">
        <v>22</v>
      </c>
      <c r="IHH876" s="31">
        <v>20890</v>
      </c>
      <c r="IHI876" s="30">
        <v>1472014</v>
      </c>
      <c r="IHJ876" s="30">
        <f ca="1">YEAR(TODAY())-YEAR(IHH876)</f>
        <v>69</v>
      </c>
      <c r="IHK876" s="245"/>
      <c r="IHL876" s="7" t="s">
        <v>23</v>
      </c>
      <c r="IHM876" s="29"/>
      <c r="IHN876" s="44">
        <v>44198</v>
      </c>
      <c r="IHO876" s="30" t="s">
        <v>22</v>
      </c>
      <c r="IHP876" s="31">
        <v>20890</v>
      </c>
      <c r="IHQ876" s="30">
        <v>1472014</v>
      </c>
      <c r="IHR876" s="30">
        <f ca="1">YEAR(TODAY())-YEAR(IHP876)</f>
        <v>69</v>
      </c>
      <c r="IHS876" s="245"/>
      <c r="IHT876" s="7" t="s">
        <v>23</v>
      </c>
      <c r="IHU876" s="29"/>
      <c r="IHV876" s="44">
        <v>44198</v>
      </c>
      <c r="IHW876" s="30" t="s">
        <v>22</v>
      </c>
      <c r="IHX876" s="31">
        <v>20890</v>
      </c>
      <c r="IHY876" s="30">
        <v>1472014</v>
      </c>
      <c r="IHZ876" s="30">
        <f ca="1">YEAR(TODAY())-YEAR(IHX876)</f>
        <v>69</v>
      </c>
      <c r="IIA876" s="245"/>
      <c r="IIB876" s="7" t="s">
        <v>23</v>
      </c>
      <c r="IIC876" s="29"/>
      <c r="IID876" s="44">
        <v>44198</v>
      </c>
      <c r="IIE876" s="30" t="s">
        <v>22</v>
      </c>
      <c r="IIF876" s="31">
        <v>20890</v>
      </c>
      <c r="IIG876" s="30">
        <v>1472014</v>
      </c>
      <c r="IIH876" s="30">
        <f ca="1">YEAR(TODAY())-YEAR(IIF876)</f>
        <v>69</v>
      </c>
      <c r="III876" s="245"/>
      <c r="IIJ876" s="7" t="s">
        <v>23</v>
      </c>
      <c r="IIK876" s="29"/>
      <c r="IIL876" s="44">
        <v>44198</v>
      </c>
      <c r="IIM876" s="30" t="s">
        <v>22</v>
      </c>
      <c r="IIN876" s="31">
        <v>20890</v>
      </c>
      <c r="IIO876" s="30">
        <v>1472014</v>
      </c>
      <c r="IIP876" s="30">
        <f ca="1">YEAR(TODAY())-YEAR(IIN876)</f>
        <v>69</v>
      </c>
      <c r="IIQ876" s="245"/>
      <c r="IIR876" s="7" t="s">
        <v>23</v>
      </c>
      <c r="IIS876" s="29"/>
      <c r="IIT876" s="44">
        <v>44198</v>
      </c>
      <c r="IIU876" s="30" t="s">
        <v>22</v>
      </c>
      <c r="IIV876" s="31">
        <v>20890</v>
      </c>
      <c r="IIW876" s="30">
        <v>1472014</v>
      </c>
      <c r="IIX876" s="30">
        <f ca="1">YEAR(TODAY())-YEAR(IIV876)</f>
        <v>69</v>
      </c>
      <c r="IIY876" s="245"/>
      <c r="IIZ876" s="7" t="s">
        <v>23</v>
      </c>
      <c r="IJA876" s="29"/>
      <c r="IJB876" s="44">
        <v>44198</v>
      </c>
      <c r="IJC876" s="30" t="s">
        <v>22</v>
      </c>
      <c r="IJD876" s="31">
        <v>20890</v>
      </c>
      <c r="IJE876" s="30">
        <v>1472014</v>
      </c>
      <c r="IJF876" s="30">
        <f ca="1">YEAR(TODAY())-YEAR(IJD876)</f>
        <v>69</v>
      </c>
      <c r="IJG876" s="245"/>
      <c r="IJH876" s="7" t="s">
        <v>23</v>
      </c>
      <c r="IJI876" s="29"/>
      <c r="IJJ876" s="44">
        <v>44198</v>
      </c>
      <c r="IJK876" s="30" t="s">
        <v>22</v>
      </c>
      <c r="IJL876" s="31">
        <v>20890</v>
      </c>
      <c r="IJM876" s="30">
        <v>1472014</v>
      </c>
      <c r="IJN876" s="30">
        <f ca="1">YEAR(TODAY())-YEAR(IJL876)</f>
        <v>69</v>
      </c>
      <c r="IJO876" s="245"/>
      <c r="IJP876" s="7" t="s">
        <v>23</v>
      </c>
      <c r="IJQ876" s="29"/>
      <c r="IJR876" s="44">
        <v>44198</v>
      </c>
      <c r="IJS876" s="30" t="s">
        <v>22</v>
      </c>
      <c r="IJT876" s="31">
        <v>20890</v>
      </c>
      <c r="IJU876" s="30">
        <v>1472014</v>
      </c>
      <c r="IJV876" s="30">
        <f ca="1">YEAR(TODAY())-YEAR(IJT876)</f>
        <v>69</v>
      </c>
      <c r="IJW876" s="245"/>
      <c r="IJX876" s="7" t="s">
        <v>23</v>
      </c>
      <c r="IJY876" s="29"/>
      <c r="IJZ876" s="44">
        <v>44198</v>
      </c>
      <c r="IKA876" s="30" t="s">
        <v>22</v>
      </c>
      <c r="IKB876" s="31">
        <v>20890</v>
      </c>
      <c r="IKC876" s="30">
        <v>1472014</v>
      </c>
      <c r="IKD876" s="30">
        <f ca="1">YEAR(TODAY())-YEAR(IKB876)</f>
        <v>69</v>
      </c>
      <c r="IKE876" s="245"/>
      <c r="IKF876" s="7" t="s">
        <v>23</v>
      </c>
      <c r="IKG876" s="29"/>
      <c r="IKH876" s="44">
        <v>44198</v>
      </c>
      <c r="IKI876" s="30" t="s">
        <v>22</v>
      </c>
      <c r="IKJ876" s="31">
        <v>20890</v>
      </c>
      <c r="IKK876" s="30">
        <v>1472014</v>
      </c>
      <c r="IKL876" s="30">
        <f ca="1">YEAR(TODAY())-YEAR(IKJ876)</f>
        <v>69</v>
      </c>
      <c r="IKM876" s="245"/>
      <c r="IKN876" s="7" t="s">
        <v>23</v>
      </c>
      <c r="IKO876" s="29"/>
      <c r="IKP876" s="44">
        <v>44198</v>
      </c>
      <c r="IKQ876" s="30" t="s">
        <v>22</v>
      </c>
      <c r="IKR876" s="31">
        <v>20890</v>
      </c>
      <c r="IKS876" s="30">
        <v>1472014</v>
      </c>
      <c r="IKT876" s="30">
        <f ca="1">YEAR(TODAY())-YEAR(IKR876)</f>
        <v>69</v>
      </c>
      <c r="IKU876" s="245"/>
      <c r="IKV876" s="7" t="s">
        <v>23</v>
      </c>
      <c r="IKW876" s="29"/>
      <c r="IKX876" s="44">
        <v>44198</v>
      </c>
      <c r="IKY876" s="30" t="s">
        <v>22</v>
      </c>
      <c r="IKZ876" s="31">
        <v>20890</v>
      </c>
      <c r="ILA876" s="30">
        <v>1472014</v>
      </c>
      <c r="ILB876" s="30">
        <f ca="1">YEAR(TODAY())-YEAR(IKZ876)</f>
        <v>69</v>
      </c>
      <c r="ILC876" s="245"/>
      <c r="ILD876" s="7" t="s">
        <v>23</v>
      </c>
      <c r="ILE876" s="29"/>
      <c r="ILF876" s="44">
        <v>44198</v>
      </c>
      <c r="ILG876" s="30" t="s">
        <v>22</v>
      </c>
      <c r="ILH876" s="31">
        <v>20890</v>
      </c>
      <c r="ILI876" s="30">
        <v>1472014</v>
      </c>
      <c r="ILJ876" s="30">
        <f ca="1">YEAR(TODAY())-YEAR(ILH876)</f>
        <v>69</v>
      </c>
      <c r="ILK876" s="245"/>
      <c r="ILL876" s="7" t="s">
        <v>23</v>
      </c>
      <c r="ILM876" s="29"/>
      <c r="ILN876" s="44">
        <v>44198</v>
      </c>
      <c r="ILO876" s="30" t="s">
        <v>22</v>
      </c>
      <c r="ILP876" s="31">
        <v>20890</v>
      </c>
      <c r="ILQ876" s="30">
        <v>1472014</v>
      </c>
      <c r="ILR876" s="30">
        <f ca="1">YEAR(TODAY())-YEAR(ILP876)</f>
        <v>69</v>
      </c>
      <c r="ILS876" s="245"/>
      <c r="ILT876" s="7" t="s">
        <v>23</v>
      </c>
      <c r="ILU876" s="29"/>
      <c r="ILV876" s="44">
        <v>44198</v>
      </c>
      <c r="ILW876" s="30" t="s">
        <v>22</v>
      </c>
      <c r="ILX876" s="31">
        <v>20890</v>
      </c>
      <c r="ILY876" s="30">
        <v>1472014</v>
      </c>
      <c r="ILZ876" s="30">
        <f ca="1">YEAR(TODAY())-YEAR(ILX876)</f>
        <v>69</v>
      </c>
      <c r="IMA876" s="245"/>
      <c r="IMB876" s="7" t="s">
        <v>23</v>
      </c>
      <c r="IMC876" s="29"/>
      <c r="IMD876" s="44">
        <v>44198</v>
      </c>
      <c r="IME876" s="30" t="s">
        <v>22</v>
      </c>
      <c r="IMF876" s="31">
        <v>20890</v>
      </c>
      <c r="IMG876" s="30">
        <v>1472014</v>
      </c>
      <c r="IMH876" s="30">
        <f ca="1">YEAR(TODAY())-YEAR(IMF876)</f>
        <v>69</v>
      </c>
      <c r="IMI876" s="245"/>
      <c r="IMJ876" s="7" t="s">
        <v>23</v>
      </c>
      <c r="IMK876" s="29"/>
      <c r="IML876" s="44">
        <v>44198</v>
      </c>
      <c r="IMM876" s="30" t="s">
        <v>22</v>
      </c>
      <c r="IMN876" s="31">
        <v>20890</v>
      </c>
      <c r="IMO876" s="30">
        <v>1472014</v>
      </c>
      <c r="IMP876" s="30">
        <f ca="1">YEAR(TODAY())-YEAR(IMN876)</f>
        <v>69</v>
      </c>
      <c r="IMQ876" s="245"/>
      <c r="IMR876" s="7" t="s">
        <v>23</v>
      </c>
      <c r="IMS876" s="29"/>
      <c r="IMT876" s="44">
        <v>44198</v>
      </c>
      <c r="IMU876" s="30" t="s">
        <v>22</v>
      </c>
      <c r="IMV876" s="31">
        <v>20890</v>
      </c>
      <c r="IMW876" s="30">
        <v>1472014</v>
      </c>
      <c r="IMX876" s="30">
        <f ca="1">YEAR(TODAY())-YEAR(IMV876)</f>
        <v>69</v>
      </c>
      <c r="IMY876" s="245"/>
      <c r="IMZ876" s="7" t="s">
        <v>23</v>
      </c>
      <c r="INA876" s="29"/>
      <c r="INB876" s="44">
        <v>44198</v>
      </c>
      <c r="INC876" s="30" t="s">
        <v>22</v>
      </c>
      <c r="IND876" s="31">
        <v>20890</v>
      </c>
      <c r="INE876" s="30">
        <v>1472014</v>
      </c>
      <c r="INF876" s="30">
        <f ca="1">YEAR(TODAY())-YEAR(IND876)</f>
        <v>69</v>
      </c>
      <c r="ING876" s="245"/>
      <c r="INH876" s="7" t="s">
        <v>23</v>
      </c>
      <c r="INI876" s="29"/>
      <c r="INJ876" s="44">
        <v>44198</v>
      </c>
      <c r="INK876" s="30" t="s">
        <v>22</v>
      </c>
      <c r="INL876" s="31">
        <v>20890</v>
      </c>
      <c r="INM876" s="30">
        <v>1472014</v>
      </c>
      <c r="INN876" s="30">
        <f ca="1">YEAR(TODAY())-YEAR(INL876)</f>
        <v>69</v>
      </c>
      <c r="INO876" s="245"/>
      <c r="INP876" s="7" t="s">
        <v>23</v>
      </c>
      <c r="INQ876" s="29"/>
      <c r="INR876" s="44">
        <v>44198</v>
      </c>
      <c r="INS876" s="30" t="s">
        <v>22</v>
      </c>
      <c r="INT876" s="31">
        <v>20890</v>
      </c>
      <c r="INU876" s="30">
        <v>1472014</v>
      </c>
      <c r="INV876" s="30">
        <f ca="1">YEAR(TODAY())-YEAR(INT876)</f>
        <v>69</v>
      </c>
      <c r="INW876" s="245"/>
      <c r="INX876" s="7" t="s">
        <v>23</v>
      </c>
      <c r="INY876" s="29"/>
      <c r="INZ876" s="44">
        <v>44198</v>
      </c>
      <c r="IOA876" s="30" t="s">
        <v>22</v>
      </c>
      <c r="IOB876" s="31">
        <v>20890</v>
      </c>
      <c r="IOC876" s="30">
        <v>1472014</v>
      </c>
      <c r="IOD876" s="30">
        <f ca="1">YEAR(TODAY())-YEAR(IOB876)</f>
        <v>69</v>
      </c>
      <c r="IOE876" s="245"/>
      <c r="IOF876" s="7" t="s">
        <v>23</v>
      </c>
      <c r="IOG876" s="29"/>
      <c r="IOH876" s="44">
        <v>44198</v>
      </c>
      <c r="IOI876" s="30" t="s">
        <v>22</v>
      </c>
      <c r="IOJ876" s="31">
        <v>20890</v>
      </c>
      <c r="IOK876" s="30">
        <v>1472014</v>
      </c>
      <c r="IOL876" s="30">
        <f ca="1">YEAR(TODAY())-YEAR(IOJ876)</f>
        <v>69</v>
      </c>
      <c r="IOM876" s="245"/>
      <c r="ION876" s="7" t="s">
        <v>23</v>
      </c>
      <c r="IOO876" s="29"/>
      <c r="IOP876" s="44">
        <v>44198</v>
      </c>
      <c r="IOQ876" s="30" t="s">
        <v>22</v>
      </c>
      <c r="IOR876" s="31">
        <v>20890</v>
      </c>
      <c r="IOS876" s="30">
        <v>1472014</v>
      </c>
      <c r="IOT876" s="30">
        <f ca="1">YEAR(TODAY())-YEAR(IOR876)</f>
        <v>69</v>
      </c>
      <c r="IOU876" s="245"/>
      <c r="IOV876" s="7" t="s">
        <v>23</v>
      </c>
      <c r="IOW876" s="29"/>
      <c r="IOX876" s="44">
        <v>44198</v>
      </c>
      <c r="IOY876" s="30" t="s">
        <v>22</v>
      </c>
      <c r="IOZ876" s="31">
        <v>20890</v>
      </c>
      <c r="IPA876" s="30">
        <v>1472014</v>
      </c>
      <c r="IPB876" s="30">
        <f ca="1">YEAR(TODAY())-YEAR(IOZ876)</f>
        <v>69</v>
      </c>
      <c r="IPC876" s="245"/>
      <c r="IPD876" s="7" t="s">
        <v>23</v>
      </c>
      <c r="IPE876" s="29"/>
      <c r="IPF876" s="44">
        <v>44198</v>
      </c>
      <c r="IPG876" s="30" t="s">
        <v>22</v>
      </c>
      <c r="IPH876" s="31">
        <v>20890</v>
      </c>
      <c r="IPI876" s="30">
        <v>1472014</v>
      </c>
      <c r="IPJ876" s="30">
        <f ca="1">YEAR(TODAY())-YEAR(IPH876)</f>
        <v>69</v>
      </c>
      <c r="IPK876" s="245"/>
      <c r="IPL876" s="7" t="s">
        <v>23</v>
      </c>
      <c r="IPM876" s="29"/>
      <c r="IPN876" s="44">
        <v>44198</v>
      </c>
      <c r="IPO876" s="30" t="s">
        <v>22</v>
      </c>
      <c r="IPP876" s="31">
        <v>20890</v>
      </c>
      <c r="IPQ876" s="30">
        <v>1472014</v>
      </c>
      <c r="IPR876" s="30">
        <f ca="1">YEAR(TODAY())-YEAR(IPP876)</f>
        <v>69</v>
      </c>
      <c r="IPS876" s="245"/>
      <c r="IPT876" s="7" t="s">
        <v>23</v>
      </c>
      <c r="IPU876" s="29"/>
      <c r="IPV876" s="44">
        <v>44198</v>
      </c>
      <c r="IPW876" s="30" t="s">
        <v>22</v>
      </c>
      <c r="IPX876" s="31">
        <v>20890</v>
      </c>
      <c r="IPY876" s="30">
        <v>1472014</v>
      </c>
      <c r="IPZ876" s="30">
        <f ca="1">YEAR(TODAY())-YEAR(IPX876)</f>
        <v>69</v>
      </c>
      <c r="IQA876" s="245"/>
      <c r="IQB876" s="7" t="s">
        <v>23</v>
      </c>
      <c r="IQC876" s="29"/>
      <c r="IQD876" s="44">
        <v>44198</v>
      </c>
      <c r="IQE876" s="30" t="s">
        <v>22</v>
      </c>
      <c r="IQF876" s="31">
        <v>20890</v>
      </c>
      <c r="IQG876" s="30">
        <v>1472014</v>
      </c>
      <c r="IQH876" s="30">
        <f ca="1">YEAR(TODAY())-YEAR(IQF876)</f>
        <v>69</v>
      </c>
      <c r="IQI876" s="245"/>
      <c r="IQJ876" s="7" t="s">
        <v>23</v>
      </c>
      <c r="IQK876" s="29"/>
      <c r="IQL876" s="44">
        <v>44198</v>
      </c>
      <c r="IQM876" s="30" t="s">
        <v>22</v>
      </c>
      <c r="IQN876" s="31">
        <v>20890</v>
      </c>
      <c r="IQO876" s="30">
        <v>1472014</v>
      </c>
      <c r="IQP876" s="30">
        <f ca="1">YEAR(TODAY())-YEAR(IQN876)</f>
        <v>69</v>
      </c>
      <c r="IQQ876" s="245"/>
      <c r="IQR876" s="7" t="s">
        <v>23</v>
      </c>
      <c r="IQS876" s="29"/>
      <c r="IQT876" s="44">
        <v>44198</v>
      </c>
      <c r="IQU876" s="30" t="s">
        <v>22</v>
      </c>
      <c r="IQV876" s="31">
        <v>20890</v>
      </c>
      <c r="IQW876" s="30">
        <v>1472014</v>
      </c>
      <c r="IQX876" s="30">
        <f ca="1">YEAR(TODAY())-YEAR(IQV876)</f>
        <v>69</v>
      </c>
      <c r="IQY876" s="245"/>
      <c r="IQZ876" s="7" t="s">
        <v>23</v>
      </c>
      <c r="IRA876" s="29"/>
      <c r="IRB876" s="44">
        <v>44198</v>
      </c>
      <c r="IRC876" s="30" t="s">
        <v>22</v>
      </c>
      <c r="IRD876" s="31">
        <v>20890</v>
      </c>
      <c r="IRE876" s="30">
        <v>1472014</v>
      </c>
      <c r="IRF876" s="30">
        <f ca="1">YEAR(TODAY())-YEAR(IRD876)</f>
        <v>69</v>
      </c>
      <c r="IRG876" s="245"/>
      <c r="IRH876" s="7" t="s">
        <v>23</v>
      </c>
      <c r="IRI876" s="29"/>
      <c r="IRJ876" s="44">
        <v>44198</v>
      </c>
      <c r="IRK876" s="30" t="s">
        <v>22</v>
      </c>
      <c r="IRL876" s="31">
        <v>20890</v>
      </c>
      <c r="IRM876" s="30">
        <v>1472014</v>
      </c>
      <c r="IRN876" s="30">
        <f ca="1">YEAR(TODAY())-YEAR(IRL876)</f>
        <v>69</v>
      </c>
      <c r="IRO876" s="245"/>
      <c r="IRP876" s="7" t="s">
        <v>23</v>
      </c>
      <c r="IRQ876" s="29"/>
      <c r="IRR876" s="44">
        <v>44198</v>
      </c>
      <c r="IRS876" s="30" t="s">
        <v>22</v>
      </c>
      <c r="IRT876" s="31">
        <v>20890</v>
      </c>
      <c r="IRU876" s="30">
        <v>1472014</v>
      </c>
      <c r="IRV876" s="30">
        <f ca="1">YEAR(TODAY())-YEAR(IRT876)</f>
        <v>69</v>
      </c>
      <c r="IRW876" s="245"/>
      <c r="IRX876" s="7" t="s">
        <v>23</v>
      </c>
      <c r="IRY876" s="29"/>
      <c r="IRZ876" s="44">
        <v>44198</v>
      </c>
      <c r="ISA876" s="30" t="s">
        <v>22</v>
      </c>
      <c r="ISB876" s="31">
        <v>20890</v>
      </c>
      <c r="ISC876" s="30">
        <v>1472014</v>
      </c>
      <c r="ISD876" s="30">
        <f ca="1">YEAR(TODAY())-YEAR(ISB876)</f>
        <v>69</v>
      </c>
      <c r="ISE876" s="245"/>
      <c r="ISF876" s="7" t="s">
        <v>23</v>
      </c>
      <c r="ISG876" s="29"/>
      <c r="ISH876" s="44">
        <v>44198</v>
      </c>
      <c r="ISI876" s="30" t="s">
        <v>22</v>
      </c>
      <c r="ISJ876" s="31">
        <v>20890</v>
      </c>
      <c r="ISK876" s="30">
        <v>1472014</v>
      </c>
      <c r="ISL876" s="30">
        <f ca="1">YEAR(TODAY())-YEAR(ISJ876)</f>
        <v>69</v>
      </c>
      <c r="ISM876" s="245"/>
      <c r="ISN876" s="7" t="s">
        <v>23</v>
      </c>
      <c r="ISO876" s="29"/>
      <c r="ISP876" s="44">
        <v>44198</v>
      </c>
      <c r="ISQ876" s="30" t="s">
        <v>22</v>
      </c>
      <c r="ISR876" s="31">
        <v>20890</v>
      </c>
      <c r="ISS876" s="30">
        <v>1472014</v>
      </c>
      <c r="IST876" s="30">
        <f ca="1">YEAR(TODAY())-YEAR(ISR876)</f>
        <v>69</v>
      </c>
      <c r="ISU876" s="245"/>
      <c r="ISV876" s="7" t="s">
        <v>23</v>
      </c>
      <c r="ISW876" s="29"/>
      <c r="ISX876" s="44">
        <v>44198</v>
      </c>
      <c r="ISY876" s="30" t="s">
        <v>22</v>
      </c>
      <c r="ISZ876" s="31">
        <v>20890</v>
      </c>
      <c r="ITA876" s="30">
        <v>1472014</v>
      </c>
      <c r="ITB876" s="30">
        <f ca="1">YEAR(TODAY())-YEAR(ISZ876)</f>
        <v>69</v>
      </c>
      <c r="ITC876" s="245"/>
      <c r="ITD876" s="7" t="s">
        <v>23</v>
      </c>
      <c r="ITE876" s="29"/>
      <c r="ITF876" s="44">
        <v>44198</v>
      </c>
      <c r="ITG876" s="30" t="s">
        <v>22</v>
      </c>
      <c r="ITH876" s="31">
        <v>20890</v>
      </c>
      <c r="ITI876" s="30">
        <v>1472014</v>
      </c>
      <c r="ITJ876" s="30">
        <f ca="1">YEAR(TODAY())-YEAR(ITH876)</f>
        <v>69</v>
      </c>
      <c r="ITK876" s="245"/>
      <c r="ITL876" s="7" t="s">
        <v>23</v>
      </c>
      <c r="ITM876" s="29"/>
      <c r="ITN876" s="44">
        <v>44198</v>
      </c>
      <c r="ITO876" s="30" t="s">
        <v>22</v>
      </c>
      <c r="ITP876" s="31">
        <v>20890</v>
      </c>
      <c r="ITQ876" s="30">
        <v>1472014</v>
      </c>
      <c r="ITR876" s="30">
        <f ca="1">YEAR(TODAY())-YEAR(ITP876)</f>
        <v>69</v>
      </c>
      <c r="ITS876" s="245"/>
      <c r="ITT876" s="7" t="s">
        <v>23</v>
      </c>
      <c r="ITU876" s="29"/>
      <c r="ITV876" s="44">
        <v>44198</v>
      </c>
      <c r="ITW876" s="30" t="s">
        <v>22</v>
      </c>
      <c r="ITX876" s="31">
        <v>20890</v>
      </c>
      <c r="ITY876" s="30">
        <v>1472014</v>
      </c>
      <c r="ITZ876" s="30">
        <f ca="1">YEAR(TODAY())-YEAR(ITX876)</f>
        <v>69</v>
      </c>
      <c r="IUA876" s="245"/>
      <c r="IUB876" s="7" t="s">
        <v>23</v>
      </c>
      <c r="IUC876" s="29"/>
      <c r="IUD876" s="44">
        <v>44198</v>
      </c>
      <c r="IUE876" s="30" t="s">
        <v>22</v>
      </c>
      <c r="IUF876" s="31">
        <v>20890</v>
      </c>
      <c r="IUG876" s="30">
        <v>1472014</v>
      </c>
      <c r="IUH876" s="30">
        <f ca="1">YEAR(TODAY())-YEAR(IUF876)</f>
        <v>69</v>
      </c>
      <c r="IUI876" s="245"/>
      <c r="IUJ876" s="7" t="s">
        <v>23</v>
      </c>
      <c r="IUK876" s="29"/>
      <c r="IUL876" s="44">
        <v>44198</v>
      </c>
      <c r="IUM876" s="30" t="s">
        <v>22</v>
      </c>
      <c r="IUN876" s="31">
        <v>20890</v>
      </c>
      <c r="IUO876" s="30">
        <v>1472014</v>
      </c>
      <c r="IUP876" s="30">
        <f ca="1">YEAR(TODAY())-YEAR(IUN876)</f>
        <v>69</v>
      </c>
      <c r="IUQ876" s="245"/>
      <c r="IUR876" s="7" t="s">
        <v>23</v>
      </c>
      <c r="IUS876" s="29"/>
      <c r="IUT876" s="44">
        <v>44198</v>
      </c>
      <c r="IUU876" s="30" t="s">
        <v>22</v>
      </c>
      <c r="IUV876" s="31">
        <v>20890</v>
      </c>
      <c r="IUW876" s="30">
        <v>1472014</v>
      </c>
      <c r="IUX876" s="30">
        <f ca="1">YEAR(TODAY())-YEAR(IUV876)</f>
        <v>69</v>
      </c>
      <c r="IUY876" s="245"/>
      <c r="IUZ876" s="7" t="s">
        <v>23</v>
      </c>
      <c r="IVA876" s="29"/>
      <c r="IVB876" s="44">
        <v>44198</v>
      </c>
      <c r="IVC876" s="30" t="s">
        <v>22</v>
      </c>
      <c r="IVD876" s="31">
        <v>20890</v>
      </c>
      <c r="IVE876" s="30">
        <v>1472014</v>
      </c>
      <c r="IVF876" s="30">
        <f ca="1">YEAR(TODAY())-YEAR(IVD876)</f>
        <v>69</v>
      </c>
      <c r="IVG876" s="245"/>
      <c r="IVH876" s="7" t="s">
        <v>23</v>
      </c>
      <c r="IVI876" s="29"/>
      <c r="IVJ876" s="44">
        <v>44198</v>
      </c>
      <c r="IVK876" s="30" t="s">
        <v>22</v>
      </c>
      <c r="IVL876" s="31">
        <v>20890</v>
      </c>
      <c r="IVM876" s="30">
        <v>1472014</v>
      </c>
      <c r="IVN876" s="30">
        <f ca="1">YEAR(TODAY())-YEAR(IVL876)</f>
        <v>69</v>
      </c>
      <c r="IVO876" s="245"/>
      <c r="IVP876" s="7" t="s">
        <v>23</v>
      </c>
      <c r="IVQ876" s="29"/>
      <c r="IVR876" s="44">
        <v>44198</v>
      </c>
      <c r="IVS876" s="30" t="s">
        <v>22</v>
      </c>
      <c r="IVT876" s="31">
        <v>20890</v>
      </c>
      <c r="IVU876" s="30">
        <v>1472014</v>
      </c>
      <c r="IVV876" s="30">
        <f ca="1">YEAR(TODAY())-YEAR(IVT876)</f>
        <v>69</v>
      </c>
      <c r="IVW876" s="245"/>
      <c r="IVX876" s="7" t="s">
        <v>23</v>
      </c>
      <c r="IVY876" s="29"/>
      <c r="IVZ876" s="44">
        <v>44198</v>
      </c>
      <c r="IWA876" s="30" t="s">
        <v>22</v>
      </c>
      <c r="IWB876" s="31">
        <v>20890</v>
      </c>
      <c r="IWC876" s="30">
        <v>1472014</v>
      </c>
      <c r="IWD876" s="30">
        <f ca="1">YEAR(TODAY())-YEAR(IWB876)</f>
        <v>69</v>
      </c>
      <c r="IWE876" s="245"/>
      <c r="IWF876" s="7" t="s">
        <v>23</v>
      </c>
      <c r="IWG876" s="29"/>
      <c r="IWH876" s="44">
        <v>44198</v>
      </c>
      <c r="IWI876" s="30" t="s">
        <v>22</v>
      </c>
      <c r="IWJ876" s="31">
        <v>20890</v>
      </c>
      <c r="IWK876" s="30">
        <v>1472014</v>
      </c>
      <c r="IWL876" s="30">
        <f ca="1">YEAR(TODAY())-YEAR(IWJ876)</f>
        <v>69</v>
      </c>
      <c r="IWM876" s="245"/>
      <c r="IWN876" s="7" t="s">
        <v>23</v>
      </c>
      <c r="IWO876" s="29"/>
      <c r="IWP876" s="44">
        <v>44198</v>
      </c>
      <c r="IWQ876" s="30" t="s">
        <v>22</v>
      </c>
      <c r="IWR876" s="31">
        <v>20890</v>
      </c>
      <c r="IWS876" s="30">
        <v>1472014</v>
      </c>
      <c r="IWT876" s="30">
        <f ca="1">YEAR(TODAY())-YEAR(IWR876)</f>
        <v>69</v>
      </c>
      <c r="IWU876" s="245"/>
      <c r="IWV876" s="7" t="s">
        <v>23</v>
      </c>
      <c r="IWW876" s="29"/>
      <c r="IWX876" s="44">
        <v>44198</v>
      </c>
      <c r="IWY876" s="30" t="s">
        <v>22</v>
      </c>
      <c r="IWZ876" s="31">
        <v>20890</v>
      </c>
      <c r="IXA876" s="30">
        <v>1472014</v>
      </c>
      <c r="IXB876" s="30">
        <f ca="1">YEAR(TODAY())-YEAR(IWZ876)</f>
        <v>69</v>
      </c>
      <c r="IXC876" s="245"/>
      <c r="IXD876" s="7" t="s">
        <v>23</v>
      </c>
      <c r="IXE876" s="29"/>
      <c r="IXF876" s="44">
        <v>44198</v>
      </c>
      <c r="IXG876" s="30" t="s">
        <v>22</v>
      </c>
      <c r="IXH876" s="31">
        <v>20890</v>
      </c>
      <c r="IXI876" s="30">
        <v>1472014</v>
      </c>
      <c r="IXJ876" s="30">
        <f ca="1">YEAR(TODAY())-YEAR(IXH876)</f>
        <v>69</v>
      </c>
      <c r="IXK876" s="245"/>
      <c r="IXL876" s="7" t="s">
        <v>23</v>
      </c>
      <c r="IXM876" s="29"/>
      <c r="IXN876" s="44">
        <v>44198</v>
      </c>
      <c r="IXO876" s="30" t="s">
        <v>22</v>
      </c>
      <c r="IXP876" s="31">
        <v>20890</v>
      </c>
      <c r="IXQ876" s="30">
        <v>1472014</v>
      </c>
      <c r="IXR876" s="30">
        <f ca="1">YEAR(TODAY())-YEAR(IXP876)</f>
        <v>69</v>
      </c>
      <c r="IXS876" s="245"/>
      <c r="IXT876" s="7" t="s">
        <v>23</v>
      </c>
      <c r="IXU876" s="29"/>
      <c r="IXV876" s="44">
        <v>44198</v>
      </c>
      <c r="IXW876" s="30" t="s">
        <v>22</v>
      </c>
      <c r="IXX876" s="31">
        <v>20890</v>
      </c>
      <c r="IXY876" s="30">
        <v>1472014</v>
      </c>
      <c r="IXZ876" s="30">
        <f ca="1">YEAR(TODAY())-YEAR(IXX876)</f>
        <v>69</v>
      </c>
      <c r="IYA876" s="245"/>
      <c r="IYB876" s="7" t="s">
        <v>23</v>
      </c>
      <c r="IYC876" s="29"/>
      <c r="IYD876" s="44">
        <v>44198</v>
      </c>
      <c r="IYE876" s="30" t="s">
        <v>22</v>
      </c>
      <c r="IYF876" s="31">
        <v>20890</v>
      </c>
      <c r="IYG876" s="30">
        <v>1472014</v>
      </c>
      <c r="IYH876" s="30">
        <f ca="1">YEAR(TODAY())-YEAR(IYF876)</f>
        <v>69</v>
      </c>
      <c r="IYI876" s="245"/>
      <c r="IYJ876" s="7" t="s">
        <v>23</v>
      </c>
      <c r="IYK876" s="29"/>
      <c r="IYL876" s="44">
        <v>44198</v>
      </c>
      <c r="IYM876" s="30" t="s">
        <v>22</v>
      </c>
      <c r="IYN876" s="31">
        <v>20890</v>
      </c>
      <c r="IYO876" s="30">
        <v>1472014</v>
      </c>
      <c r="IYP876" s="30">
        <f ca="1">YEAR(TODAY())-YEAR(IYN876)</f>
        <v>69</v>
      </c>
      <c r="IYQ876" s="245"/>
      <c r="IYR876" s="7" t="s">
        <v>23</v>
      </c>
      <c r="IYS876" s="29"/>
      <c r="IYT876" s="44">
        <v>44198</v>
      </c>
      <c r="IYU876" s="30" t="s">
        <v>22</v>
      </c>
      <c r="IYV876" s="31">
        <v>20890</v>
      </c>
      <c r="IYW876" s="30">
        <v>1472014</v>
      </c>
      <c r="IYX876" s="30">
        <f ca="1">YEAR(TODAY())-YEAR(IYV876)</f>
        <v>69</v>
      </c>
      <c r="IYY876" s="245"/>
      <c r="IYZ876" s="7" t="s">
        <v>23</v>
      </c>
      <c r="IZA876" s="29"/>
      <c r="IZB876" s="44">
        <v>44198</v>
      </c>
      <c r="IZC876" s="30" t="s">
        <v>22</v>
      </c>
      <c r="IZD876" s="31">
        <v>20890</v>
      </c>
      <c r="IZE876" s="30">
        <v>1472014</v>
      </c>
      <c r="IZF876" s="30">
        <f ca="1">YEAR(TODAY())-YEAR(IZD876)</f>
        <v>69</v>
      </c>
      <c r="IZG876" s="245"/>
      <c r="IZH876" s="7" t="s">
        <v>23</v>
      </c>
      <c r="IZI876" s="29"/>
      <c r="IZJ876" s="44">
        <v>44198</v>
      </c>
      <c r="IZK876" s="30" t="s">
        <v>22</v>
      </c>
      <c r="IZL876" s="31">
        <v>20890</v>
      </c>
      <c r="IZM876" s="30">
        <v>1472014</v>
      </c>
      <c r="IZN876" s="30">
        <f ca="1">YEAR(TODAY())-YEAR(IZL876)</f>
        <v>69</v>
      </c>
      <c r="IZO876" s="245"/>
      <c r="IZP876" s="7" t="s">
        <v>23</v>
      </c>
      <c r="IZQ876" s="29"/>
      <c r="IZR876" s="44">
        <v>44198</v>
      </c>
      <c r="IZS876" s="30" t="s">
        <v>22</v>
      </c>
      <c r="IZT876" s="31">
        <v>20890</v>
      </c>
      <c r="IZU876" s="30">
        <v>1472014</v>
      </c>
      <c r="IZV876" s="30">
        <f ca="1">YEAR(TODAY())-YEAR(IZT876)</f>
        <v>69</v>
      </c>
      <c r="IZW876" s="245"/>
      <c r="IZX876" s="7" t="s">
        <v>23</v>
      </c>
      <c r="IZY876" s="29"/>
      <c r="IZZ876" s="44">
        <v>44198</v>
      </c>
      <c r="JAA876" s="30" t="s">
        <v>22</v>
      </c>
      <c r="JAB876" s="31">
        <v>20890</v>
      </c>
      <c r="JAC876" s="30">
        <v>1472014</v>
      </c>
      <c r="JAD876" s="30">
        <f ca="1">YEAR(TODAY())-YEAR(JAB876)</f>
        <v>69</v>
      </c>
      <c r="JAE876" s="245"/>
      <c r="JAF876" s="7" t="s">
        <v>23</v>
      </c>
      <c r="JAG876" s="29"/>
      <c r="JAH876" s="44">
        <v>44198</v>
      </c>
      <c r="JAI876" s="30" t="s">
        <v>22</v>
      </c>
      <c r="JAJ876" s="31">
        <v>20890</v>
      </c>
      <c r="JAK876" s="30">
        <v>1472014</v>
      </c>
      <c r="JAL876" s="30">
        <f ca="1">YEAR(TODAY())-YEAR(JAJ876)</f>
        <v>69</v>
      </c>
      <c r="JAM876" s="245"/>
      <c r="JAN876" s="7" t="s">
        <v>23</v>
      </c>
      <c r="JAO876" s="29"/>
      <c r="JAP876" s="44">
        <v>44198</v>
      </c>
      <c r="JAQ876" s="30" t="s">
        <v>22</v>
      </c>
      <c r="JAR876" s="31">
        <v>20890</v>
      </c>
      <c r="JAS876" s="30">
        <v>1472014</v>
      </c>
      <c r="JAT876" s="30">
        <f ca="1">YEAR(TODAY())-YEAR(JAR876)</f>
        <v>69</v>
      </c>
      <c r="JAU876" s="245"/>
      <c r="JAV876" s="7" t="s">
        <v>23</v>
      </c>
      <c r="JAW876" s="29"/>
      <c r="JAX876" s="44">
        <v>44198</v>
      </c>
      <c r="JAY876" s="30" t="s">
        <v>22</v>
      </c>
      <c r="JAZ876" s="31">
        <v>20890</v>
      </c>
      <c r="JBA876" s="30">
        <v>1472014</v>
      </c>
      <c r="JBB876" s="30">
        <f ca="1">YEAR(TODAY())-YEAR(JAZ876)</f>
        <v>69</v>
      </c>
      <c r="JBC876" s="245"/>
      <c r="JBD876" s="7" t="s">
        <v>23</v>
      </c>
      <c r="JBE876" s="29"/>
      <c r="JBF876" s="44">
        <v>44198</v>
      </c>
      <c r="JBG876" s="30" t="s">
        <v>22</v>
      </c>
      <c r="JBH876" s="31">
        <v>20890</v>
      </c>
      <c r="JBI876" s="30">
        <v>1472014</v>
      </c>
      <c r="JBJ876" s="30">
        <f ca="1">YEAR(TODAY())-YEAR(JBH876)</f>
        <v>69</v>
      </c>
      <c r="JBK876" s="245"/>
      <c r="JBL876" s="7" t="s">
        <v>23</v>
      </c>
      <c r="JBM876" s="29"/>
      <c r="JBN876" s="44">
        <v>44198</v>
      </c>
      <c r="JBO876" s="30" t="s">
        <v>22</v>
      </c>
      <c r="JBP876" s="31">
        <v>20890</v>
      </c>
      <c r="JBQ876" s="30">
        <v>1472014</v>
      </c>
      <c r="JBR876" s="30">
        <f ca="1">YEAR(TODAY())-YEAR(JBP876)</f>
        <v>69</v>
      </c>
      <c r="JBS876" s="245"/>
      <c r="JBT876" s="7" t="s">
        <v>23</v>
      </c>
      <c r="JBU876" s="29"/>
      <c r="JBV876" s="44">
        <v>44198</v>
      </c>
      <c r="JBW876" s="30" t="s">
        <v>22</v>
      </c>
      <c r="JBX876" s="31">
        <v>20890</v>
      </c>
      <c r="JBY876" s="30">
        <v>1472014</v>
      </c>
      <c r="JBZ876" s="30">
        <f ca="1">YEAR(TODAY())-YEAR(JBX876)</f>
        <v>69</v>
      </c>
      <c r="JCA876" s="245"/>
      <c r="JCB876" s="7" t="s">
        <v>23</v>
      </c>
      <c r="JCC876" s="29"/>
      <c r="JCD876" s="44">
        <v>44198</v>
      </c>
      <c r="JCE876" s="30" t="s">
        <v>22</v>
      </c>
      <c r="JCF876" s="31">
        <v>20890</v>
      </c>
      <c r="JCG876" s="30">
        <v>1472014</v>
      </c>
      <c r="JCH876" s="30">
        <f ca="1">YEAR(TODAY())-YEAR(JCF876)</f>
        <v>69</v>
      </c>
      <c r="JCI876" s="245"/>
      <c r="JCJ876" s="7" t="s">
        <v>23</v>
      </c>
      <c r="JCK876" s="29"/>
      <c r="JCL876" s="44">
        <v>44198</v>
      </c>
      <c r="JCM876" s="30" t="s">
        <v>22</v>
      </c>
      <c r="JCN876" s="31">
        <v>20890</v>
      </c>
      <c r="JCO876" s="30">
        <v>1472014</v>
      </c>
      <c r="JCP876" s="30">
        <f ca="1">YEAR(TODAY())-YEAR(JCN876)</f>
        <v>69</v>
      </c>
      <c r="JCQ876" s="245"/>
      <c r="JCR876" s="7" t="s">
        <v>23</v>
      </c>
      <c r="JCS876" s="29"/>
      <c r="JCT876" s="44">
        <v>44198</v>
      </c>
      <c r="JCU876" s="30" t="s">
        <v>22</v>
      </c>
      <c r="JCV876" s="31">
        <v>20890</v>
      </c>
      <c r="JCW876" s="30">
        <v>1472014</v>
      </c>
      <c r="JCX876" s="30">
        <f ca="1">YEAR(TODAY())-YEAR(JCV876)</f>
        <v>69</v>
      </c>
      <c r="JCY876" s="245"/>
      <c r="JCZ876" s="7" t="s">
        <v>23</v>
      </c>
      <c r="JDA876" s="29"/>
      <c r="JDB876" s="44">
        <v>44198</v>
      </c>
      <c r="JDC876" s="30" t="s">
        <v>22</v>
      </c>
      <c r="JDD876" s="31">
        <v>20890</v>
      </c>
      <c r="JDE876" s="30">
        <v>1472014</v>
      </c>
      <c r="JDF876" s="30">
        <f ca="1">YEAR(TODAY())-YEAR(JDD876)</f>
        <v>69</v>
      </c>
      <c r="JDG876" s="245"/>
      <c r="JDH876" s="7" t="s">
        <v>23</v>
      </c>
      <c r="JDI876" s="29"/>
      <c r="JDJ876" s="44">
        <v>44198</v>
      </c>
      <c r="JDK876" s="30" t="s">
        <v>22</v>
      </c>
      <c r="JDL876" s="31">
        <v>20890</v>
      </c>
      <c r="JDM876" s="30">
        <v>1472014</v>
      </c>
      <c r="JDN876" s="30">
        <f ca="1">YEAR(TODAY())-YEAR(JDL876)</f>
        <v>69</v>
      </c>
      <c r="JDO876" s="245"/>
      <c r="JDP876" s="7" t="s">
        <v>23</v>
      </c>
      <c r="JDQ876" s="29"/>
      <c r="JDR876" s="44">
        <v>44198</v>
      </c>
      <c r="JDS876" s="30" t="s">
        <v>22</v>
      </c>
      <c r="JDT876" s="31">
        <v>20890</v>
      </c>
      <c r="JDU876" s="30">
        <v>1472014</v>
      </c>
      <c r="JDV876" s="30">
        <f ca="1">YEAR(TODAY())-YEAR(JDT876)</f>
        <v>69</v>
      </c>
      <c r="JDW876" s="245"/>
      <c r="JDX876" s="7" t="s">
        <v>23</v>
      </c>
      <c r="JDY876" s="29"/>
      <c r="JDZ876" s="44">
        <v>44198</v>
      </c>
      <c r="JEA876" s="30" t="s">
        <v>22</v>
      </c>
      <c r="JEB876" s="31">
        <v>20890</v>
      </c>
      <c r="JEC876" s="30">
        <v>1472014</v>
      </c>
      <c r="JED876" s="30">
        <f ca="1">YEAR(TODAY())-YEAR(JEB876)</f>
        <v>69</v>
      </c>
      <c r="JEE876" s="245"/>
      <c r="JEF876" s="7" t="s">
        <v>23</v>
      </c>
      <c r="JEG876" s="29"/>
      <c r="JEH876" s="44">
        <v>44198</v>
      </c>
      <c r="JEI876" s="30" t="s">
        <v>22</v>
      </c>
      <c r="JEJ876" s="31">
        <v>20890</v>
      </c>
      <c r="JEK876" s="30">
        <v>1472014</v>
      </c>
      <c r="JEL876" s="30">
        <f ca="1">YEAR(TODAY())-YEAR(JEJ876)</f>
        <v>69</v>
      </c>
      <c r="JEM876" s="245"/>
      <c r="JEN876" s="7" t="s">
        <v>23</v>
      </c>
      <c r="JEO876" s="29"/>
      <c r="JEP876" s="44">
        <v>44198</v>
      </c>
      <c r="JEQ876" s="30" t="s">
        <v>22</v>
      </c>
      <c r="JER876" s="31">
        <v>20890</v>
      </c>
      <c r="JES876" s="30">
        <v>1472014</v>
      </c>
      <c r="JET876" s="30">
        <f ca="1">YEAR(TODAY())-YEAR(JER876)</f>
        <v>69</v>
      </c>
      <c r="JEU876" s="245"/>
      <c r="JEV876" s="7" t="s">
        <v>23</v>
      </c>
      <c r="JEW876" s="29"/>
      <c r="JEX876" s="44">
        <v>44198</v>
      </c>
      <c r="JEY876" s="30" t="s">
        <v>22</v>
      </c>
      <c r="JEZ876" s="31">
        <v>20890</v>
      </c>
      <c r="JFA876" s="30">
        <v>1472014</v>
      </c>
      <c r="JFB876" s="30">
        <f ca="1">YEAR(TODAY())-YEAR(JEZ876)</f>
        <v>69</v>
      </c>
      <c r="JFC876" s="245"/>
      <c r="JFD876" s="7" t="s">
        <v>23</v>
      </c>
      <c r="JFE876" s="29"/>
      <c r="JFF876" s="44">
        <v>44198</v>
      </c>
      <c r="JFG876" s="30" t="s">
        <v>22</v>
      </c>
      <c r="JFH876" s="31">
        <v>20890</v>
      </c>
      <c r="JFI876" s="30">
        <v>1472014</v>
      </c>
      <c r="JFJ876" s="30">
        <f ca="1">YEAR(TODAY())-YEAR(JFH876)</f>
        <v>69</v>
      </c>
      <c r="JFK876" s="245"/>
      <c r="JFL876" s="7" t="s">
        <v>23</v>
      </c>
      <c r="JFM876" s="29"/>
      <c r="JFN876" s="44">
        <v>44198</v>
      </c>
      <c r="JFO876" s="30" t="s">
        <v>22</v>
      </c>
      <c r="JFP876" s="31">
        <v>20890</v>
      </c>
      <c r="JFQ876" s="30">
        <v>1472014</v>
      </c>
      <c r="JFR876" s="30">
        <f ca="1">YEAR(TODAY())-YEAR(JFP876)</f>
        <v>69</v>
      </c>
      <c r="JFS876" s="245"/>
      <c r="JFT876" s="7" t="s">
        <v>23</v>
      </c>
      <c r="JFU876" s="29"/>
      <c r="JFV876" s="44">
        <v>44198</v>
      </c>
      <c r="JFW876" s="30" t="s">
        <v>22</v>
      </c>
      <c r="JFX876" s="31">
        <v>20890</v>
      </c>
      <c r="JFY876" s="30">
        <v>1472014</v>
      </c>
      <c r="JFZ876" s="30">
        <f ca="1">YEAR(TODAY())-YEAR(JFX876)</f>
        <v>69</v>
      </c>
      <c r="JGA876" s="245"/>
      <c r="JGB876" s="7" t="s">
        <v>23</v>
      </c>
      <c r="JGC876" s="29"/>
      <c r="JGD876" s="44">
        <v>44198</v>
      </c>
      <c r="JGE876" s="30" t="s">
        <v>22</v>
      </c>
      <c r="JGF876" s="31">
        <v>20890</v>
      </c>
      <c r="JGG876" s="30">
        <v>1472014</v>
      </c>
      <c r="JGH876" s="30">
        <f ca="1">YEAR(TODAY())-YEAR(JGF876)</f>
        <v>69</v>
      </c>
      <c r="JGI876" s="245"/>
      <c r="JGJ876" s="7" t="s">
        <v>23</v>
      </c>
      <c r="JGK876" s="29"/>
      <c r="JGL876" s="44">
        <v>44198</v>
      </c>
      <c r="JGM876" s="30" t="s">
        <v>22</v>
      </c>
      <c r="JGN876" s="31">
        <v>20890</v>
      </c>
      <c r="JGO876" s="30">
        <v>1472014</v>
      </c>
      <c r="JGP876" s="30">
        <f ca="1">YEAR(TODAY())-YEAR(JGN876)</f>
        <v>69</v>
      </c>
      <c r="JGQ876" s="245"/>
      <c r="JGR876" s="7" t="s">
        <v>23</v>
      </c>
      <c r="JGS876" s="29"/>
      <c r="JGT876" s="44">
        <v>44198</v>
      </c>
      <c r="JGU876" s="30" t="s">
        <v>22</v>
      </c>
      <c r="JGV876" s="31">
        <v>20890</v>
      </c>
      <c r="JGW876" s="30">
        <v>1472014</v>
      </c>
      <c r="JGX876" s="30">
        <f ca="1">YEAR(TODAY())-YEAR(JGV876)</f>
        <v>69</v>
      </c>
      <c r="JGY876" s="245"/>
      <c r="JGZ876" s="7" t="s">
        <v>23</v>
      </c>
      <c r="JHA876" s="29"/>
      <c r="JHB876" s="44">
        <v>44198</v>
      </c>
      <c r="JHC876" s="30" t="s">
        <v>22</v>
      </c>
      <c r="JHD876" s="31">
        <v>20890</v>
      </c>
      <c r="JHE876" s="30">
        <v>1472014</v>
      </c>
      <c r="JHF876" s="30">
        <f ca="1">YEAR(TODAY())-YEAR(JHD876)</f>
        <v>69</v>
      </c>
      <c r="JHG876" s="245"/>
      <c r="JHH876" s="7" t="s">
        <v>23</v>
      </c>
      <c r="JHI876" s="29"/>
      <c r="JHJ876" s="44">
        <v>44198</v>
      </c>
      <c r="JHK876" s="30" t="s">
        <v>22</v>
      </c>
      <c r="JHL876" s="31">
        <v>20890</v>
      </c>
      <c r="JHM876" s="30">
        <v>1472014</v>
      </c>
      <c r="JHN876" s="30">
        <f ca="1">YEAR(TODAY())-YEAR(JHL876)</f>
        <v>69</v>
      </c>
      <c r="JHO876" s="245"/>
      <c r="JHP876" s="7" t="s">
        <v>23</v>
      </c>
      <c r="JHQ876" s="29"/>
      <c r="JHR876" s="44">
        <v>44198</v>
      </c>
      <c r="JHS876" s="30" t="s">
        <v>22</v>
      </c>
      <c r="JHT876" s="31">
        <v>20890</v>
      </c>
      <c r="JHU876" s="30">
        <v>1472014</v>
      </c>
      <c r="JHV876" s="30">
        <f ca="1">YEAR(TODAY())-YEAR(JHT876)</f>
        <v>69</v>
      </c>
      <c r="JHW876" s="245"/>
      <c r="JHX876" s="7" t="s">
        <v>23</v>
      </c>
      <c r="JHY876" s="29"/>
      <c r="JHZ876" s="44">
        <v>44198</v>
      </c>
      <c r="JIA876" s="30" t="s">
        <v>22</v>
      </c>
      <c r="JIB876" s="31">
        <v>20890</v>
      </c>
      <c r="JIC876" s="30">
        <v>1472014</v>
      </c>
      <c r="JID876" s="30">
        <f ca="1">YEAR(TODAY())-YEAR(JIB876)</f>
        <v>69</v>
      </c>
      <c r="JIE876" s="245"/>
      <c r="JIF876" s="7" t="s">
        <v>23</v>
      </c>
      <c r="JIG876" s="29"/>
      <c r="JIH876" s="44">
        <v>44198</v>
      </c>
      <c r="JII876" s="30" t="s">
        <v>22</v>
      </c>
      <c r="JIJ876" s="31">
        <v>20890</v>
      </c>
      <c r="JIK876" s="30">
        <v>1472014</v>
      </c>
      <c r="JIL876" s="30">
        <f ca="1">YEAR(TODAY())-YEAR(JIJ876)</f>
        <v>69</v>
      </c>
      <c r="JIM876" s="245"/>
      <c r="JIN876" s="7" t="s">
        <v>23</v>
      </c>
      <c r="JIO876" s="29"/>
      <c r="JIP876" s="44">
        <v>44198</v>
      </c>
      <c r="JIQ876" s="30" t="s">
        <v>22</v>
      </c>
      <c r="JIR876" s="31">
        <v>20890</v>
      </c>
      <c r="JIS876" s="30">
        <v>1472014</v>
      </c>
      <c r="JIT876" s="30">
        <f ca="1">YEAR(TODAY())-YEAR(JIR876)</f>
        <v>69</v>
      </c>
      <c r="JIU876" s="245"/>
      <c r="JIV876" s="7" t="s">
        <v>23</v>
      </c>
      <c r="JIW876" s="29"/>
      <c r="JIX876" s="44">
        <v>44198</v>
      </c>
      <c r="JIY876" s="30" t="s">
        <v>22</v>
      </c>
      <c r="JIZ876" s="31">
        <v>20890</v>
      </c>
      <c r="JJA876" s="30">
        <v>1472014</v>
      </c>
      <c r="JJB876" s="30">
        <f ca="1">YEAR(TODAY())-YEAR(JIZ876)</f>
        <v>69</v>
      </c>
      <c r="JJC876" s="245"/>
      <c r="JJD876" s="7" t="s">
        <v>23</v>
      </c>
      <c r="JJE876" s="29"/>
      <c r="JJF876" s="44">
        <v>44198</v>
      </c>
      <c r="JJG876" s="30" t="s">
        <v>22</v>
      </c>
      <c r="JJH876" s="31">
        <v>20890</v>
      </c>
      <c r="JJI876" s="30">
        <v>1472014</v>
      </c>
      <c r="JJJ876" s="30">
        <f ca="1">YEAR(TODAY())-YEAR(JJH876)</f>
        <v>69</v>
      </c>
      <c r="JJK876" s="245"/>
      <c r="JJL876" s="7" t="s">
        <v>23</v>
      </c>
      <c r="JJM876" s="29"/>
      <c r="JJN876" s="44">
        <v>44198</v>
      </c>
      <c r="JJO876" s="30" t="s">
        <v>22</v>
      </c>
      <c r="JJP876" s="31">
        <v>20890</v>
      </c>
      <c r="JJQ876" s="30">
        <v>1472014</v>
      </c>
      <c r="JJR876" s="30">
        <f ca="1">YEAR(TODAY())-YEAR(JJP876)</f>
        <v>69</v>
      </c>
      <c r="JJS876" s="245"/>
      <c r="JJT876" s="7" t="s">
        <v>23</v>
      </c>
      <c r="JJU876" s="29"/>
      <c r="JJV876" s="44">
        <v>44198</v>
      </c>
      <c r="JJW876" s="30" t="s">
        <v>22</v>
      </c>
      <c r="JJX876" s="31">
        <v>20890</v>
      </c>
      <c r="JJY876" s="30">
        <v>1472014</v>
      </c>
      <c r="JJZ876" s="30">
        <f ca="1">YEAR(TODAY())-YEAR(JJX876)</f>
        <v>69</v>
      </c>
      <c r="JKA876" s="245"/>
      <c r="JKB876" s="7" t="s">
        <v>23</v>
      </c>
      <c r="JKC876" s="29"/>
      <c r="JKD876" s="44">
        <v>44198</v>
      </c>
      <c r="JKE876" s="30" t="s">
        <v>22</v>
      </c>
      <c r="JKF876" s="31">
        <v>20890</v>
      </c>
      <c r="JKG876" s="30">
        <v>1472014</v>
      </c>
      <c r="JKH876" s="30">
        <f ca="1">YEAR(TODAY())-YEAR(JKF876)</f>
        <v>69</v>
      </c>
      <c r="JKI876" s="245"/>
      <c r="JKJ876" s="7" t="s">
        <v>23</v>
      </c>
      <c r="JKK876" s="29"/>
      <c r="JKL876" s="44">
        <v>44198</v>
      </c>
      <c r="JKM876" s="30" t="s">
        <v>22</v>
      </c>
      <c r="JKN876" s="31">
        <v>20890</v>
      </c>
      <c r="JKO876" s="30">
        <v>1472014</v>
      </c>
      <c r="JKP876" s="30">
        <f ca="1">YEAR(TODAY())-YEAR(JKN876)</f>
        <v>69</v>
      </c>
      <c r="JKQ876" s="245"/>
      <c r="JKR876" s="7" t="s">
        <v>23</v>
      </c>
      <c r="JKS876" s="29"/>
      <c r="JKT876" s="44">
        <v>44198</v>
      </c>
      <c r="JKU876" s="30" t="s">
        <v>22</v>
      </c>
      <c r="JKV876" s="31">
        <v>20890</v>
      </c>
      <c r="JKW876" s="30">
        <v>1472014</v>
      </c>
      <c r="JKX876" s="30">
        <f ca="1">YEAR(TODAY())-YEAR(JKV876)</f>
        <v>69</v>
      </c>
      <c r="JKY876" s="245"/>
      <c r="JKZ876" s="7" t="s">
        <v>23</v>
      </c>
      <c r="JLA876" s="29"/>
      <c r="JLB876" s="44">
        <v>44198</v>
      </c>
      <c r="JLC876" s="30" t="s">
        <v>22</v>
      </c>
      <c r="JLD876" s="31">
        <v>20890</v>
      </c>
      <c r="JLE876" s="30">
        <v>1472014</v>
      </c>
      <c r="JLF876" s="30">
        <f ca="1">YEAR(TODAY())-YEAR(JLD876)</f>
        <v>69</v>
      </c>
      <c r="JLG876" s="245"/>
      <c r="JLH876" s="7" t="s">
        <v>23</v>
      </c>
      <c r="JLI876" s="29"/>
      <c r="JLJ876" s="44">
        <v>44198</v>
      </c>
      <c r="JLK876" s="30" t="s">
        <v>22</v>
      </c>
      <c r="JLL876" s="31">
        <v>20890</v>
      </c>
      <c r="JLM876" s="30">
        <v>1472014</v>
      </c>
      <c r="JLN876" s="30">
        <f ca="1">YEAR(TODAY())-YEAR(JLL876)</f>
        <v>69</v>
      </c>
      <c r="JLO876" s="245"/>
      <c r="JLP876" s="7" t="s">
        <v>23</v>
      </c>
      <c r="JLQ876" s="29"/>
      <c r="JLR876" s="44">
        <v>44198</v>
      </c>
      <c r="JLS876" s="30" t="s">
        <v>22</v>
      </c>
      <c r="JLT876" s="31">
        <v>20890</v>
      </c>
      <c r="JLU876" s="30">
        <v>1472014</v>
      </c>
      <c r="JLV876" s="30">
        <f ca="1">YEAR(TODAY())-YEAR(JLT876)</f>
        <v>69</v>
      </c>
      <c r="JLW876" s="245"/>
      <c r="JLX876" s="7" t="s">
        <v>23</v>
      </c>
      <c r="JLY876" s="29"/>
      <c r="JLZ876" s="44">
        <v>44198</v>
      </c>
      <c r="JMA876" s="30" t="s">
        <v>22</v>
      </c>
      <c r="JMB876" s="31">
        <v>20890</v>
      </c>
      <c r="JMC876" s="30">
        <v>1472014</v>
      </c>
      <c r="JMD876" s="30">
        <f ca="1">YEAR(TODAY())-YEAR(JMB876)</f>
        <v>69</v>
      </c>
      <c r="JME876" s="245"/>
      <c r="JMF876" s="7" t="s">
        <v>23</v>
      </c>
      <c r="JMG876" s="29"/>
      <c r="JMH876" s="44">
        <v>44198</v>
      </c>
      <c r="JMI876" s="30" t="s">
        <v>22</v>
      </c>
      <c r="JMJ876" s="31">
        <v>20890</v>
      </c>
      <c r="JMK876" s="30">
        <v>1472014</v>
      </c>
      <c r="JML876" s="30">
        <f ca="1">YEAR(TODAY())-YEAR(JMJ876)</f>
        <v>69</v>
      </c>
      <c r="JMM876" s="245"/>
      <c r="JMN876" s="7" t="s">
        <v>23</v>
      </c>
      <c r="JMO876" s="29"/>
      <c r="JMP876" s="44">
        <v>44198</v>
      </c>
      <c r="JMQ876" s="30" t="s">
        <v>22</v>
      </c>
      <c r="JMR876" s="31">
        <v>20890</v>
      </c>
      <c r="JMS876" s="30">
        <v>1472014</v>
      </c>
      <c r="JMT876" s="30">
        <f ca="1">YEAR(TODAY())-YEAR(JMR876)</f>
        <v>69</v>
      </c>
      <c r="JMU876" s="245"/>
      <c r="JMV876" s="7" t="s">
        <v>23</v>
      </c>
      <c r="JMW876" s="29"/>
      <c r="JMX876" s="44">
        <v>44198</v>
      </c>
      <c r="JMY876" s="30" t="s">
        <v>22</v>
      </c>
      <c r="JMZ876" s="31">
        <v>20890</v>
      </c>
      <c r="JNA876" s="30">
        <v>1472014</v>
      </c>
      <c r="JNB876" s="30">
        <f ca="1">YEAR(TODAY())-YEAR(JMZ876)</f>
        <v>69</v>
      </c>
      <c r="JNC876" s="245"/>
      <c r="JND876" s="7" t="s">
        <v>23</v>
      </c>
      <c r="JNE876" s="29"/>
      <c r="JNF876" s="44">
        <v>44198</v>
      </c>
      <c r="JNG876" s="30" t="s">
        <v>22</v>
      </c>
      <c r="JNH876" s="31">
        <v>20890</v>
      </c>
      <c r="JNI876" s="30">
        <v>1472014</v>
      </c>
      <c r="JNJ876" s="30">
        <f ca="1">YEAR(TODAY())-YEAR(JNH876)</f>
        <v>69</v>
      </c>
      <c r="JNK876" s="245"/>
      <c r="JNL876" s="7" t="s">
        <v>23</v>
      </c>
      <c r="JNM876" s="29"/>
      <c r="JNN876" s="44">
        <v>44198</v>
      </c>
      <c r="JNO876" s="30" t="s">
        <v>22</v>
      </c>
      <c r="JNP876" s="31">
        <v>20890</v>
      </c>
      <c r="JNQ876" s="30">
        <v>1472014</v>
      </c>
      <c r="JNR876" s="30">
        <f ca="1">YEAR(TODAY())-YEAR(JNP876)</f>
        <v>69</v>
      </c>
      <c r="JNS876" s="245"/>
      <c r="JNT876" s="7" t="s">
        <v>23</v>
      </c>
      <c r="JNU876" s="29"/>
      <c r="JNV876" s="44">
        <v>44198</v>
      </c>
      <c r="JNW876" s="30" t="s">
        <v>22</v>
      </c>
      <c r="JNX876" s="31">
        <v>20890</v>
      </c>
      <c r="JNY876" s="30">
        <v>1472014</v>
      </c>
      <c r="JNZ876" s="30">
        <f ca="1">YEAR(TODAY())-YEAR(JNX876)</f>
        <v>69</v>
      </c>
      <c r="JOA876" s="245"/>
      <c r="JOB876" s="7" t="s">
        <v>23</v>
      </c>
      <c r="JOC876" s="29"/>
      <c r="JOD876" s="44">
        <v>44198</v>
      </c>
      <c r="JOE876" s="30" t="s">
        <v>22</v>
      </c>
      <c r="JOF876" s="31">
        <v>20890</v>
      </c>
      <c r="JOG876" s="30">
        <v>1472014</v>
      </c>
      <c r="JOH876" s="30">
        <f ca="1">YEAR(TODAY())-YEAR(JOF876)</f>
        <v>69</v>
      </c>
      <c r="JOI876" s="245"/>
      <c r="JOJ876" s="7" t="s">
        <v>23</v>
      </c>
      <c r="JOK876" s="29"/>
      <c r="JOL876" s="44">
        <v>44198</v>
      </c>
      <c r="JOM876" s="30" t="s">
        <v>22</v>
      </c>
      <c r="JON876" s="31">
        <v>20890</v>
      </c>
      <c r="JOO876" s="30">
        <v>1472014</v>
      </c>
      <c r="JOP876" s="30">
        <f ca="1">YEAR(TODAY())-YEAR(JON876)</f>
        <v>69</v>
      </c>
      <c r="JOQ876" s="245"/>
      <c r="JOR876" s="7" t="s">
        <v>23</v>
      </c>
      <c r="JOS876" s="29"/>
      <c r="JOT876" s="44">
        <v>44198</v>
      </c>
      <c r="JOU876" s="30" t="s">
        <v>22</v>
      </c>
      <c r="JOV876" s="31">
        <v>20890</v>
      </c>
      <c r="JOW876" s="30">
        <v>1472014</v>
      </c>
      <c r="JOX876" s="30">
        <f ca="1">YEAR(TODAY())-YEAR(JOV876)</f>
        <v>69</v>
      </c>
      <c r="JOY876" s="245"/>
      <c r="JOZ876" s="7" t="s">
        <v>23</v>
      </c>
      <c r="JPA876" s="29"/>
      <c r="JPB876" s="44">
        <v>44198</v>
      </c>
      <c r="JPC876" s="30" t="s">
        <v>22</v>
      </c>
      <c r="JPD876" s="31">
        <v>20890</v>
      </c>
      <c r="JPE876" s="30">
        <v>1472014</v>
      </c>
      <c r="JPF876" s="30">
        <f ca="1">YEAR(TODAY())-YEAR(JPD876)</f>
        <v>69</v>
      </c>
      <c r="JPG876" s="245"/>
      <c r="JPH876" s="7" t="s">
        <v>23</v>
      </c>
      <c r="JPI876" s="29"/>
      <c r="JPJ876" s="44">
        <v>44198</v>
      </c>
      <c r="JPK876" s="30" t="s">
        <v>22</v>
      </c>
      <c r="JPL876" s="31">
        <v>20890</v>
      </c>
      <c r="JPM876" s="30">
        <v>1472014</v>
      </c>
      <c r="JPN876" s="30">
        <f ca="1">YEAR(TODAY())-YEAR(JPL876)</f>
        <v>69</v>
      </c>
      <c r="JPO876" s="245"/>
      <c r="JPP876" s="7" t="s">
        <v>23</v>
      </c>
      <c r="JPQ876" s="29"/>
      <c r="JPR876" s="44">
        <v>44198</v>
      </c>
      <c r="JPS876" s="30" t="s">
        <v>22</v>
      </c>
      <c r="JPT876" s="31">
        <v>20890</v>
      </c>
      <c r="JPU876" s="30">
        <v>1472014</v>
      </c>
      <c r="JPV876" s="30">
        <f ca="1">YEAR(TODAY())-YEAR(JPT876)</f>
        <v>69</v>
      </c>
      <c r="JPW876" s="245"/>
      <c r="JPX876" s="7" t="s">
        <v>23</v>
      </c>
      <c r="JPY876" s="29"/>
      <c r="JPZ876" s="44">
        <v>44198</v>
      </c>
      <c r="JQA876" s="30" t="s">
        <v>22</v>
      </c>
      <c r="JQB876" s="31">
        <v>20890</v>
      </c>
      <c r="JQC876" s="30">
        <v>1472014</v>
      </c>
      <c r="JQD876" s="30">
        <f ca="1">YEAR(TODAY())-YEAR(JQB876)</f>
        <v>69</v>
      </c>
      <c r="JQE876" s="245"/>
      <c r="JQF876" s="7" t="s">
        <v>23</v>
      </c>
      <c r="JQG876" s="29"/>
      <c r="JQH876" s="44">
        <v>44198</v>
      </c>
      <c r="JQI876" s="30" t="s">
        <v>22</v>
      </c>
      <c r="JQJ876" s="31">
        <v>20890</v>
      </c>
      <c r="JQK876" s="30">
        <v>1472014</v>
      </c>
      <c r="JQL876" s="30">
        <f ca="1">YEAR(TODAY())-YEAR(JQJ876)</f>
        <v>69</v>
      </c>
      <c r="JQM876" s="245"/>
      <c r="JQN876" s="7" t="s">
        <v>23</v>
      </c>
      <c r="JQO876" s="29"/>
      <c r="JQP876" s="44">
        <v>44198</v>
      </c>
      <c r="JQQ876" s="30" t="s">
        <v>22</v>
      </c>
      <c r="JQR876" s="31">
        <v>20890</v>
      </c>
      <c r="JQS876" s="30">
        <v>1472014</v>
      </c>
      <c r="JQT876" s="30">
        <f ca="1">YEAR(TODAY())-YEAR(JQR876)</f>
        <v>69</v>
      </c>
      <c r="JQU876" s="245"/>
      <c r="JQV876" s="7" t="s">
        <v>23</v>
      </c>
      <c r="JQW876" s="29"/>
      <c r="JQX876" s="44">
        <v>44198</v>
      </c>
      <c r="JQY876" s="30" t="s">
        <v>22</v>
      </c>
      <c r="JQZ876" s="31">
        <v>20890</v>
      </c>
      <c r="JRA876" s="30">
        <v>1472014</v>
      </c>
      <c r="JRB876" s="30">
        <f ca="1">YEAR(TODAY())-YEAR(JQZ876)</f>
        <v>69</v>
      </c>
      <c r="JRC876" s="245"/>
      <c r="JRD876" s="7" t="s">
        <v>23</v>
      </c>
      <c r="JRE876" s="29"/>
      <c r="JRF876" s="44">
        <v>44198</v>
      </c>
      <c r="JRG876" s="30" t="s">
        <v>22</v>
      </c>
      <c r="JRH876" s="31">
        <v>20890</v>
      </c>
      <c r="JRI876" s="30">
        <v>1472014</v>
      </c>
      <c r="JRJ876" s="30">
        <f ca="1">YEAR(TODAY())-YEAR(JRH876)</f>
        <v>69</v>
      </c>
      <c r="JRK876" s="245"/>
      <c r="JRL876" s="7" t="s">
        <v>23</v>
      </c>
      <c r="JRM876" s="29"/>
      <c r="JRN876" s="44">
        <v>44198</v>
      </c>
      <c r="JRO876" s="30" t="s">
        <v>22</v>
      </c>
      <c r="JRP876" s="31">
        <v>20890</v>
      </c>
      <c r="JRQ876" s="30">
        <v>1472014</v>
      </c>
      <c r="JRR876" s="30">
        <f ca="1">YEAR(TODAY())-YEAR(JRP876)</f>
        <v>69</v>
      </c>
      <c r="JRS876" s="245"/>
      <c r="JRT876" s="7" t="s">
        <v>23</v>
      </c>
      <c r="JRU876" s="29"/>
      <c r="JRV876" s="44">
        <v>44198</v>
      </c>
      <c r="JRW876" s="30" t="s">
        <v>22</v>
      </c>
      <c r="JRX876" s="31">
        <v>20890</v>
      </c>
      <c r="JRY876" s="30">
        <v>1472014</v>
      </c>
      <c r="JRZ876" s="30">
        <f ca="1">YEAR(TODAY())-YEAR(JRX876)</f>
        <v>69</v>
      </c>
      <c r="JSA876" s="245"/>
      <c r="JSB876" s="7" t="s">
        <v>23</v>
      </c>
      <c r="JSC876" s="29"/>
      <c r="JSD876" s="44">
        <v>44198</v>
      </c>
      <c r="JSE876" s="30" t="s">
        <v>22</v>
      </c>
      <c r="JSF876" s="31">
        <v>20890</v>
      </c>
      <c r="JSG876" s="30">
        <v>1472014</v>
      </c>
      <c r="JSH876" s="30">
        <f ca="1">YEAR(TODAY())-YEAR(JSF876)</f>
        <v>69</v>
      </c>
      <c r="JSI876" s="245"/>
      <c r="JSJ876" s="7" t="s">
        <v>23</v>
      </c>
      <c r="JSK876" s="29"/>
      <c r="JSL876" s="44">
        <v>44198</v>
      </c>
      <c r="JSM876" s="30" t="s">
        <v>22</v>
      </c>
      <c r="JSN876" s="31">
        <v>20890</v>
      </c>
      <c r="JSO876" s="30">
        <v>1472014</v>
      </c>
      <c r="JSP876" s="30">
        <f ca="1">YEAR(TODAY())-YEAR(JSN876)</f>
        <v>69</v>
      </c>
      <c r="JSQ876" s="245"/>
      <c r="JSR876" s="7" t="s">
        <v>23</v>
      </c>
      <c r="JSS876" s="29"/>
      <c r="JST876" s="44">
        <v>44198</v>
      </c>
      <c r="JSU876" s="30" t="s">
        <v>22</v>
      </c>
      <c r="JSV876" s="31">
        <v>20890</v>
      </c>
      <c r="JSW876" s="30">
        <v>1472014</v>
      </c>
      <c r="JSX876" s="30">
        <f ca="1">YEAR(TODAY())-YEAR(JSV876)</f>
        <v>69</v>
      </c>
      <c r="JSY876" s="245"/>
      <c r="JSZ876" s="7" t="s">
        <v>23</v>
      </c>
      <c r="JTA876" s="29"/>
      <c r="JTB876" s="44">
        <v>44198</v>
      </c>
      <c r="JTC876" s="30" t="s">
        <v>22</v>
      </c>
      <c r="JTD876" s="31">
        <v>20890</v>
      </c>
      <c r="JTE876" s="30">
        <v>1472014</v>
      </c>
      <c r="JTF876" s="30">
        <f ca="1">YEAR(TODAY())-YEAR(JTD876)</f>
        <v>69</v>
      </c>
      <c r="JTG876" s="245"/>
      <c r="JTH876" s="7" t="s">
        <v>23</v>
      </c>
      <c r="JTI876" s="29"/>
      <c r="JTJ876" s="44">
        <v>44198</v>
      </c>
      <c r="JTK876" s="30" t="s">
        <v>22</v>
      </c>
      <c r="JTL876" s="31">
        <v>20890</v>
      </c>
      <c r="JTM876" s="30">
        <v>1472014</v>
      </c>
      <c r="JTN876" s="30">
        <f ca="1">YEAR(TODAY())-YEAR(JTL876)</f>
        <v>69</v>
      </c>
      <c r="JTO876" s="245"/>
      <c r="JTP876" s="7" t="s">
        <v>23</v>
      </c>
      <c r="JTQ876" s="29"/>
      <c r="JTR876" s="44">
        <v>44198</v>
      </c>
      <c r="JTS876" s="30" t="s">
        <v>22</v>
      </c>
      <c r="JTT876" s="31">
        <v>20890</v>
      </c>
      <c r="JTU876" s="30">
        <v>1472014</v>
      </c>
      <c r="JTV876" s="30">
        <f ca="1">YEAR(TODAY())-YEAR(JTT876)</f>
        <v>69</v>
      </c>
      <c r="JTW876" s="245"/>
      <c r="JTX876" s="7" t="s">
        <v>23</v>
      </c>
      <c r="JTY876" s="29"/>
      <c r="JTZ876" s="44">
        <v>44198</v>
      </c>
      <c r="JUA876" s="30" t="s">
        <v>22</v>
      </c>
      <c r="JUB876" s="31">
        <v>20890</v>
      </c>
      <c r="JUC876" s="30">
        <v>1472014</v>
      </c>
      <c r="JUD876" s="30">
        <f ca="1">YEAR(TODAY())-YEAR(JUB876)</f>
        <v>69</v>
      </c>
      <c r="JUE876" s="245"/>
      <c r="JUF876" s="7" t="s">
        <v>23</v>
      </c>
      <c r="JUG876" s="29"/>
      <c r="JUH876" s="44">
        <v>44198</v>
      </c>
      <c r="JUI876" s="30" t="s">
        <v>22</v>
      </c>
      <c r="JUJ876" s="31">
        <v>20890</v>
      </c>
      <c r="JUK876" s="30">
        <v>1472014</v>
      </c>
      <c r="JUL876" s="30">
        <f ca="1">YEAR(TODAY())-YEAR(JUJ876)</f>
        <v>69</v>
      </c>
      <c r="JUM876" s="245"/>
      <c r="JUN876" s="7" t="s">
        <v>23</v>
      </c>
      <c r="JUO876" s="29"/>
      <c r="JUP876" s="44">
        <v>44198</v>
      </c>
      <c r="JUQ876" s="30" t="s">
        <v>22</v>
      </c>
      <c r="JUR876" s="31">
        <v>20890</v>
      </c>
      <c r="JUS876" s="30">
        <v>1472014</v>
      </c>
      <c r="JUT876" s="30">
        <f ca="1">YEAR(TODAY())-YEAR(JUR876)</f>
        <v>69</v>
      </c>
      <c r="JUU876" s="245"/>
      <c r="JUV876" s="7" t="s">
        <v>23</v>
      </c>
      <c r="JUW876" s="29"/>
      <c r="JUX876" s="44">
        <v>44198</v>
      </c>
      <c r="JUY876" s="30" t="s">
        <v>22</v>
      </c>
      <c r="JUZ876" s="31">
        <v>20890</v>
      </c>
      <c r="JVA876" s="30">
        <v>1472014</v>
      </c>
      <c r="JVB876" s="30">
        <f ca="1">YEAR(TODAY())-YEAR(JUZ876)</f>
        <v>69</v>
      </c>
      <c r="JVC876" s="245"/>
      <c r="JVD876" s="7" t="s">
        <v>23</v>
      </c>
      <c r="JVE876" s="29"/>
      <c r="JVF876" s="44">
        <v>44198</v>
      </c>
      <c r="JVG876" s="30" t="s">
        <v>22</v>
      </c>
      <c r="JVH876" s="31">
        <v>20890</v>
      </c>
      <c r="JVI876" s="30">
        <v>1472014</v>
      </c>
      <c r="JVJ876" s="30">
        <f ca="1">YEAR(TODAY())-YEAR(JVH876)</f>
        <v>69</v>
      </c>
      <c r="JVK876" s="245"/>
      <c r="JVL876" s="7" t="s">
        <v>23</v>
      </c>
      <c r="JVM876" s="29"/>
      <c r="JVN876" s="44">
        <v>44198</v>
      </c>
      <c r="JVO876" s="30" t="s">
        <v>22</v>
      </c>
      <c r="JVP876" s="31">
        <v>20890</v>
      </c>
      <c r="JVQ876" s="30">
        <v>1472014</v>
      </c>
      <c r="JVR876" s="30">
        <f ca="1">YEAR(TODAY())-YEAR(JVP876)</f>
        <v>69</v>
      </c>
      <c r="JVS876" s="245"/>
      <c r="JVT876" s="7" t="s">
        <v>23</v>
      </c>
      <c r="JVU876" s="29"/>
      <c r="JVV876" s="44">
        <v>44198</v>
      </c>
      <c r="JVW876" s="30" t="s">
        <v>22</v>
      </c>
      <c r="JVX876" s="31">
        <v>20890</v>
      </c>
      <c r="JVY876" s="30">
        <v>1472014</v>
      </c>
      <c r="JVZ876" s="30">
        <f ca="1">YEAR(TODAY())-YEAR(JVX876)</f>
        <v>69</v>
      </c>
      <c r="JWA876" s="245"/>
      <c r="JWB876" s="7" t="s">
        <v>23</v>
      </c>
      <c r="JWC876" s="29"/>
      <c r="JWD876" s="44">
        <v>44198</v>
      </c>
      <c r="JWE876" s="30" t="s">
        <v>22</v>
      </c>
      <c r="JWF876" s="31">
        <v>20890</v>
      </c>
      <c r="JWG876" s="30">
        <v>1472014</v>
      </c>
      <c r="JWH876" s="30">
        <f ca="1">YEAR(TODAY())-YEAR(JWF876)</f>
        <v>69</v>
      </c>
      <c r="JWI876" s="245"/>
      <c r="JWJ876" s="7" t="s">
        <v>23</v>
      </c>
      <c r="JWK876" s="29"/>
      <c r="JWL876" s="44">
        <v>44198</v>
      </c>
      <c r="JWM876" s="30" t="s">
        <v>22</v>
      </c>
      <c r="JWN876" s="31">
        <v>20890</v>
      </c>
      <c r="JWO876" s="30">
        <v>1472014</v>
      </c>
      <c r="JWP876" s="30">
        <f ca="1">YEAR(TODAY())-YEAR(JWN876)</f>
        <v>69</v>
      </c>
      <c r="JWQ876" s="245"/>
      <c r="JWR876" s="7" t="s">
        <v>23</v>
      </c>
      <c r="JWS876" s="29"/>
      <c r="JWT876" s="44">
        <v>44198</v>
      </c>
      <c r="JWU876" s="30" t="s">
        <v>22</v>
      </c>
      <c r="JWV876" s="31">
        <v>20890</v>
      </c>
      <c r="JWW876" s="30">
        <v>1472014</v>
      </c>
      <c r="JWX876" s="30">
        <f ca="1">YEAR(TODAY())-YEAR(JWV876)</f>
        <v>69</v>
      </c>
      <c r="JWY876" s="245"/>
      <c r="JWZ876" s="7" t="s">
        <v>23</v>
      </c>
      <c r="JXA876" s="29"/>
      <c r="JXB876" s="44">
        <v>44198</v>
      </c>
      <c r="JXC876" s="30" t="s">
        <v>22</v>
      </c>
      <c r="JXD876" s="31">
        <v>20890</v>
      </c>
      <c r="JXE876" s="30">
        <v>1472014</v>
      </c>
      <c r="JXF876" s="30">
        <f ca="1">YEAR(TODAY())-YEAR(JXD876)</f>
        <v>69</v>
      </c>
      <c r="JXG876" s="245"/>
      <c r="JXH876" s="7" t="s">
        <v>23</v>
      </c>
      <c r="JXI876" s="29"/>
      <c r="JXJ876" s="44">
        <v>44198</v>
      </c>
      <c r="JXK876" s="30" t="s">
        <v>22</v>
      </c>
      <c r="JXL876" s="31">
        <v>20890</v>
      </c>
      <c r="JXM876" s="30">
        <v>1472014</v>
      </c>
      <c r="JXN876" s="30">
        <f ca="1">YEAR(TODAY())-YEAR(JXL876)</f>
        <v>69</v>
      </c>
      <c r="JXO876" s="245"/>
      <c r="JXP876" s="7" t="s">
        <v>23</v>
      </c>
      <c r="JXQ876" s="29"/>
      <c r="JXR876" s="44">
        <v>44198</v>
      </c>
      <c r="JXS876" s="30" t="s">
        <v>22</v>
      </c>
      <c r="JXT876" s="31">
        <v>20890</v>
      </c>
      <c r="JXU876" s="30">
        <v>1472014</v>
      </c>
      <c r="JXV876" s="30">
        <f ca="1">YEAR(TODAY())-YEAR(JXT876)</f>
        <v>69</v>
      </c>
      <c r="JXW876" s="245"/>
      <c r="JXX876" s="7" t="s">
        <v>23</v>
      </c>
      <c r="JXY876" s="29"/>
      <c r="JXZ876" s="44">
        <v>44198</v>
      </c>
      <c r="JYA876" s="30" t="s">
        <v>22</v>
      </c>
      <c r="JYB876" s="31">
        <v>20890</v>
      </c>
      <c r="JYC876" s="30">
        <v>1472014</v>
      </c>
      <c r="JYD876" s="30">
        <f ca="1">YEAR(TODAY())-YEAR(JYB876)</f>
        <v>69</v>
      </c>
      <c r="JYE876" s="245"/>
      <c r="JYF876" s="7" t="s">
        <v>23</v>
      </c>
      <c r="JYG876" s="29"/>
      <c r="JYH876" s="44">
        <v>44198</v>
      </c>
      <c r="JYI876" s="30" t="s">
        <v>22</v>
      </c>
      <c r="JYJ876" s="31">
        <v>20890</v>
      </c>
      <c r="JYK876" s="30">
        <v>1472014</v>
      </c>
      <c r="JYL876" s="30">
        <f ca="1">YEAR(TODAY())-YEAR(JYJ876)</f>
        <v>69</v>
      </c>
      <c r="JYM876" s="245"/>
      <c r="JYN876" s="7" t="s">
        <v>23</v>
      </c>
      <c r="JYO876" s="29"/>
      <c r="JYP876" s="44">
        <v>44198</v>
      </c>
      <c r="JYQ876" s="30" t="s">
        <v>22</v>
      </c>
      <c r="JYR876" s="31">
        <v>20890</v>
      </c>
      <c r="JYS876" s="30">
        <v>1472014</v>
      </c>
      <c r="JYT876" s="30">
        <f ca="1">YEAR(TODAY())-YEAR(JYR876)</f>
        <v>69</v>
      </c>
      <c r="JYU876" s="245"/>
      <c r="JYV876" s="7" t="s">
        <v>23</v>
      </c>
      <c r="JYW876" s="29"/>
      <c r="JYX876" s="44">
        <v>44198</v>
      </c>
      <c r="JYY876" s="30" t="s">
        <v>22</v>
      </c>
      <c r="JYZ876" s="31">
        <v>20890</v>
      </c>
      <c r="JZA876" s="30">
        <v>1472014</v>
      </c>
      <c r="JZB876" s="30">
        <f ca="1">YEAR(TODAY())-YEAR(JYZ876)</f>
        <v>69</v>
      </c>
      <c r="JZC876" s="245"/>
      <c r="JZD876" s="7" t="s">
        <v>23</v>
      </c>
      <c r="JZE876" s="29"/>
      <c r="JZF876" s="44">
        <v>44198</v>
      </c>
      <c r="JZG876" s="30" t="s">
        <v>22</v>
      </c>
      <c r="JZH876" s="31">
        <v>20890</v>
      </c>
      <c r="JZI876" s="30">
        <v>1472014</v>
      </c>
      <c r="JZJ876" s="30">
        <f ca="1">YEAR(TODAY())-YEAR(JZH876)</f>
        <v>69</v>
      </c>
      <c r="JZK876" s="245"/>
      <c r="JZL876" s="7" t="s">
        <v>23</v>
      </c>
      <c r="JZM876" s="29"/>
      <c r="JZN876" s="44">
        <v>44198</v>
      </c>
      <c r="JZO876" s="30" t="s">
        <v>22</v>
      </c>
      <c r="JZP876" s="31">
        <v>20890</v>
      </c>
      <c r="JZQ876" s="30">
        <v>1472014</v>
      </c>
      <c r="JZR876" s="30">
        <f ca="1">YEAR(TODAY())-YEAR(JZP876)</f>
        <v>69</v>
      </c>
      <c r="JZS876" s="245"/>
      <c r="JZT876" s="7" t="s">
        <v>23</v>
      </c>
      <c r="JZU876" s="29"/>
      <c r="JZV876" s="44">
        <v>44198</v>
      </c>
      <c r="JZW876" s="30" t="s">
        <v>22</v>
      </c>
      <c r="JZX876" s="31">
        <v>20890</v>
      </c>
      <c r="JZY876" s="30">
        <v>1472014</v>
      </c>
      <c r="JZZ876" s="30">
        <f ca="1">YEAR(TODAY())-YEAR(JZX876)</f>
        <v>69</v>
      </c>
      <c r="KAA876" s="245"/>
      <c r="KAB876" s="7" t="s">
        <v>23</v>
      </c>
      <c r="KAC876" s="29"/>
      <c r="KAD876" s="44">
        <v>44198</v>
      </c>
      <c r="KAE876" s="30" t="s">
        <v>22</v>
      </c>
      <c r="KAF876" s="31">
        <v>20890</v>
      </c>
      <c r="KAG876" s="30">
        <v>1472014</v>
      </c>
      <c r="KAH876" s="30">
        <f ca="1">YEAR(TODAY())-YEAR(KAF876)</f>
        <v>69</v>
      </c>
      <c r="KAI876" s="245"/>
      <c r="KAJ876" s="7" t="s">
        <v>23</v>
      </c>
      <c r="KAK876" s="29"/>
      <c r="KAL876" s="44">
        <v>44198</v>
      </c>
      <c r="KAM876" s="30" t="s">
        <v>22</v>
      </c>
      <c r="KAN876" s="31">
        <v>20890</v>
      </c>
      <c r="KAO876" s="30">
        <v>1472014</v>
      </c>
      <c r="KAP876" s="30">
        <f ca="1">YEAR(TODAY())-YEAR(KAN876)</f>
        <v>69</v>
      </c>
      <c r="KAQ876" s="245"/>
      <c r="KAR876" s="7" t="s">
        <v>23</v>
      </c>
      <c r="KAS876" s="29"/>
      <c r="KAT876" s="44">
        <v>44198</v>
      </c>
      <c r="KAU876" s="30" t="s">
        <v>22</v>
      </c>
      <c r="KAV876" s="31">
        <v>20890</v>
      </c>
      <c r="KAW876" s="30">
        <v>1472014</v>
      </c>
      <c r="KAX876" s="30">
        <f ca="1">YEAR(TODAY())-YEAR(KAV876)</f>
        <v>69</v>
      </c>
      <c r="KAY876" s="245"/>
      <c r="KAZ876" s="7" t="s">
        <v>23</v>
      </c>
      <c r="KBA876" s="29"/>
      <c r="KBB876" s="44">
        <v>44198</v>
      </c>
      <c r="KBC876" s="30" t="s">
        <v>22</v>
      </c>
      <c r="KBD876" s="31">
        <v>20890</v>
      </c>
      <c r="KBE876" s="30">
        <v>1472014</v>
      </c>
      <c r="KBF876" s="30">
        <f ca="1">YEAR(TODAY())-YEAR(KBD876)</f>
        <v>69</v>
      </c>
      <c r="KBG876" s="245"/>
      <c r="KBH876" s="7" t="s">
        <v>23</v>
      </c>
      <c r="KBI876" s="29"/>
      <c r="KBJ876" s="44">
        <v>44198</v>
      </c>
      <c r="KBK876" s="30" t="s">
        <v>22</v>
      </c>
      <c r="KBL876" s="31">
        <v>20890</v>
      </c>
      <c r="KBM876" s="30">
        <v>1472014</v>
      </c>
      <c r="KBN876" s="30">
        <f ca="1">YEAR(TODAY())-YEAR(KBL876)</f>
        <v>69</v>
      </c>
      <c r="KBO876" s="245"/>
      <c r="KBP876" s="7" t="s">
        <v>23</v>
      </c>
      <c r="KBQ876" s="29"/>
      <c r="KBR876" s="44">
        <v>44198</v>
      </c>
      <c r="KBS876" s="30" t="s">
        <v>22</v>
      </c>
      <c r="KBT876" s="31">
        <v>20890</v>
      </c>
      <c r="KBU876" s="30">
        <v>1472014</v>
      </c>
      <c r="KBV876" s="30">
        <f ca="1">YEAR(TODAY())-YEAR(KBT876)</f>
        <v>69</v>
      </c>
      <c r="KBW876" s="245"/>
      <c r="KBX876" s="7" t="s">
        <v>23</v>
      </c>
      <c r="KBY876" s="29"/>
      <c r="KBZ876" s="44">
        <v>44198</v>
      </c>
      <c r="KCA876" s="30" t="s">
        <v>22</v>
      </c>
      <c r="KCB876" s="31">
        <v>20890</v>
      </c>
      <c r="KCC876" s="30">
        <v>1472014</v>
      </c>
      <c r="KCD876" s="30">
        <f ca="1">YEAR(TODAY())-YEAR(KCB876)</f>
        <v>69</v>
      </c>
      <c r="KCE876" s="245"/>
      <c r="KCF876" s="7" t="s">
        <v>23</v>
      </c>
      <c r="KCG876" s="29"/>
      <c r="KCH876" s="44">
        <v>44198</v>
      </c>
      <c r="KCI876" s="30" t="s">
        <v>22</v>
      </c>
      <c r="KCJ876" s="31">
        <v>20890</v>
      </c>
      <c r="KCK876" s="30">
        <v>1472014</v>
      </c>
      <c r="KCL876" s="30">
        <f ca="1">YEAR(TODAY())-YEAR(KCJ876)</f>
        <v>69</v>
      </c>
      <c r="KCM876" s="245"/>
      <c r="KCN876" s="7" t="s">
        <v>23</v>
      </c>
      <c r="KCO876" s="29"/>
      <c r="KCP876" s="44">
        <v>44198</v>
      </c>
      <c r="KCQ876" s="30" t="s">
        <v>22</v>
      </c>
      <c r="KCR876" s="31">
        <v>20890</v>
      </c>
      <c r="KCS876" s="30">
        <v>1472014</v>
      </c>
      <c r="KCT876" s="30">
        <f ca="1">YEAR(TODAY())-YEAR(KCR876)</f>
        <v>69</v>
      </c>
      <c r="KCU876" s="245"/>
      <c r="KCV876" s="7" t="s">
        <v>23</v>
      </c>
      <c r="KCW876" s="29"/>
      <c r="KCX876" s="44">
        <v>44198</v>
      </c>
      <c r="KCY876" s="30" t="s">
        <v>22</v>
      </c>
      <c r="KCZ876" s="31">
        <v>20890</v>
      </c>
      <c r="KDA876" s="30">
        <v>1472014</v>
      </c>
      <c r="KDB876" s="30">
        <f ca="1">YEAR(TODAY())-YEAR(KCZ876)</f>
        <v>69</v>
      </c>
      <c r="KDC876" s="245"/>
      <c r="KDD876" s="7" t="s">
        <v>23</v>
      </c>
      <c r="KDE876" s="29"/>
      <c r="KDF876" s="44">
        <v>44198</v>
      </c>
      <c r="KDG876" s="30" t="s">
        <v>22</v>
      </c>
      <c r="KDH876" s="31">
        <v>20890</v>
      </c>
      <c r="KDI876" s="30">
        <v>1472014</v>
      </c>
      <c r="KDJ876" s="30">
        <f ca="1">YEAR(TODAY())-YEAR(KDH876)</f>
        <v>69</v>
      </c>
      <c r="KDK876" s="245"/>
      <c r="KDL876" s="7" t="s">
        <v>23</v>
      </c>
      <c r="KDM876" s="29"/>
      <c r="KDN876" s="44">
        <v>44198</v>
      </c>
      <c r="KDO876" s="30" t="s">
        <v>22</v>
      </c>
      <c r="KDP876" s="31">
        <v>20890</v>
      </c>
      <c r="KDQ876" s="30">
        <v>1472014</v>
      </c>
      <c r="KDR876" s="30">
        <f ca="1">YEAR(TODAY())-YEAR(KDP876)</f>
        <v>69</v>
      </c>
      <c r="KDS876" s="245"/>
      <c r="KDT876" s="7" t="s">
        <v>23</v>
      </c>
      <c r="KDU876" s="29"/>
      <c r="KDV876" s="44">
        <v>44198</v>
      </c>
      <c r="KDW876" s="30" t="s">
        <v>22</v>
      </c>
      <c r="KDX876" s="31">
        <v>20890</v>
      </c>
      <c r="KDY876" s="30">
        <v>1472014</v>
      </c>
      <c r="KDZ876" s="30">
        <f ca="1">YEAR(TODAY())-YEAR(KDX876)</f>
        <v>69</v>
      </c>
      <c r="KEA876" s="245"/>
      <c r="KEB876" s="7" t="s">
        <v>23</v>
      </c>
      <c r="KEC876" s="29"/>
      <c r="KED876" s="44">
        <v>44198</v>
      </c>
      <c r="KEE876" s="30" t="s">
        <v>22</v>
      </c>
      <c r="KEF876" s="31">
        <v>20890</v>
      </c>
      <c r="KEG876" s="30">
        <v>1472014</v>
      </c>
      <c r="KEH876" s="30">
        <f ca="1">YEAR(TODAY())-YEAR(KEF876)</f>
        <v>69</v>
      </c>
      <c r="KEI876" s="245"/>
      <c r="KEJ876" s="7" t="s">
        <v>23</v>
      </c>
      <c r="KEK876" s="29"/>
      <c r="KEL876" s="44">
        <v>44198</v>
      </c>
      <c r="KEM876" s="30" t="s">
        <v>22</v>
      </c>
      <c r="KEN876" s="31">
        <v>20890</v>
      </c>
      <c r="KEO876" s="30">
        <v>1472014</v>
      </c>
      <c r="KEP876" s="30">
        <f ca="1">YEAR(TODAY())-YEAR(KEN876)</f>
        <v>69</v>
      </c>
      <c r="KEQ876" s="245"/>
      <c r="KER876" s="7" t="s">
        <v>23</v>
      </c>
      <c r="KES876" s="29"/>
      <c r="KET876" s="44">
        <v>44198</v>
      </c>
      <c r="KEU876" s="30" t="s">
        <v>22</v>
      </c>
      <c r="KEV876" s="31">
        <v>20890</v>
      </c>
      <c r="KEW876" s="30">
        <v>1472014</v>
      </c>
      <c r="KEX876" s="30">
        <f ca="1">YEAR(TODAY())-YEAR(KEV876)</f>
        <v>69</v>
      </c>
      <c r="KEY876" s="245"/>
      <c r="KEZ876" s="7" t="s">
        <v>23</v>
      </c>
      <c r="KFA876" s="29"/>
      <c r="KFB876" s="44">
        <v>44198</v>
      </c>
      <c r="KFC876" s="30" t="s">
        <v>22</v>
      </c>
      <c r="KFD876" s="31">
        <v>20890</v>
      </c>
      <c r="KFE876" s="30">
        <v>1472014</v>
      </c>
      <c r="KFF876" s="30">
        <f ca="1">YEAR(TODAY())-YEAR(KFD876)</f>
        <v>69</v>
      </c>
      <c r="KFG876" s="245"/>
      <c r="KFH876" s="7" t="s">
        <v>23</v>
      </c>
      <c r="KFI876" s="29"/>
      <c r="KFJ876" s="44">
        <v>44198</v>
      </c>
      <c r="KFK876" s="30" t="s">
        <v>22</v>
      </c>
      <c r="KFL876" s="31">
        <v>20890</v>
      </c>
      <c r="KFM876" s="30">
        <v>1472014</v>
      </c>
      <c r="KFN876" s="30">
        <f ca="1">YEAR(TODAY())-YEAR(KFL876)</f>
        <v>69</v>
      </c>
      <c r="KFO876" s="245"/>
      <c r="KFP876" s="7" t="s">
        <v>23</v>
      </c>
      <c r="KFQ876" s="29"/>
      <c r="KFR876" s="44">
        <v>44198</v>
      </c>
      <c r="KFS876" s="30" t="s">
        <v>22</v>
      </c>
      <c r="KFT876" s="31">
        <v>20890</v>
      </c>
      <c r="KFU876" s="30">
        <v>1472014</v>
      </c>
      <c r="KFV876" s="30">
        <f ca="1">YEAR(TODAY())-YEAR(KFT876)</f>
        <v>69</v>
      </c>
      <c r="KFW876" s="245"/>
      <c r="KFX876" s="7" t="s">
        <v>23</v>
      </c>
      <c r="KFY876" s="29"/>
      <c r="KFZ876" s="44">
        <v>44198</v>
      </c>
      <c r="KGA876" s="30" t="s">
        <v>22</v>
      </c>
      <c r="KGB876" s="31">
        <v>20890</v>
      </c>
      <c r="KGC876" s="30">
        <v>1472014</v>
      </c>
      <c r="KGD876" s="30">
        <f ca="1">YEAR(TODAY())-YEAR(KGB876)</f>
        <v>69</v>
      </c>
      <c r="KGE876" s="245"/>
      <c r="KGF876" s="7" t="s">
        <v>23</v>
      </c>
      <c r="KGG876" s="29"/>
      <c r="KGH876" s="44">
        <v>44198</v>
      </c>
      <c r="KGI876" s="30" t="s">
        <v>22</v>
      </c>
      <c r="KGJ876" s="31">
        <v>20890</v>
      </c>
      <c r="KGK876" s="30">
        <v>1472014</v>
      </c>
      <c r="KGL876" s="30">
        <f ca="1">YEAR(TODAY())-YEAR(KGJ876)</f>
        <v>69</v>
      </c>
      <c r="KGM876" s="245"/>
      <c r="KGN876" s="7" t="s">
        <v>23</v>
      </c>
      <c r="KGO876" s="29"/>
      <c r="KGP876" s="44">
        <v>44198</v>
      </c>
      <c r="KGQ876" s="30" t="s">
        <v>22</v>
      </c>
      <c r="KGR876" s="31">
        <v>20890</v>
      </c>
      <c r="KGS876" s="30">
        <v>1472014</v>
      </c>
      <c r="KGT876" s="30">
        <f ca="1">YEAR(TODAY())-YEAR(KGR876)</f>
        <v>69</v>
      </c>
      <c r="KGU876" s="245"/>
      <c r="KGV876" s="7" t="s">
        <v>23</v>
      </c>
      <c r="KGW876" s="29"/>
      <c r="KGX876" s="44">
        <v>44198</v>
      </c>
      <c r="KGY876" s="30" t="s">
        <v>22</v>
      </c>
      <c r="KGZ876" s="31">
        <v>20890</v>
      </c>
      <c r="KHA876" s="30">
        <v>1472014</v>
      </c>
      <c r="KHB876" s="30">
        <f ca="1">YEAR(TODAY())-YEAR(KGZ876)</f>
        <v>69</v>
      </c>
      <c r="KHC876" s="245"/>
      <c r="KHD876" s="7" t="s">
        <v>23</v>
      </c>
      <c r="KHE876" s="29"/>
      <c r="KHF876" s="44">
        <v>44198</v>
      </c>
      <c r="KHG876" s="30" t="s">
        <v>22</v>
      </c>
      <c r="KHH876" s="31">
        <v>20890</v>
      </c>
      <c r="KHI876" s="30">
        <v>1472014</v>
      </c>
      <c r="KHJ876" s="30">
        <f ca="1">YEAR(TODAY())-YEAR(KHH876)</f>
        <v>69</v>
      </c>
      <c r="KHK876" s="245"/>
      <c r="KHL876" s="7" t="s">
        <v>23</v>
      </c>
      <c r="KHM876" s="29"/>
      <c r="KHN876" s="44">
        <v>44198</v>
      </c>
      <c r="KHO876" s="30" t="s">
        <v>22</v>
      </c>
      <c r="KHP876" s="31">
        <v>20890</v>
      </c>
      <c r="KHQ876" s="30">
        <v>1472014</v>
      </c>
      <c r="KHR876" s="30">
        <f ca="1">YEAR(TODAY())-YEAR(KHP876)</f>
        <v>69</v>
      </c>
      <c r="KHS876" s="245"/>
      <c r="KHT876" s="7" t="s">
        <v>23</v>
      </c>
      <c r="KHU876" s="29"/>
      <c r="KHV876" s="44">
        <v>44198</v>
      </c>
      <c r="KHW876" s="30" t="s">
        <v>22</v>
      </c>
      <c r="KHX876" s="31">
        <v>20890</v>
      </c>
      <c r="KHY876" s="30">
        <v>1472014</v>
      </c>
      <c r="KHZ876" s="30">
        <f ca="1">YEAR(TODAY())-YEAR(KHX876)</f>
        <v>69</v>
      </c>
      <c r="KIA876" s="245"/>
      <c r="KIB876" s="7" t="s">
        <v>23</v>
      </c>
      <c r="KIC876" s="29"/>
      <c r="KID876" s="44">
        <v>44198</v>
      </c>
      <c r="KIE876" s="30" t="s">
        <v>22</v>
      </c>
      <c r="KIF876" s="31">
        <v>20890</v>
      </c>
      <c r="KIG876" s="30">
        <v>1472014</v>
      </c>
      <c r="KIH876" s="30">
        <f ca="1">YEAR(TODAY())-YEAR(KIF876)</f>
        <v>69</v>
      </c>
      <c r="KII876" s="245"/>
      <c r="KIJ876" s="7" t="s">
        <v>23</v>
      </c>
      <c r="KIK876" s="29"/>
      <c r="KIL876" s="44">
        <v>44198</v>
      </c>
      <c r="KIM876" s="30" t="s">
        <v>22</v>
      </c>
      <c r="KIN876" s="31">
        <v>20890</v>
      </c>
      <c r="KIO876" s="30">
        <v>1472014</v>
      </c>
      <c r="KIP876" s="30">
        <f ca="1">YEAR(TODAY())-YEAR(KIN876)</f>
        <v>69</v>
      </c>
      <c r="KIQ876" s="245"/>
      <c r="KIR876" s="7" t="s">
        <v>23</v>
      </c>
      <c r="KIS876" s="29"/>
      <c r="KIT876" s="44">
        <v>44198</v>
      </c>
      <c r="KIU876" s="30" t="s">
        <v>22</v>
      </c>
      <c r="KIV876" s="31">
        <v>20890</v>
      </c>
      <c r="KIW876" s="30">
        <v>1472014</v>
      </c>
      <c r="KIX876" s="30">
        <f ca="1">YEAR(TODAY())-YEAR(KIV876)</f>
        <v>69</v>
      </c>
      <c r="KIY876" s="245"/>
      <c r="KIZ876" s="7" t="s">
        <v>23</v>
      </c>
      <c r="KJA876" s="29"/>
      <c r="KJB876" s="44">
        <v>44198</v>
      </c>
      <c r="KJC876" s="30" t="s">
        <v>22</v>
      </c>
      <c r="KJD876" s="31">
        <v>20890</v>
      </c>
      <c r="KJE876" s="30">
        <v>1472014</v>
      </c>
      <c r="KJF876" s="30">
        <f ca="1">YEAR(TODAY())-YEAR(KJD876)</f>
        <v>69</v>
      </c>
      <c r="KJG876" s="245"/>
      <c r="KJH876" s="7" t="s">
        <v>23</v>
      </c>
      <c r="KJI876" s="29"/>
      <c r="KJJ876" s="44">
        <v>44198</v>
      </c>
      <c r="KJK876" s="30" t="s">
        <v>22</v>
      </c>
      <c r="KJL876" s="31">
        <v>20890</v>
      </c>
      <c r="KJM876" s="30">
        <v>1472014</v>
      </c>
      <c r="KJN876" s="30">
        <f ca="1">YEAR(TODAY())-YEAR(KJL876)</f>
        <v>69</v>
      </c>
      <c r="KJO876" s="245"/>
      <c r="KJP876" s="7" t="s">
        <v>23</v>
      </c>
      <c r="KJQ876" s="29"/>
      <c r="KJR876" s="44">
        <v>44198</v>
      </c>
      <c r="KJS876" s="30" t="s">
        <v>22</v>
      </c>
      <c r="KJT876" s="31">
        <v>20890</v>
      </c>
      <c r="KJU876" s="30">
        <v>1472014</v>
      </c>
      <c r="KJV876" s="30">
        <f ca="1">YEAR(TODAY())-YEAR(KJT876)</f>
        <v>69</v>
      </c>
      <c r="KJW876" s="245"/>
      <c r="KJX876" s="7" t="s">
        <v>23</v>
      </c>
      <c r="KJY876" s="29"/>
      <c r="KJZ876" s="44">
        <v>44198</v>
      </c>
      <c r="KKA876" s="30" t="s">
        <v>22</v>
      </c>
      <c r="KKB876" s="31">
        <v>20890</v>
      </c>
      <c r="KKC876" s="30">
        <v>1472014</v>
      </c>
      <c r="KKD876" s="30">
        <f ca="1">YEAR(TODAY())-YEAR(KKB876)</f>
        <v>69</v>
      </c>
      <c r="KKE876" s="245"/>
      <c r="KKF876" s="7" t="s">
        <v>23</v>
      </c>
      <c r="KKG876" s="29"/>
      <c r="KKH876" s="44">
        <v>44198</v>
      </c>
      <c r="KKI876" s="30" t="s">
        <v>22</v>
      </c>
      <c r="KKJ876" s="31">
        <v>20890</v>
      </c>
      <c r="KKK876" s="30">
        <v>1472014</v>
      </c>
      <c r="KKL876" s="30">
        <f ca="1">YEAR(TODAY())-YEAR(KKJ876)</f>
        <v>69</v>
      </c>
      <c r="KKM876" s="245"/>
      <c r="KKN876" s="7" t="s">
        <v>23</v>
      </c>
      <c r="KKO876" s="29"/>
      <c r="KKP876" s="44">
        <v>44198</v>
      </c>
      <c r="KKQ876" s="30" t="s">
        <v>22</v>
      </c>
      <c r="KKR876" s="31">
        <v>20890</v>
      </c>
      <c r="KKS876" s="30">
        <v>1472014</v>
      </c>
      <c r="KKT876" s="30">
        <f ca="1">YEAR(TODAY())-YEAR(KKR876)</f>
        <v>69</v>
      </c>
      <c r="KKU876" s="245"/>
      <c r="KKV876" s="7" t="s">
        <v>23</v>
      </c>
      <c r="KKW876" s="29"/>
      <c r="KKX876" s="44">
        <v>44198</v>
      </c>
      <c r="KKY876" s="30" t="s">
        <v>22</v>
      </c>
      <c r="KKZ876" s="31">
        <v>20890</v>
      </c>
      <c r="KLA876" s="30">
        <v>1472014</v>
      </c>
      <c r="KLB876" s="30">
        <f ca="1">YEAR(TODAY())-YEAR(KKZ876)</f>
        <v>69</v>
      </c>
      <c r="KLC876" s="245"/>
      <c r="KLD876" s="7" t="s">
        <v>23</v>
      </c>
      <c r="KLE876" s="29"/>
      <c r="KLF876" s="44">
        <v>44198</v>
      </c>
      <c r="KLG876" s="30" t="s">
        <v>22</v>
      </c>
      <c r="KLH876" s="31">
        <v>20890</v>
      </c>
      <c r="KLI876" s="30">
        <v>1472014</v>
      </c>
      <c r="KLJ876" s="30">
        <f ca="1">YEAR(TODAY())-YEAR(KLH876)</f>
        <v>69</v>
      </c>
      <c r="KLK876" s="245"/>
      <c r="KLL876" s="7" t="s">
        <v>23</v>
      </c>
      <c r="KLM876" s="29"/>
      <c r="KLN876" s="44">
        <v>44198</v>
      </c>
      <c r="KLO876" s="30" t="s">
        <v>22</v>
      </c>
      <c r="KLP876" s="31">
        <v>20890</v>
      </c>
      <c r="KLQ876" s="30">
        <v>1472014</v>
      </c>
      <c r="KLR876" s="30">
        <f ca="1">YEAR(TODAY())-YEAR(KLP876)</f>
        <v>69</v>
      </c>
      <c r="KLS876" s="245"/>
      <c r="KLT876" s="7" t="s">
        <v>23</v>
      </c>
      <c r="KLU876" s="29"/>
      <c r="KLV876" s="44">
        <v>44198</v>
      </c>
      <c r="KLW876" s="30" t="s">
        <v>22</v>
      </c>
      <c r="KLX876" s="31">
        <v>20890</v>
      </c>
      <c r="KLY876" s="30">
        <v>1472014</v>
      </c>
      <c r="KLZ876" s="30">
        <f ca="1">YEAR(TODAY())-YEAR(KLX876)</f>
        <v>69</v>
      </c>
      <c r="KMA876" s="245"/>
      <c r="KMB876" s="7" t="s">
        <v>23</v>
      </c>
      <c r="KMC876" s="29"/>
      <c r="KMD876" s="44">
        <v>44198</v>
      </c>
      <c r="KME876" s="30" t="s">
        <v>22</v>
      </c>
      <c r="KMF876" s="31">
        <v>20890</v>
      </c>
      <c r="KMG876" s="30">
        <v>1472014</v>
      </c>
      <c r="KMH876" s="30">
        <f ca="1">YEAR(TODAY())-YEAR(KMF876)</f>
        <v>69</v>
      </c>
      <c r="KMI876" s="245"/>
      <c r="KMJ876" s="7" t="s">
        <v>23</v>
      </c>
      <c r="KMK876" s="29"/>
      <c r="KML876" s="44">
        <v>44198</v>
      </c>
      <c r="KMM876" s="30" t="s">
        <v>22</v>
      </c>
      <c r="KMN876" s="31">
        <v>20890</v>
      </c>
      <c r="KMO876" s="30">
        <v>1472014</v>
      </c>
      <c r="KMP876" s="30">
        <f ca="1">YEAR(TODAY())-YEAR(KMN876)</f>
        <v>69</v>
      </c>
      <c r="KMQ876" s="245"/>
      <c r="KMR876" s="7" t="s">
        <v>23</v>
      </c>
      <c r="KMS876" s="29"/>
      <c r="KMT876" s="44">
        <v>44198</v>
      </c>
      <c r="KMU876" s="30" t="s">
        <v>22</v>
      </c>
      <c r="KMV876" s="31">
        <v>20890</v>
      </c>
      <c r="KMW876" s="30">
        <v>1472014</v>
      </c>
      <c r="KMX876" s="30">
        <f ca="1">YEAR(TODAY())-YEAR(KMV876)</f>
        <v>69</v>
      </c>
      <c r="KMY876" s="245"/>
      <c r="KMZ876" s="7" t="s">
        <v>23</v>
      </c>
      <c r="KNA876" s="29"/>
      <c r="KNB876" s="44">
        <v>44198</v>
      </c>
      <c r="KNC876" s="30" t="s">
        <v>22</v>
      </c>
      <c r="KND876" s="31">
        <v>20890</v>
      </c>
      <c r="KNE876" s="30">
        <v>1472014</v>
      </c>
      <c r="KNF876" s="30">
        <f ca="1">YEAR(TODAY())-YEAR(KND876)</f>
        <v>69</v>
      </c>
      <c r="KNG876" s="245"/>
      <c r="KNH876" s="7" t="s">
        <v>23</v>
      </c>
      <c r="KNI876" s="29"/>
      <c r="KNJ876" s="44">
        <v>44198</v>
      </c>
      <c r="KNK876" s="30" t="s">
        <v>22</v>
      </c>
      <c r="KNL876" s="31">
        <v>20890</v>
      </c>
      <c r="KNM876" s="30">
        <v>1472014</v>
      </c>
      <c r="KNN876" s="30">
        <f ca="1">YEAR(TODAY())-YEAR(KNL876)</f>
        <v>69</v>
      </c>
      <c r="KNO876" s="245"/>
      <c r="KNP876" s="7" t="s">
        <v>23</v>
      </c>
      <c r="KNQ876" s="29"/>
      <c r="KNR876" s="44">
        <v>44198</v>
      </c>
      <c r="KNS876" s="30" t="s">
        <v>22</v>
      </c>
      <c r="KNT876" s="31">
        <v>20890</v>
      </c>
      <c r="KNU876" s="30">
        <v>1472014</v>
      </c>
      <c r="KNV876" s="30">
        <f ca="1">YEAR(TODAY())-YEAR(KNT876)</f>
        <v>69</v>
      </c>
      <c r="KNW876" s="245"/>
      <c r="KNX876" s="7" t="s">
        <v>23</v>
      </c>
      <c r="KNY876" s="29"/>
      <c r="KNZ876" s="44">
        <v>44198</v>
      </c>
      <c r="KOA876" s="30" t="s">
        <v>22</v>
      </c>
      <c r="KOB876" s="31">
        <v>20890</v>
      </c>
      <c r="KOC876" s="30">
        <v>1472014</v>
      </c>
      <c r="KOD876" s="30">
        <f ca="1">YEAR(TODAY())-YEAR(KOB876)</f>
        <v>69</v>
      </c>
      <c r="KOE876" s="245"/>
      <c r="KOF876" s="7" t="s">
        <v>23</v>
      </c>
      <c r="KOG876" s="29"/>
      <c r="KOH876" s="44">
        <v>44198</v>
      </c>
      <c r="KOI876" s="30" t="s">
        <v>22</v>
      </c>
      <c r="KOJ876" s="31">
        <v>20890</v>
      </c>
      <c r="KOK876" s="30">
        <v>1472014</v>
      </c>
      <c r="KOL876" s="30">
        <f ca="1">YEAR(TODAY())-YEAR(KOJ876)</f>
        <v>69</v>
      </c>
      <c r="KOM876" s="245"/>
      <c r="KON876" s="7" t="s">
        <v>23</v>
      </c>
      <c r="KOO876" s="29"/>
      <c r="KOP876" s="44">
        <v>44198</v>
      </c>
      <c r="KOQ876" s="30" t="s">
        <v>22</v>
      </c>
      <c r="KOR876" s="31">
        <v>20890</v>
      </c>
      <c r="KOS876" s="30">
        <v>1472014</v>
      </c>
      <c r="KOT876" s="30">
        <f ca="1">YEAR(TODAY())-YEAR(KOR876)</f>
        <v>69</v>
      </c>
      <c r="KOU876" s="245"/>
      <c r="KOV876" s="7" t="s">
        <v>23</v>
      </c>
      <c r="KOW876" s="29"/>
      <c r="KOX876" s="44">
        <v>44198</v>
      </c>
      <c r="KOY876" s="30" t="s">
        <v>22</v>
      </c>
      <c r="KOZ876" s="31">
        <v>20890</v>
      </c>
      <c r="KPA876" s="30">
        <v>1472014</v>
      </c>
      <c r="KPB876" s="30">
        <f ca="1">YEAR(TODAY())-YEAR(KOZ876)</f>
        <v>69</v>
      </c>
      <c r="KPC876" s="245"/>
      <c r="KPD876" s="7" t="s">
        <v>23</v>
      </c>
      <c r="KPE876" s="29"/>
      <c r="KPF876" s="44">
        <v>44198</v>
      </c>
      <c r="KPG876" s="30" t="s">
        <v>22</v>
      </c>
      <c r="KPH876" s="31">
        <v>20890</v>
      </c>
      <c r="KPI876" s="30">
        <v>1472014</v>
      </c>
      <c r="KPJ876" s="30">
        <f ca="1">YEAR(TODAY())-YEAR(KPH876)</f>
        <v>69</v>
      </c>
      <c r="KPK876" s="245"/>
      <c r="KPL876" s="7" t="s">
        <v>23</v>
      </c>
      <c r="KPM876" s="29"/>
      <c r="KPN876" s="44">
        <v>44198</v>
      </c>
      <c r="KPO876" s="30" t="s">
        <v>22</v>
      </c>
      <c r="KPP876" s="31">
        <v>20890</v>
      </c>
      <c r="KPQ876" s="30">
        <v>1472014</v>
      </c>
      <c r="KPR876" s="30">
        <f ca="1">YEAR(TODAY())-YEAR(KPP876)</f>
        <v>69</v>
      </c>
      <c r="KPS876" s="245"/>
      <c r="KPT876" s="7" t="s">
        <v>23</v>
      </c>
      <c r="KPU876" s="29"/>
      <c r="KPV876" s="44">
        <v>44198</v>
      </c>
      <c r="KPW876" s="30" t="s">
        <v>22</v>
      </c>
      <c r="KPX876" s="31">
        <v>20890</v>
      </c>
      <c r="KPY876" s="30">
        <v>1472014</v>
      </c>
      <c r="KPZ876" s="30">
        <f ca="1">YEAR(TODAY())-YEAR(KPX876)</f>
        <v>69</v>
      </c>
      <c r="KQA876" s="245"/>
      <c r="KQB876" s="7" t="s">
        <v>23</v>
      </c>
      <c r="KQC876" s="29"/>
      <c r="KQD876" s="44">
        <v>44198</v>
      </c>
      <c r="KQE876" s="30" t="s">
        <v>22</v>
      </c>
      <c r="KQF876" s="31">
        <v>20890</v>
      </c>
      <c r="KQG876" s="30">
        <v>1472014</v>
      </c>
      <c r="KQH876" s="30">
        <f ca="1">YEAR(TODAY())-YEAR(KQF876)</f>
        <v>69</v>
      </c>
      <c r="KQI876" s="245"/>
      <c r="KQJ876" s="7" t="s">
        <v>23</v>
      </c>
      <c r="KQK876" s="29"/>
      <c r="KQL876" s="44">
        <v>44198</v>
      </c>
      <c r="KQM876" s="30" t="s">
        <v>22</v>
      </c>
      <c r="KQN876" s="31">
        <v>20890</v>
      </c>
      <c r="KQO876" s="30">
        <v>1472014</v>
      </c>
      <c r="KQP876" s="30">
        <f ca="1">YEAR(TODAY())-YEAR(KQN876)</f>
        <v>69</v>
      </c>
      <c r="KQQ876" s="245"/>
      <c r="KQR876" s="7" t="s">
        <v>23</v>
      </c>
      <c r="KQS876" s="29"/>
      <c r="KQT876" s="44">
        <v>44198</v>
      </c>
      <c r="KQU876" s="30" t="s">
        <v>22</v>
      </c>
      <c r="KQV876" s="31">
        <v>20890</v>
      </c>
      <c r="KQW876" s="30">
        <v>1472014</v>
      </c>
      <c r="KQX876" s="30">
        <f ca="1">YEAR(TODAY())-YEAR(KQV876)</f>
        <v>69</v>
      </c>
      <c r="KQY876" s="245"/>
      <c r="KQZ876" s="7" t="s">
        <v>23</v>
      </c>
      <c r="KRA876" s="29"/>
      <c r="KRB876" s="44">
        <v>44198</v>
      </c>
      <c r="KRC876" s="30" t="s">
        <v>22</v>
      </c>
      <c r="KRD876" s="31">
        <v>20890</v>
      </c>
      <c r="KRE876" s="30">
        <v>1472014</v>
      </c>
      <c r="KRF876" s="30">
        <f ca="1">YEAR(TODAY())-YEAR(KRD876)</f>
        <v>69</v>
      </c>
      <c r="KRG876" s="245"/>
      <c r="KRH876" s="7" t="s">
        <v>23</v>
      </c>
      <c r="KRI876" s="29"/>
      <c r="KRJ876" s="44">
        <v>44198</v>
      </c>
      <c r="KRK876" s="30" t="s">
        <v>22</v>
      </c>
      <c r="KRL876" s="31">
        <v>20890</v>
      </c>
      <c r="KRM876" s="30">
        <v>1472014</v>
      </c>
      <c r="KRN876" s="30">
        <f ca="1">YEAR(TODAY())-YEAR(KRL876)</f>
        <v>69</v>
      </c>
      <c r="KRO876" s="245"/>
      <c r="KRP876" s="7" t="s">
        <v>23</v>
      </c>
      <c r="KRQ876" s="29"/>
      <c r="KRR876" s="44">
        <v>44198</v>
      </c>
      <c r="KRS876" s="30" t="s">
        <v>22</v>
      </c>
      <c r="KRT876" s="31">
        <v>20890</v>
      </c>
      <c r="KRU876" s="30">
        <v>1472014</v>
      </c>
      <c r="KRV876" s="30">
        <f ca="1">YEAR(TODAY())-YEAR(KRT876)</f>
        <v>69</v>
      </c>
      <c r="KRW876" s="245"/>
      <c r="KRX876" s="7" t="s">
        <v>23</v>
      </c>
      <c r="KRY876" s="29"/>
      <c r="KRZ876" s="44">
        <v>44198</v>
      </c>
      <c r="KSA876" s="30" t="s">
        <v>22</v>
      </c>
      <c r="KSB876" s="31">
        <v>20890</v>
      </c>
      <c r="KSC876" s="30">
        <v>1472014</v>
      </c>
      <c r="KSD876" s="30">
        <f ca="1">YEAR(TODAY())-YEAR(KSB876)</f>
        <v>69</v>
      </c>
      <c r="KSE876" s="245"/>
      <c r="KSF876" s="7" t="s">
        <v>23</v>
      </c>
      <c r="KSG876" s="29"/>
      <c r="KSH876" s="44">
        <v>44198</v>
      </c>
      <c r="KSI876" s="30" t="s">
        <v>22</v>
      </c>
      <c r="KSJ876" s="31">
        <v>20890</v>
      </c>
      <c r="KSK876" s="30">
        <v>1472014</v>
      </c>
      <c r="KSL876" s="30">
        <f ca="1">YEAR(TODAY())-YEAR(KSJ876)</f>
        <v>69</v>
      </c>
      <c r="KSM876" s="245"/>
      <c r="KSN876" s="7" t="s">
        <v>23</v>
      </c>
      <c r="KSO876" s="29"/>
      <c r="KSP876" s="44">
        <v>44198</v>
      </c>
      <c r="KSQ876" s="30" t="s">
        <v>22</v>
      </c>
      <c r="KSR876" s="31">
        <v>20890</v>
      </c>
      <c r="KSS876" s="30">
        <v>1472014</v>
      </c>
      <c r="KST876" s="30">
        <f ca="1">YEAR(TODAY())-YEAR(KSR876)</f>
        <v>69</v>
      </c>
      <c r="KSU876" s="245"/>
      <c r="KSV876" s="7" t="s">
        <v>23</v>
      </c>
      <c r="KSW876" s="29"/>
      <c r="KSX876" s="44">
        <v>44198</v>
      </c>
      <c r="KSY876" s="30" t="s">
        <v>22</v>
      </c>
      <c r="KSZ876" s="31">
        <v>20890</v>
      </c>
      <c r="KTA876" s="30">
        <v>1472014</v>
      </c>
      <c r="KTB876" s="30">
        <f ca="1">YEAR(TODAY())-YEAR(KSZ876)</f>
        <v>69</v>
      </c>
      <c r="KTC876" s="245"/>
      <c r="KTD876" s="7" t="s">
        <v>23</v>
      </c>
      <c r="KTE876" s="29"/>
      <c r="KTF876" s="44">
        <v>44198</v>
      </c>
      <c r="KTG876" s="30" t="s">
        <v>22</v>
      </c>
      <c r="KTH876" s="31">
        <v>20890</v>
      </c>
      <c r="KTI876" s="30">
        <v>1472014</v>
      </c>
      <c r="KTJ876" s="30">
        <f ca="1">YEAR(TODAY())-YEAR(KTH876)</f>
        <v>69</v>
      </c>
      <c r="KTK876" s="245"/>
      <c r="KTL876" s="7" t="s">
        <v>23</v>
      </c>
      <c r="KTM876" s="29"/>
      <c r="KTN876" s="44">
        <v>44198</v>
      </c>
      <c r="KTO876" s="30" t="s">
        <v>22</v>
      </c>
      <c r="KTP876" s="31">
        <v>20890</v>
      </c>
      <c r="KTQ876" s="30">
        <v>1472014</v>
      </c>
      <c r="KTR876" s="30">
        <f ca="1">YEAR(TODAY())-YEAR(KTP876)</f>
        <v>69</v>
      </c>
      <c r="KTS876" s="245"/>
      <c r="KTT876" s="7" t="s">
        <v>23</v>
      </c>
      <c r="KTU876" s="29"/>
      <c r="KTV876" s="44">
        <v>44198</v>
      </c>
      <c r="KTW876" s="30" t="s">
        <v>22</v>
      </c>
      <c r="KTX876" s="31">
        <v>20890</v>
      </c>
      <c r="KTY876" s="30">
        <v>1472014</v>
      </c>
      <c r="KTZ876" s="30">
        <f ca="1">YEAR(TODAY())-YEAR(KTX876)</f>
        <v>69</v>
      </c>
      <c r="KUA876" s="245"/>
      <c r="KUB876" s="7" t="s">
        <v>23</v>
      </c>
      <c r="KUC876" s="29"/>
      <c r="KUD876" s="44">
        <v>44198</v>
      </c>
      <c r="KUE876" s="30" t="s">
        <v>22</v>
      </c>
      <c r="KUF876" s="31">
        <v>20890</v>
      </c>
      <c r="KUG876" s="30">
        <v>1472014</v>
      </c>
      <c r="KUH876" s="30">
        <f ca="1">YEAR(TODAY())-YEAR(KUF876)</f>
        <v>69</v>
      </c>
      <c r="KUI876" s="245"/>
      <c r="KUJ876" s="7" t="s">
        <v>23</v>
      </c>
      <c r="KUK876" s="29"/>
      <c r="KUL876" s="44">
        <v>44198</v>
      </c>
      <c r="KUM876" s="30" t="s">
        <v>22</v>
      </c>
      <c r="KUN876" s="31">
        <v>20890</v>
      </c>
      <c r="KUO876" s="30">
        <v>1472014</v>
      </c>
      <c r="KUP876" s="30">
        <f ca="1">YEAR(TODAY())-YEAR(KUN876)</f>
        <v>69</v>
      </c>
      <c r="KUQ876" s="245"/>
      <c r="KUR876" s="7" t="s">
        <v>23</v>
      </c>
      <c r="KUS876" s="29"/>
      <c r="KUT876" s="44">
        <v>44198</v>
      </c>
      <c r="KUU876" s="30" t="s">
        <v>22</v>
      </c>
      <c r="KUV876" s="31">
        <v>20890</v>
      </c>
      <c r="KUW876" s="30">
        <v>1472014</v>
      </c>
      <c r="KUX876" s="30">
        <f ca="1">YEAR(TODAY())-YEAR(KUV876)</f>
        <v>69</v>
      </c>
      <c r="KUY876" s="245"/>
      <c r="KUZ876" s="7" t="s">
        <v>23</v>
      </c>
      <c r="KVA876" s="29"/>
      <c r="KVB876" s="44">
        <v>44198</v>
      </c>
      <c r="KVC876" s="30" t="s">
        <v>22</v>
      </c>
      <c r="KVD876" s="31">
        <v>20890</v>
      </c>
      <c r="KVE876" s="30">
        <v>1472014</v>
      </c>
      <c r="KVF876" s="30">
        <f ca="1">YEAR(TODAY())-YEAR(KVD876)</f>
        <v>69</v>
      </c>
      <c r="KVG876" s="245"/>
      <c r="KVH876" s="7" t="s">
        <v>23</v>
      </c>
      <c r="KVI876" s="29"/>
      <c r="KVJ876" s="44">
        <v>44198</v>
      </c>
      <c r="KVK876" s="30" t="s">
        <v>22</v>
      </c>
      <c r="KVL876" s="31">
        <v>20890</v>
      </c>
      <c r="KVM876" s="30">
        <v>1472014</v>
      </c>
      <c r="KVN876" s="30">
        <f ca="1">YEAR(TODAY())-YEAR(KVL876)</f>
        <v>69</v>
      </c>
      <c r="KVO876" s="245"/>
      <c r="KVP876" s="7" t="s">
        <v>23</v>
      </c>
      <c r="KVQ876" s="29"/>
      <c r="KVR876" s="44">
        <v>44198</v>
      </c>
      <c r="KVS876" s="30" t="s">
        <v>22</v>
      </c>
      <c r="KVT876" s="31">
        <v>20890</v>
      </c>
      <c r="KVU876" s="30">
        <v>1472014</v>
      </c>
      <c r="KVV876" s="30">
        <f ca="1">YEAR(TODAY())-YEAR(KVT876)</f>
        <v>69</v>
      </c>
      <c r="KVW876" s="245"/>
      <c r="KVX876" s="7" t="s">
        <v>23</v>
      </c>
      <c r="KVY876" s="29"/>
      <c r="KVZ876" s="44">
        <v>44198</v>
      </c>
      <c r="KWA876" s="30" t="s">
        <v>22</v>
      </c>
      <c r="KWB876" s="31">
        <v>20890</v>
      </c>
      <c r="KWC876" s="30">
        <v>1472014</v>
      </c>
      <c r="KWD876" s="30">
        <f ca="1">YEAR(TODAY())-YEAR(KWB876)</f>
        <v>69</v>
      </c>
      <c r="KWE876" s="245"/>
      <c r="KWF876" s="7" t="s">
        <v>23</v>
      </c>
      <c r="KWG876" s="29"/>
      <c r="KWH876" s="44">
        <v>44198</v>
      </c>
      <c r="KWI876" s="30" t="s">
        <v>22</v>
      </c>
      <c r="KWJ876" s="31">
        <v>20890</v>
      </c>
      <c r="KWK876" s="30">
        <v>1472014</v>
      </c>
      <c r="KWL876" s="30">
        <f ca="1">YEAR(TODAY())-YEAR(KWJ876)</f>
        <v>69</v>
      </c>
      <c r="KWM876" s="245"/>
      <c r="KWN876" s="7" t="s">
        <v>23</v>
      </c>
      <c r="KWO876" s="29"/>
      <c r="KWP876" s="44">
        <v>44198</v>
      </c>
      <c r="KWQ876" s="30" t="s">
        <v>22</v>
      </c>
      <c r="KWR876" s="31">
        <v>20890</v>
      </c>
      <c r="KWS876" s="30">
        <v>1472014</v>
      </c>
      <c r="KWT876" s="30">
        <f ca="1">YEAR(TODAY())-YEAR(KWR876)</f>
        <v>69</v>
      </c>
      <c r="KWU876" s="245"/>
      <c r="KWV876" s="7" t="s">
        <v>23</v>
      </c>
      <c r="KWW876" s="29"/>
      <c r="KWX876" s="44">
        <v>44198</v>
      </c>
      <c r="KWY876" s="30" t="s">
        <v>22</v>
      </c>
      <c r="KWZ876" s="31">
        <v>20890</v>
      </c>
      <c r="KXA876" s="30">
        <v>1472014</v>
      </c>
      <c r="KXB876" s="30">
        <f ca="1">YEAR(TODAY())-YEAR(KWZ876)</f>
        <v>69</v>
      </c>
      <c r="KXC876" s="245"/>
      <c r="KXD876" s="7" t="s">
        <v>23</v>
      </c>
      <c r="KXE876" s="29"/>
      <c r="KXF876" s="44">
        <v>44198</v>
      </c>
      <c r="KXG876" s="30" t="s">
        <v>22</v>
      </c>
      <c r="KXH876" s="31">
        <v>20890</v>
      </c>
      <c r="KXI876" s="30">
        <v>1472014</v>
      </c>
      <c r="KXJ876" s="30">
        <f ca="1">YEAR(TODAY())-YEAR(KXH876)</f>
        <v>69</v>
      </c>
      <c r="KXK876" s="245"/>
      <c r="KXL876" s="7" t="s">
        <v>23</v>
      </c>
      <c r="KXM876" s="29"/>
      <c r="KXN876" s="44">
        <v>44198</v>
      </c>
      <c r="KXO876" s="30" t="s">
        <v>22</v>
      </c>
      <c r="KXP876" s="31">
        <v>20890</v>
      </c>
      <c r="KXQ876" s="30">
        <v>1472014</v>
      </c>
      <c r="KXR876" s="30">
        <f ca="1">YEAR(TODAY())-YEAR(KXP876)</f>
        <v>69</v>
      </c>
      <c r="KXS876" s="245"/>
      <c r="KXT876" s="7" t="s">
        <v>23</v>
      </c>
      <c r="KXU876" s="29"/>
      <c r="KXV876" s="44">
        <v>44198</v>
      </c>
      <c r="KXW876" s="30" t="s">
        <v>22</v>
      </c>
      <c r="KXX876" s="31">
        <v>20890</v>
      </c>
      <c r="KXY876" s="30">
        <v>1472014</v>
      </c>
      <c r="KXZ876" s="30">
        <f ca="1">YEAR(TODAY())-YEAR(KXX876)</f>
        <v>69</v>
      </c>
      <c r="KYA876" s="245"/>
      <c r="KYB876" s="7" t="s">
        <v>23</v>
      </c>
      <c r="KYC876" s="29"/>
      <c r="KYD876" s="44">
        <v>44198</v>
      </c>
      <c r="KYE876" s="30" t="s">
        <v>22</v>
      </c>
      <c r="KYF876" s="31">
        <v>20890</v>
      </c>
      <c r="KYG876" s="30">
        <v>1472014</v>
      </c>
      <c r="KYH876" s="30">
        <f ca="1">YEAR(TODAY())-YEAR(KYF876)</f>
        <v>69</v>
      </c>
      <c r="KYI876" s="245"/>
      <c r="KYJ876" s="7" t="s">
        <v>23</v>
      </c>
      <c r="KYK876" s="29"/>
      <c r="KYL876" s="44">
        <v>44198</v>
      </c>
      <c r="KYM876" s="30" t="s">
        <v>22</v>
      </c>
      <c r="KYN876" s="31">
        <v>20890</v>
      </c>
      <c r="KYO876" s="30">
        <v>1472014</v>
      </c>
      <c r="KYP876" s="30">
        <f ca="1">YEAR(TODAY())-YEAR(KYN876)</f>
        <v>69</v>
      </c>
      <c r="KYQ876" s="245"/>
      <c r="KYR876" s="7" t="s">
        <v>23</v>
      </c>
      <c r="KYS876" s="29"/>
      <c r="KYT876" s="44">
        <v>44198</v>
      </c>
      <c r="KYU876" s="30" t="s">
        <v>22</v>
      </c>
      <c r="KYV876" s="31">
        <v>20890</v>
      </c>
      <c r="KYW876" s="30">
        <v>1472014</v>
      </c>
      <c r="KYX876" s="30">
        <f ca="1">YEAR(TODAY())-YEAR(KYV876)</f>
        <v>69</v>
      </c>
      <c r="KYY876" s="245"/>
      <c r="KYZ876" s="7" t="s">
        <v>23</v>
      </c>
      <c r="KZA876" s="29"/>
      <c r="KZB876" s="44">
        <v>44198</v>
      </c>
      <c r="KZC876" s="30" t="s">
        <v>22</v>
      </c>
      <c r="KZD876" s="31">
        <v>20890</v>
      </c>
      <c r="KZE876" s="30">
        <v>1472014</v>
      </c>
      <c r="KZF876" s="30">
        <f ca="1">YEAR(TODAY())-YEAR(KZD876)</f>
        <v>69</v>
      </c>
      <c r="KZG876" s="245"/>
      <c r="KZH876" s="7" t="s">
        <v>23</v>
      </c>
      <c r="KZI876" s="29"/>
      <c r="KZJ876" s="44">
        <v>44198</v>
      </c>
      <c r="KZK876" s="30" t="s">
        <v>22</v>
      </c>
      <c r="KZL876" s="31">
        <v>20890</v>
      </c>
      <c r="KZM876" s="30">
        <v>1472014</v>
      </c>
      <c r="KZN876" s="30">
        <f ca="1">YEAR(TODAY())-YEAR(KZL876)</f>
        <v>69</v>
      </c>
      <c r="KZO876" s="245"/>
      <c r="KZP876" s="7" t="s">
        <v>23</v>
      </c>
      <c r="KZQ876" s="29"/>
      <c r="KZR876" s="44">
        <v>44198</v>
      </c>
      <c r="KZS876" s="30" t="s">
        <v>22</v>
      </c>
      <c r="KZT876" s="31">
        <v>20890</v>
      </c>
      <c r="KZU876" s="30">
        <v>1472014</v>
      </c>
      <c r="KZV876" s="30">
        <f ca="1">YEAR(TODAY())-YEAR(KZT876)</f>
        <v>69</v>
      </c>
      <c r="KZW876" s="245"/>
      <c r="KZX876" s="7" t="s">
        <v>23</v>
      </c>
      <c r="KZY876" s="29"/>
      <c r="KZZ876" s="44">
        <v>44198</v>
      </c>
      <c r="LAA876" s="30" t="s">
        <v>22</v>
      </c>
      <c r="LAB876" s="31">
        <v>20890</v>
      </c>
      <c r="LAC876" s="30">
        <v>1472014</v>
      </c>
      <c r="LAD876" s="30">
        <f ca="1">YEAR(TODAY())-YEAR(LAB876)</f>
        <v>69</v>
      </c>
      <c r="LAE876" s="245"/>
      <c r="LAF876" s="7" t="s">
        <v>23</v>
      </c>
      <c r="LAG876" s="29"/>
      <c r="LAH876" s="44">
        <v>44198</v>
      </c>
      <c r="LAI876" s="30" t="s">
        <v>22</v>
      </c>
      <c r="LAJ876" s="31">
        <v>20890</v>
      </c>
      <c r="LAK876" s="30">
        <v>1472014</v>
      </c>
      <c r="LAL876" s="30">
        <f ca="1">YEAR(TODAY())-YEAR(LAJ876)</f>
        <v>69</v>
      </c>
      <c r="LAM876" s="245"/>
      <c r="LAN876" s="7" t="s">
        <v>23</v>
      </c>
      <c r="LAO876" s="29"/>
      <c r="LAP876" s="44">
        <v>44198</v>
      </c>
      <c r="LAQ876" s="30" t="s">
        <v>22</v>
      </c>
      <c r="LAR876" s="31">
        <v>20890</v>
      </c>
      <c r="LAS876" s="30">
        <v>1472014</v>
      </c>
      <c r="LAT876" s="30">
        <f ca="1">YEAR(TODAY())-YEAR(LAR876)</f>
        <v>69</v>
      </c>
      <c r="LAU876" s="245"/>
      <c r="LAV876" s="7" t="s">
        <v>23</v>
      </c>
      <c r="LAW876" s="29"/>
      <c r="LAX876" s="44">
        <v>44198</v>
      </c>
      <c r="LAY876" s="30" t="s">
        <v>22</v>
      </c>
      <c r="LAZ876" s="31">
        <v>20890</v>
      </c>
      <c r="LBA876" s="30">
        <v>1472014</v>
      </c>
      <c r="LBB876" s="30">
        <f ca="1">YEAR(TODAY())-YEAR(LAZ876)</f>
        <v>69</v>
      </c>
      <c r="LBC876" s="245"/>
      <c r="LBD876" s="7" t="s">
        <v>23</v>
      </c>
      <c r="LBE876" s="29"/>
      <c r="LBF876" s="44">
        <v>44198</v>
      </c>
      <c r="LBG876" s="30" t="s">
        <v>22</v>
      </c>
      <c r="LBH876" s="31">
        <v>20890</v>
      </c>
      <c r="LBI876" s="30">
        <v>1472014</v>
      </c>
      <c r="LBJ876" s="30">
        <f ca="1">YEAR(TODAY())-YEAR(LBH876)</f>
        <v>69</v>
      </c>
      <c r="LBK876" s="245"/>
      <c r="LBL876" s="7" t="s">
        <v>23</v>
      </c>
      <c r="LBM876" s="29"/>
      <c r="LBN876" s="44">
        <v>44198</v>
      </c>
      <c r="LBO876" s="30" t="s">
        <v>22</v>
      </c>
      <c r="LBP876" s="31">
        <v>20890</v>
      </c>
      <c r="LBQ876" s="30">
        <v>1472014</v>
      </c>
      <c r="LBR876" s="30">
        <f ca="1">YEAR(TODAY())-YEAR(LBP876)</f>
        <v>69</v>
      </c>
      <c r="LBS876" s="245"/>
      <c r="LBT876" s="7" t="s">
        <v>23</v>
      </c>
      <c r="LBU876" s="29"/>
      <c r="LBV876" s="44">
        <v>44198</v>
      </c>
      <c r="LBW876" s="30" t="s">
        <v>22</v>
      </c>
      <c r="LBX876" s="31">
        <v>20890</v>
      </c>
      <c r="LBY876" s="30">
        <v>1472014</v>
      </c>
      <c r="LBZ876" s="30">
        <f ca="1">YEAR(TODAY())-YEAR(LBX876)</f>
        <v>69</v>
      </c>
      <c r="LCA876" s="245"/>
      <c r="LCB876" s="7" t="s">
        <v>23</v>
      </c>
      <c r="LCC876" s="29"/>
      <c r="LCD876" s="44">
        <v>44198</v>
      </c>
      <c r="LCE876" s="30" t="s">
        <v>22</v>
      </c>
      <c r="LCF876" s="31">
        <v>20890</v>
      </c>
      <c r="LCG876" s="30">
        <v>1472014</v>
      </c>
      <c r="LCH876" s="30">
        <f ca="1">YEAR(TODAY())-YEAR(LCF876)</f>
        <v>69</v>
      </c>
      <c r="LCI876" s="245"/>
      <c r="LCJ876" s="7" t="s">
        <v>23</v>
      </c>
      <c r="LCK876" s="29"/>
      <c r="LCL876" s="44">
        <v>44198</v>
      </c>
      <c r="LCM876" s="30" t="s">
        <v>22</v>
      </c>
      <c r="LCN876" s="31">
        <v>20890</v>
      </c>
      <c r="LCO876" s="30">
        <v>1472014</v>
      </c>
      <c r="LCP876" s="30">
        <f ca="1">YEAR(TODAY())-YEAR(LCN876)</f>
        <v>69</v>
      </c>
      <c r="LCQ876" s="245"/>
      <c r="LCR876" s="7" t="s">
        <v>23</v>
      </c>
      <c r="LCS876" s="29"/>
      <c r="LCT876" s="44">
        <v>44198</v>
      </c>
      <c r="LCU876" s="30" t="s">
        <v>22</v>
      </c>
      <c r="LCV876" s="31">
        <v>20890</v>
      </c>
      <c r="LCW876" s="30">
        <v>1472014</v>
      </c>
      <c r="LCX876" s="30">
        <f ca="1">YEAR(TODAY())-YEAR(LCV876)</f>
        <v>69</v>
      </c>
      <c r="LCY876" s="245"/>
      <c r="LCZ876" s="7" t="s">
        <v>23</v>
      </c>
      <c r="LDA876" s="29"/>
      <c r="LDB876" s="44">
        <v>44198</v>
      </c>
      <c r="LDC876" s="30" t="s">
        <v>22</v>
      </c>
      <c r="LDD876" s="31">
        <v>20890</v>
      </c>
      <c r="LDE876" s="30">
        <v>1472014</v>
      </c>
      <c r="LDF876" s="30">
        <f ca="1">YEAR(TODAY())-YEAR(LDD876)</f>
        <v>69</v>
      </c>
      <c r="LDG876" s="245"/>
      <c r="LDH876" s="7" t="s">
        <v>23</v>
      </c>
      <c r="LDI876" s="29"/>
      <c r="LDJ876" s="44">
        <v>44198</v>
      </c>
      <c r="LDK876" s="30" t="s">
        <v>22</v>
      </c>
      <c r="LDL876" s="31">
        <v>20890</v>
      </c>
      <c r="LDM876" s="30">
        <v>1472014</v>
      </c>
      <c r="LDN876" s="30">
        <f ca="1">YEAR(TODAY())-YEAR(LDL876)</f>
        <v>69</v>
      </c>
      <c r="LDO876" s="245"/>
      <c r="LDP876" s="7" t="s">
        <v>23</v>
      </c>
      <c r="LDQ876" s="29"/>
      <c r="LDR876" s="44">
        <v>44198</v>
      </c>
      <c r="LDS876" s="30" t="s">
        <v>22</v>
      </c>
      <c r="LDT876" s="31">
        <v>20890</v>
      </c>
      <c r="LDU876" s="30">
        <v>1472014</v>
      </c>
      <c r="LDV876" s="30">
        <f ca="1">YEAR(TODAY())-YEAR(LDT876)</f>
        <v>69</v>
      </c>
      <c r="LDW876" s="245"/>
      <c r="LDX876" s="7" t="s">
        <v>23</v>
      </c>
      <c r="LDY876" s="29"/>
      <c r="LDZ876" s="44">
        <v>44198</v>
      </c>
      <c r="LEA876" s="30" t="s">
        <v>22</v>
      </c>
      <c r="LEB876" s="31">
        <v>20890</v>
      </c>
      <c r="LEC876" s="30">
        <v>1472014</v>
      </c>
      <c r="LED876" s="30">
        <f ca="1">YEAR(TODAY())-YEAR(LEB876)</f>
        <v>69</v>
      </c>
      <c r="LEE876" s="245"/>
      <c r="LEF876" s="7" t="s">
        <v>23</v>
      </c>
      <c r="LEG876" s="29"/>
      <c r="LEH876" s="44">
        <v>44198</v>
      </c>
      <c r="LEI876" s="30" t="s">
        <v>22</v>
      </c>
      <c r="LEJ876" s="31">
        <v>20890</v>
      </c>
      <c r="LEK876" s="30">
        <v>1472014</v>
      </c>
      <c r="LEL876" s="30">
        <f ca="1">YEAR(TODAY())-YEAR(LEJ876)</f>
        <v>69</v>
      </c>
      <c r="LEM876" s="245"/>
      <c r="LEN876" s="7" t="s">
        <v>23</v>
      </c>
      <c r="LEO876" s="29"/>
      <c r="LEP876" s="44">
        <v>44198</v>
      </c>
      <c r="LEQ876" s="30" t="s">
        <v>22</v>
      </c>
      <c r="LER876" s="31">
        <v>20890</v>
      </c>
      <c r="LES876" s="30">
        <v>1472014</v>
      </c>
      <c r="LET876" s="30">
        <f ca="1">YEAR(TODAY())-YEAR(LER876)</f>
        <v>69</v>
      </c>
      <c r="LEU876" s="245"/>
      <c r="LEV876" s="7" t="s">
        <v>23</v>
      </c>
      <c r="LEW876" s="29"/>
      <c r="LEX876" s="44">
        <v>44198</v>
      </c>
      <c r="LEY876" s="30" t="s">
        <v>22</v>
      </c>
      <c r="LEZ876" s="31">
        <v>20890</v>
      </c>
      <c r="LFA876" s="30">
        <v>1472014</v>
      </c>
      <c r="LFB876" s="30">
        <f ca="1">YEAR(TODAY())-YEAR(LEZ876)</f>
        <v>69</v>
      </c>
      <c r="LFC876" s="245"/>
      <c r="LFD876" s="7" t="s">
        <v>23</v>
      </c>
      <c r="LFE876" s="29"/>
      <c r="LFF876" s="44">
        <v>44198</v>
      </c>
      <c r="LFG876" s="30" t="s">
        <v>22</v>
      </c>
      <c r="LFH876" s="31">
        <v>20890</v>
      </c>
      <c r="LFI876" s="30">
        <v>1472014</v>
      </c>
      <c r="LFJ876" s="30">
        <f ca="1">YEAR(TODAY())-YEAR(LFH876)</f>
        <v>69</v>
      </c>
      <c r="LFK876" s="245"/>
      <c r="LFL876" s="7" t="s">
        <v>23</v>
      </c>
      <c r="LFM876" s="29"/>
      <c r="LFN876" s="44">
        <v>44198</v>
      </c>
      <c r="LFO876" s="30" t="s">
        <v>22</v>
      </c>
      <c r="LFP876" s="31">
        <v>20890</v>
      </c>
      <c r="LFQ876" s="30">
        <v>1472014</v>
      </c>
      <c r="LFR876" s="30">
        <f ca="1">YEAR(TODAY())-YEAR(LFP876)</f>
        <v>69</v>
      </c>
      <c r="LFS876" s="245"/>
      <c r="LFT876" s="7" t="s">
        <v>23</v>
      </c>
      <c r="LFU876" s="29"/>
      <c r="LFV876" s="44">
        <v>44198</v>
      </c>
      <c r="LFW876" s="30" t="s">
        <v>22</v>
      </c>
      <c r="LFX876" s="31">
        <v>20890</v>
      </c>
      <c r="LFY876" s="30">
        <v>1472014</v>
      </c>
      <c r="LFZ876" s="30">
        <f ca="1">YEAR(TODAY())-YEAR(LFX876)</f>
        <v>69</v>
      </c>
      <c r="LGA876" s="245"/>
      <c r="LGB876" s="7" t="s">
        <v>23</v>
      </c>
      <c r="LGC876" s="29"/>
      <c r="LGD876" s="44">
        <v>44198</v>
      </c>
      <c r="LGE876" s="30" t="s">
        <v>22</v>
      </c>
      <c r="LGF876" s="31">
        <v>20890</v>
      </c>
      <c r="LGG876" s="30">
        <v>1472014</v>
      </c>
      <c r="LGH876" s="30">
        <f ca="1">YEAR(TODAY())-YEAR(LGF876)</f>
        <v>69</v>
      </c>
      <c r="LGI876" s="245"/>
      <c r="LGJ876" s="7" t="s">
        <v>23</v>
      </c>
      <c r="LGK876" s="29"/>
      <c r="LGL876" s="44">
        <v>44198</v>
      </c>
      <c r="LGM876" s="30" t="s">
        <v>22</v>
      </c>
      <c r="LGN876" s="31">
        <v>20890</v>
      </c>
      <c r="LGO876" s="30">
        <v>1472014</v>
      </c>
      <c r="LGP876" s="30">
        <f ca="1">YEAR(TODAY())-YEAR(LGN876)</f>
        <v>69</v>
      </c>
      <c r="LGQ876" s="245"/>
      <c r="LGR876" s="7" t="s">
        <v>23</v>
      </c>
      <c r="LGS876" s="29"/>
      <c r="LGT876" s="44">
        <v>44198</v>
      </c>
      <c r="LGU876" s="30" t="s">
        <v>22</v>
      </c>
      <c r="LGV876" s="31">
        <v>20890</v>
      </c>
      <c r="LGW876" s="30">
        <v>1472014</v>
      </c>
      <c r="LGX876" s="30">
        <f ca="1">YEAR(TODAY())-YEAR(LGV876)</f>
        <v>69</v>
      </c>
      <c r="LGY876" s="245"/>
      <c r="LGZ876" s="7" t="s">
        <v>23</v>
      </c>
      <c r="LHA876" s="29"/>
      <c r="LHB876" s="44">
        <v>44198</v>
      </c>
      <c r="LHC876" s="30" t="s">
        <v>22</v>
      </c>
      <c r="LHD876" s="31">
        <v>20890</v>
      </c>
      <c r="LHE876" s="30">
        <v>1472014</v>
      </c>
      <c r="LHF876" s="30">
        <f ca="1">YEAR(TODAY())-YEAR(LHD876)</f>
        <v>69</v>
      </c>
      <c r="LHG876" s="245"/>
      <c r="LHH876" s="7" t="s">
        <v>23</v>
      </c>
      <c r="LHI876" s="29"/>
      <c r="LHJ876" s="44">
        <v>44198</v>
      </c>
      <c r="LHK876" s="30" t="s">
        <v>22</v>
      </c>
      <c r="LHL876" s="31">
        <v>20890</v>
      </c>
      <c r="LHM876" s="30">
        <v>1472014</v>
      </c>
      <c r="LHN876" s="30">
        <f ca="1">YEAR(TODAY())-YEAR(LHL876)</f>
        <v>69</v>
      </c>
      <c r="LHO876" s="245"/>
      <c r="LHP876" s="7" t="s">
        <v>23</v>
      </c>
      <c r="LHQ876" s="29"/>
      <c r="LHR876" s="44">
        <v>44198</v>
      </c>
      <c r="LHS876" s="30" t="s">
        <v>22</v>
      </c>
      <c r="LHT876" s="31">
        <v>20890</v>
      </c>
      <c r="LHU876" s="30">
        <v>1472014</v>
      </c>
      <c r="LHV876" s="30">
        <f ca="1">YEAR(TODAY())-YEAR(LHT876)</f>
        <v>69</v>
      </c>
      <c r="LHW876" s="245"/>
      <c r="LHX876" s="7" t="s">
        <v>23</v>
      </c>
      <c r="LHY876" s="29"/>
      <c r="LHZ876" s="44">
        <v>44198</v>
      </c>
      <c r="LIA876" s="30" t="s">
        <v>22</v>
      </c>
      <c r="LIB876" s="31">
        <v>20890</v>
      </c>
      <c r="LIC876" s="30">
        <v>1472014</v>
      </c>
      <c r="LID876" s="30">
        <f ca="1">YEAR(TODAY())-YEAR(LIB876)</f>
        <v>69</v>
      </c>
      <c r="LIE876" s="245"/>
      <c r="LIF876" s="7" t="s">
        <v>23</v>
      </c>
      <c r="LIG876" s="29"/>
      <c r="LIH876" s="44">
        <v>44198</v>
      </c>
      <c r="LII876" s="30" t="s">
        <v>22</v>
      </c>
      <c r="LIJ876" s="31">
        <v>20890</v>
      </c>
      <c r="LIK876" s="30">
        <v>1472014</v>
      </c>
      <c r="LIL876" s="30">
        <f ca="1">YEAR(TODAY())-YEAR(LIJ876)</f>
        <v>69</v>
      </c>
      <c r="LIM876" s="245"/>
      <c r="LIN876" s="7" t="s">
        <v>23</v>
      </c>
      <c r="LIO876" s="29"/>
      <c r="LIP876" s="44">
        <v>44198</v>
      </c>
      <c r="LIQ876" s="30" t="s">
        <v>22</v>
      </c>
      <c r="LIR876" s="31">
        <v>20890</v>
      </c>
      <c r="LIS876" s="30">
        <v>1472014</v>
      </c>
      <c r="LIT876" s="30">
        <f ca="1">YEAR(TODAY())-YEAR(LIR876)</f>
        <v>69</v>
      </c>
      <c r="LIU876" s="245"/>
      <c r="LIV876" s="7" t="s">
        <v>23</v>
      </c>
      <c r="LIW876" s="29"/>
      <c r="LIX876" s="44">
        <v>44198</v>
      </c>
      <c r="LIY876" s="30" t="s">
        <v>22</v>
      </c>
      <c r="LIZ876" s="31">
        <v>20890</v>
      </c>
      <c r="LJA876" s="30">
        <v>1472014</v>
      </c>
      <c r="LJB876" s="30">
        <f ca="1">YEAR(TODAY())-YEAR(LIZ876)</f>
        <v>69</v>
      </c>
      <c r="LJC876" s="245"/>
      <c r="LJD876" s="7" t="s">
        <v>23</v>
      </c>
      <c r="LJE876" s="29"/>
      <c r="LJF876" s="44">
        <v>44198</v>
      </c>
      <c r="LJG876" s="30" t="s">
        <v>22</v>
      </c>
      <c r="LJH876" s="31">
        <v>20890</v>
      </c>
      <c r="LJI876" s="30">
        <v>1472014</v>
      </c>
      <c r="LJJ876" s="30">
        <f ca="1">YEAR(TODAY())-YEAR(LJH876)</f>
        <v>69</v>
      </c>
      <c r="LJK876" s="245"/>
      <c r="LJL876" s="7" t="s">
        <v>23</v>
      </c>
      <c r="LJM876" s="29"/>
      <c r="LJN876" s="44">
        <v>44198</v>
      </c>
      <c r="LJO876" s="30" t="s">
        <v>22</v>
      </c>
      <c r="LJP876" s="31">
        <v>20890</v>
      </c>
      <c r="LJQ876" s="30">
        <v>1472014</v>
      </c>
      <c r="LJR876" s="30">
        <f ca="1">YEAR(TODAY())-YEAR(LJP876)</f>
        <v>69</v>
      </c>
      <c r="LJS876" s="245"/>
      <c r="LJT876" s="7" t="s">
        <v>23</v>
      </c>
      <c r="LJU876" s="29"/>
      <c r="LJV876" s="44">
        <v>44198</v>
      </c>
      <c r="LJW876" s="30" t="s">
        <v>22</v>
      </c>
      <c r="LJX876" s="31">
        <v>20890</v>
      </c>
      <c r="LJY876" s="30">
        <v>1472014</v>
      </c>
      <c r="LJZ876" s="30">
        <f ca="1">YEAR(TODAY())-YEAR(LJX876)</f>
        <v>69</v>
      </c>
      <c r="LKA876" s="245"/>
      <c r="LKB876" s="7" t="s">
        <v>23</v>
      </c>
      <c r="LKC876" s="29"/>
      <c r="LKD876" s="44">
        <v>44198</v>
      </c>
      <c r="LKE876" s="30" t="s">
        <v>22</v>
      </c>
      <c r="LKF876" s="31">
        <v>20890</v>
      </c>
      <c r="LKG876" s="30">
        <v>1472014</v>
      </c>
      <c r="LKH876" s="30">
        <f ca="1">YEAR(TODAY())-YEAR(LKF876)</f>
        <v>69</v>
      </c>
      <c r="LKI876" s="245"/>
      <c r="LKJ876" s="7" t="s">
        <v>23</v>
      </c>
      <c r="LKK876" s="29"/>
      <c r="LKL876" s="44">
        <v>44198</v>
      </c>
      <c r="LKM876" s="30" t="s">
        <v>22</v>
      </c>
      <c r="LKN876" s="31">
        <v>20890</v>
      </c>
      <c r="LKO876" s="30">
        <v>1472014</v>
      </c>
      <c r="LKP876" s="30">
        <f ca="1">YEAR(TODAY())-YEAR(LKN876)</f>
        <v>69</v>
      </c>
      <c r="LKQ876" s="245"/>
      <c r="LKR876" s="7" t="s">
        <v>23</v>
      </c>
      <c r="LKS876" s="29"/>
      <c r="LKT876" s="44">
        <v>44198</v>
      </c>
      <c r="LKU876" s="30" t="s">
        <v>22</v>
      </c>
      <c r="LKV876" s="31">
        <v>20890</v>
      </c>
      <c r="LKW876" s="30">
        <v>1472014</v>
      </c>
      <c r="LKX876" s="30">
        <f ca="1">YEAR(TODAY())-YEAR(LKV876)</f>
        <v>69</v>
      </c>
      <c r="LKY876" s="245"/>
      <c r="LKZ876" s="7" t="s">
        <v>23</v>
      </c>
      <c r="LLA876" s="29"/>
      <c r="LLB876" s="44">
        <v>44198</v>
      </c>
      <c r="LLC876" s="30" t="s">
        <v>22</v>
      </c>
      <c r="LLD876" s="31">
        <v>20890</v>
      </c>
      <c r="LLE876" s="30">
        <v>1472014</v>
      </c>
      <c r="LLF876" s="30">
        <f ca="1">YEAR(TODAY())-YEAR(LLD876)</f>
        <v>69</v>
      </c>
      <c r="LLG876" s="245"/>
      <c r="LLH876" s="7" t="s">
        <v>23</v>
      </c>
      <c r="LLI876" s="29"/>
      <c r="LLJ876" s="44">
        <v>44198</v>
      </c>
      <c r="LLK876" s="30" t="s">
        <v>22</v>
      </c>
      <c r="LLL876" s="31">
        <v>20890</v>
      </c>
      <c r="LLM876" s="30">
        <v>1472014</v>
      </c>
      <c r="LLN876" s="30">
        <f ca="1">YEAR(TODAY())-YEAR(LLL876)</f>
        <v>69</v>
      </c>
      <c r="LLO876" s="245"/>
      <c r="LLP876" s="7" t="s">
        <v>23</v>
      </c>
      <c r="LLQ876" s="29"/>
      <c r="LLR876" s="44">
        <v>44198</v>
      </c>
      <c r="LLS876" s="30" t="s">
        <v>22</v>
      </c>
      <c r="LLT876" s="31">
        <v>20890</v>
      </c>
      <c r="LLU876" s="30">
        <v>1472014</v>
      </c>
      <c r="LLV876" s="30">
        <f ca="1">YEAR(TODAY())-YEAR(LLT876)</f>
        <v>69</v>
      </c>
      <c r="LLW876" s="245"/>
      <c r="LLX876" s="7" t="s">
        <v>23</v>
      </c>
      <c r="LLY876" s="29"/>
      <c r="LLZ876" s="44">
        <v>44198</v>
      </c>
      <c r="LMA876" s="30" t="s">
        <v>22</v>
      </c>
      <c r="LMB876" s="31">
        <v>20890</v>
      </c>
      <c r="LMC876" s="30">
        <v>1472014</v>
      </c>
      <c r="LMD876" s="30">
        <f ca="1">YEAR(TODAY())-YEAR(LMB876)</f>
        <v>69</v>
      </c>
      <c r="LME876" s="245"/>
      <c r="LMF876" s="7" t="s">
        <v>23</v>
      </c>
      <c r="LMG876" s="29"/>
      <c r="LMH876" s="44">
        <v>44198</v>
      </c>
      <c r="LMI876" s="30" t="s">
        <v>22</v>
      </c>
      <c r="LMJ876" s="31">
        <v>20890</v>
      </c>
      <c r="LMK876" s="30">
        <v>1472014</v>
      </c>
      <c r="LML876" s="30">
        <f ca="1">YEAR(TODAY())-YEAR(LMJ876)</f>
        <v>69</v>
      </c>
      <c r="LMM876" s="245"/>
      <c r="LMN876" s="7" t="s">
        <v>23</v>
      </c>
      <c r="LMO876" s="29"/>
      <c r="LMP876" s="44">
        <v>44198</v>
      </c>
      <c r="LMQ876" s="30" t="s">
        <v>22</v>
      </c>
      <c r="LMR876" s="31">
        <v>20890</v>
      </c>
      <c r="LMS876" s="30">
        <v>1472014</v>
      </c>
      <c r="LMT876" s="30">
        <f ca="1">YEAR(TODAY())-YEAR(LMR876)</f>
        <v>69</v>
      </c>
      <c r="LMU876" s="245"/>
      <c r="LMV876" s="7" t="s">
        <v>23</v>
      </c>
      <c r="LMW876" s="29"/>
      <c r="LMX876" s="44">
        <v>44198</v>
      </c>
      <c r="LMY876" s="30" t="s">
        <v>22</v>
      </c>
      <c r="LMZ876" s="31">
        <v>20890</v>
      </c>
      <c r="LNA876" s="30">
        <v>1472014</v>
      </c>
      <c r="LNB876" s="30">
        <f ca="1">YEAR(TODAY())-YEAR(LMZ876)</f>
        <v>69</v>
      </c>
      <c r="LNC876" s="245"/>
      <c r="LND876" s="7" t="s">
        <v>23</v>
      </c>
      <c r="LNE876" s="29"/>
      <c r="LNF876" s="44">
        <v>44198</v>
      </c>
      <c r="LNG876" s="30" t="s">
        <v>22</v>
      </c>
      <c r="LNH876" s="31">
        <v>20890</v>
      </c>
      <c r="LNI876" s="30">
        <v>1472014</v>
      </c>
      <c r="LNJ876" s="30">
        <f ca="1">YEAR(TODAY())-YEAR(LNH876)</f>
        <v>69</v>
      </c>
      <c r="LNK876" s="245"/>
      <c r="LNL876" s="7" t="s">
        <v>23</v>
      </c>
      <c r="LNM876" s="29"/>
      <c r="LNN876" s="44">
        <v>44198</v>
      </c>
      <c r="LNO876" s="30" t="s">
        <v>22</v>
      </c>
      <c r="LNP876" s="31">
        <v>20890</v>
      </c>
      <c r="LNQ876" s="30">
        <v>1472014</v>
      </c>
      <c r="LNR876" s="30">
        <f ca="1">YEAR(TODAY())-YEAR(LNP876)</f>
        <v>69</v>
      </c>
      <c r="LNS876" s="245"/>
      <c r="LNT876" s="7" t="s">
        <v>23</v>
      </c>
      <c r="LNU876" s="29"/>
      <c r="LNV876" s="44">
        <v>44198</v>
      </c>
      <c r="LNW876" s="30" t="s">
        <v>22</v>
      </c>
      <c r="LNX876" s="31">
        <v>20890</v>
      </c>
      <c r="LNY876" s="30">
        <v>1472014</v>
      </c>
      <c r="LNZ876" s="30">
        <f ca="1">YEAR(TODAY())-YEAR(LNX876)</f>
        <v>69</v>
      </c>
      <c r="LOA876" s="245"/>
      <c r="LOB876" s="7" t="s">
        <v>23</v>
      </c>
      <c r="LOC876" s="29"/>
      <c r="LOD876" s="44">
        <v>44198</v>
      </c>
      <c r="LOE876" s="30" t="s">
        <v>22</v>
      </c>
      <c r="LOF876" s="31">
        <v>20890</v>
      </c>
      <c r="LOG876" s="30">
        <v>1472014</v>
      </c>
      <c r="LOH876" s="30">
        <f ca="1">YEAR(TODAY())-YEAR(LOF876)</f>
        <v>69</v>
      </c>
      <c r="LOI876" s="245"/>
      <c r="LOJ876" s="7" t="s">
        <v>23</v>
      </c>
      <c r="LOK876" s="29"/>
      <c r="LOL876" s="44">
        <v>44198</v>
      </c>
      <c r="LOM876" s="30" t="s">
        <v>22</v>
      </c>
      <c r="LON876" s="31">
        <v>20890</v>
      </c>
      <c r="LOO876" s="30">
        <v>1472014</v>
      </c>
      <c r="LOP876" s="30">
        <f ca="1">YEAR(TODAY())-YEAR(LON876)</f>
        <v>69</v>
      </c>
      <c r="LOQ876" s="245"/>
      <c r="LOR876" s="7" t="s">
        <v>23</v>
      </c>
      <c r="LOS876" s="29"/>
      <c r="LOT876" s="44">
        <v>44198</v>
      </c>
      <c r="LOU876" s="30" t="s">
        <v>22</v>
      </c>
      <c r="LOV876" s="31">
        <v>20890</v>
      </c>
      <c r="LOW876" s="30">
        <v>1472014</v>
      </c>
      <c r="LOX876" s="30">
        <f ca="1">YEAR(TODAY())-YEAR(LOV876)</f>
        <v>69</v>
      </c>
      <c r="LOY876" s="245"/>
      <c r="LOZ876" s="7" t="s">
        <v>23</v>
      </c>
      <c r="LPA876" s="29"/>
      <c r="LPB876" s="44">
        <v>44198</v>
      </c>
      <c r="LPC876" s="30" t="s">
        <v>22</v>
      </c>
      <c r="LPD876" s="31">
        <v>20890</v>
      </c>
      <c r="LPE876" s="30">
        <v>1472014</v>
      </c>
      <c r="LPF876" s="30">
        <f ca="1">YEAR(TODAY())-YEAR(LPD876)</f>
        <v>69</v>
      </c>
      <c r="LPG876" s="245"/>
      <c r="LPH876" s="7" t="s">
        <v>23</v>
      </c>
      <c r="LPI876" s="29"/>
      <c r="LPJ876" s="44">
        <v>44198</v>
      </c>
      <c r="LPK876" s="30" t="s">
        <v>22</v>
      </c>
      <c r="LPL876" s="31">
        <v>20890</v>
      </c>
      <c r="LPM876" s="30">
        <v>1472014</v>
      </c>
      <c r="LPN876" s="30">
        <f ca="1">YEAR(TODAY())-YEAR(LPL876)</f>
        <v>69</v>
      </c>
      <c r="LPO876" s="245"/>
      <c r="LPP876" s="7" t="s">
        <v>23</v>
      </c>
      <c r="LPQ876" s="29"/>
      <c r="LPR876" s="44">
        <v>44198</v>
      </c>
      <c r="LPS876" s="30" t="s">
        <v>22</v>
      </c>
      <c r="LPT876" s="31">
        <v>20890</v>
      </c>
      <c r="LPU876" s="30">
        <v>1472014</v>
      </c>
      <c r="LPV876" s="30">
        <f ca="1">YEAR(TODAY())-YEAR(LPT876)</f>
        <v>69</v>
      </c>
      <c r="LPW876" s="245"/>
      <c r="LPX876" s="7" t="s">
        <v>23</v>
      </c>
      <c r="LPY876" s="29"/>
      <c r="LPZ876" s="44">
        <v>44198</v>
      </c>
      <c r="LQA876" s="30" t="s">
        <v>22</v>
      </c>
      <c r="LQB876" s="31">
        <v>20890</v>
      </c>
      <c r="LQC876" s="30">
        <v>1472014</v>
      </c>
      <c r="LQD876" s="30">
        <f ca="1">YEAR(TODAY())-YEAR(LQB876)</f>
        <v>69</v>
      </c>
      <c r="LQE876" s="245"/>
      <c r="LQF876" s="7" t="s">
        <v>23</v>
      </c>
      <c r="LQG876" s="29"/>
      <c r="LQH876" s="44">
        <v>44198</v>
      </c>
      <c r="LQI876" s="30" t="s">
        <v>22</v>
      </c>
      <c r="LQJ876" s="31">
        <v>20890</v>
      </c>
      <c r="LQK876" s="30">
        <v>1472014</v>
      </c>
      <c r="LQL876" s="30">
        <f ca="1">YEAR(TODAY())-YEAR(LQJ876)</f>
        <v>69</v>
      </c>
      <c r="LQM876" s="245"/>
      <c r="LQN876" s="7" t="s">
        <v>23</v>
      </c>
      <c r="LQO876" s="29"/>
      <c r="LQP876" s="44">
        <v>44198</v>
      </c>
      <c r="LQQ876" s="30" t="s">
        <v>22</v>
      </c>
      <c r="LQR876" s="31">
        <v>20890</v>
      </c>
      <c r="LQS876" s="30">
        <v>1472014</v>
      </c>
      <c r="LQT876" s="30">
        <f ca="1">YEAR(TODAY())-YEAR(LQR876)</f>
        <v>69</v>
      </c>
      <c r="LQU876" s="245"/>
      <c r="LQV876" s="7" t="s">
        <v>23</v>
      </c>
      <c r="LQW876" s="29"/>
      <c r="LQX876" s="44">
        <v>44198</v>
      </c>
      <c r="LQY876" s="30" t="s">
        <v>22</v>
      </c>
      <c r="LQZ876" s="31">
        <v>20890</v>
      </c>
      <c r="LRA876" s="30">
        <v>1472014</v>
      </c>
      <c r="LRB876" s="30">
        <f ca="1">YEAR(TODAY())-YEAR(LQZ876)</f>
        <v>69</v>
      </c>
      <c r="LRC876" s="245"/>
      <c r="LRD876" s="7" t="s">
        <v>23</v>
      </c>
      <c r="LRE876" s="29"/>
      <c r="LRF876" s="44">
        <v>44198</v>
      </c>
      <c r="LRG876" s="30" t="s">
        <v>22</v>
      </c>
      <c r="LRH876" s="31">
        <v>20890</v>
      </c>
      <c r="LRI876" s="30">
        <v>1472014</v>
      </c>
      <c r="LRJ876" s="30">
        <f ca="1">YEAR(TODAY())-YEAR(LRH876)</f>
        <v>69</v>
      </c>
      <c r="LRK876" s="245"/>
      <c r="LRL876" s="7" t="s">
        <v>23</v>
      </c>
      <c r="LRM876" s="29"/>
      <c r="LRN876" s="44">
        <v>44198</v>
      </c>
      <c r="LRO876" s="30" t="s">
        <v>22</v>
      </c>
      <c r="LRP876" s="31">
        <v>20890</v>
      </c>
      <c r="LRQ876" s="30">
        <v>1472014</v>
      </c>
      <c r="LRR876" s="30">
        <f ca="1">YEAR(TODAY())-YEAR(LRP876)</f>
        <v>69</v>
      </c>
      <c r="LRS876" s="245"/>
      <c r="LRT876" s="7" t="s">
        <v>23</v>
      </c>
      <c r="LRU876" s="29"/>
      <c r="LRV876" s="44">
        <v>44198</v>
      </c>
      <c r="LRW876" s="30" t="s">
        <v>22</v>
      </c>
      <c r="LRX876" s="31">
        <v>20890</v>
      </c>
      <c r="LRY876" s="30">
        <v>1472014</v>
      </c>
      <c r="LRZ876" s="30">
        <f ca="1">YEAR(TODAY())-YEAR(LRX876)</f>
        <v>69</v>
      </c>
      <c r="LSA876" s="245"/>
      <c r="LSB876" s="7" t="s">
        <v>23</v>
      </c>
      <c r="LSC876" s="29"/>
      <c r="LSD876" s="44">
        <v>44198</v>
      </c>
      <c r="LSE876" s="30" t="s">
        <v>22</v>
      </c>
      <c r="LSF876" s="31">
        <v>20890</v>
      </c>
      <c r="LSG876" s="30">
        <v>1472014</v>
      </c>
      <c r="LSH876" s="30">
        <f ca="1">YEAR(TODAY())-YEAR(LSF876)</f>
        <v>69</v>
      </c>
      <c r="LSI876" s="245"/>
      <c r="LSJ876" s="7" t="s">
        <v>23</v>
      </c>
      <c r="LSK876" s="29"/>
      <c r="LSL876" s="44">
        <v>44198</v>
      </c>
      <c r="LSM876" s="30" t="s">
        <v>22</v>
      </c>
      <c r="LSN876" s="31">
        <v>20890</v>
      </c>
      <c r="LSO876" s="30">
        <v>1472014</v>
      </c>
      <c r="LSP876" s="30">
        <f ca="1">YEAR(TODAY())-YEAR(LSN876)</f>
        <v>69</v>
      </c>
      <c r="LSQ876" s="245"/>
      <c r="LSR876" s="7" t="s">
        <v>23</v>
      </c>
      <c r="LSS876" s="29"/>
      <c r="LST876" s="44">
        <v>44198</v>
      </c>
      <c r="LSU876" s="30" t="s">
        <v>22</v>
      </c>
      <c r="LSV876" s="31">
        <v>20890</v>
      </c>
      <c r="LSW876" s="30">
        <v>1472014</v>
      </c>
      <c r="LSX876" s="30">
        <f ca="1">YEAR(TODAY())-YEAR(LSV876)</f>
        <v>69</v>
      </c>
      <c r="LSY876" s="245"/>
      <c r="LSZ876" s="7" t="s">
        <v>23</v>
      </c>
      <c r="LTA876" s="29"/>
      <c r="LTB876" s="44">
        <v>44198</v>
      </c>
      <c r="LTC876" s="30" t="s">
        <v>22</v>
      </c>
      <c r="LTD876" s="31">
        <v>20890</v>
      </c>
      <c r="LTE876" s="30">
        <v>1472014</v>
      </c>
      <c r="LTF876" s="30">
        <f ca="1">YEAR(TODAY())-YEAR(LTD876)</f>
        <v>69</v>
      </c>
      <c r="LTG876" s="245"/>
      <c r="LTH876" s="7" t="s">
        <v>23</v>
      </c>
      <c r="LTI876" s="29"/>
      <c r="LTJ876" s="44">
        <v>44198</v>
      </c>
      <c r="LTK876" s="30" t="s">
        <v>22</v>
      </c>
      <c r="LTL876" s="31">
        <v>20890</v>
      </c>
      <c r="LTM876" s="30">
        <v>1472014</v>
      </c>
      <c r="LTN876" s="30">
        <f ca="1">YEAR(TODAY())-YEAR(LTL876)</f>
        <v>69</v>
      </c>
      <c r="LTO876" s="245"/>
      <c r="LTP876" s="7" t="s">
        <v>23</v>
      </c>
      <c r="LTQ876" s="29"/>
      <c r="LTR876" s="44">
        <v>44198</v>
      </c>
      <c r="LTS876" s="30" t="s">
        <v>22</v>
      </c>
      <c r="LTT876" s="31">
        <v>20890</v>
      </c>
      <c r="LTU876" s="30">
        <v>1472014</v>
      </c>
      <c r="LTV876" s="30">
        <f ca="1">YEAR(TODAY())-YEAR(LTT876)</f>
        <v>69</v>
      </c>
      <c r="LTW876" s="245"/>
      <c r="LTX876" s="7" t="s">
        <v>23</v>
      </c>
      <c r="LTY876" s="29"/>
      <c r="LTZ876" s="44">
        <v>44198</v>
      </c>
      <c r="LUA876" s="30" t="s">
        <v>22</v>
      </c>
      <c r="LUB876" s="31">
        <v>20890</v>
      </c>
      <c r="LUC876" s="30">
        <v>1472014</v>
      </c>
      <c r="LUD876" s="30">
        <f ca="1">YEAR(TODAY())-YEAR(LUB876)</f>
        <v>69</v>
      </c>
      <c r="LUE876" s="245"/>
      <c r="LUF876" s="7" t="s">
        <v>23</v>
      </c>
      <c r="LUG876" s="29"/>
      <c r="LUH876" s="44">
        <v>44198</v>
      </c>
      <c r="LUI876" s="30" t="s">
        <v>22</v>
      </c>
      <c r="LUJ876" s="31">
        <v>20890</v>
      </c>
      <c r="LUK876" s="30">
        <v>1472014</v>
      </c>
      <c r="LUL876" s="30">
        <f ca="1">YEAR(TODAY())-YEAR(LUJ876)</f>
        <v>69</v>
      </c>
      <c r="LUM876" s="245"/>
      <c r="LUN876" s="7" t="s">
        <v>23</v>
      </c>
      <c r="LUO876" s="29"/>
      <c r="LUP876" s="44">
        <v>44198</v>
      </c>
      <c r="LUQ876" s="30" t="s">
        <v>22</v>
      </c>
      <c r="LUR876" s="31">
        <v>20890</v>
      </c>
      <c r="LUS876" s="30">
        <v>1472014</v>
      </c>
      <c r="LUT876" s="30">
        <f ca="1">YEAR(TODAY())-YEAR(LUR876)</f>
        <v>69</v>
      </c>
      <c r="LUU876" s="245"/>
      <c r="LUV876" s="7" t="s">
        <v>23</v>
      </c>
      <c r="LUW876" s="29"/>
      <c r="LUX876" s="44">
        <v>44198</v>
      </c>
      <c r="LUY876" s="30" t="s">
        <v>22</v>
      </c>
      <c r="LUZ876" s="31">
        <v>20890</v>
      </c>
      <c r="LVA876" s="30">
        <v>1472014</v>
      </c>
      <c r="LVB876" s="30">
        <f ca="1">YEAR(TODAY())-YEAR(LUZ876)</f>
        <v>69</v>
      </c>
      <c r="LVC876" s="245"/>
      <c r="LVD876" s="7" t="s">
        <v>23</v>
      </c>
      <c r="LVE876" s="29"/>
      <c r="LVF876" s="44">
        <v>44198</v>
      </c>
      <c r="LVG876" s="30" t="s">
        <v>22</v>
      </c>
      <c r="LVH876" s="31">
        <v>20890</v>
      </c>
      <c r="LVI876" s="30">
        <v>1472014</v>
      </c>
      <c r="LVJ876" s="30">
        <f ca="1">YEAR(TODAY())-YEAR(LVH876)</f>
        <v>69</v>
      </c>
      <c r="LVK876" s="245"/>
      <c r="LVL876" s="7" t="s">
        <v>23</v>
      </c>
      <c r="LVM876" s="29"/>
      <c r="LVN876" s="44">
        <v>44198</v>
      </c>
      <c r="LVO876" s="30" t="s">
        <v>22</v>
      </c>
      <c r="LVP876" s="31">
        <v>20890</v>
      </c>
      <c r="LVQ876" s="30">
        <v>1472014</v>
      </c>
      <c r="LVR876" s="30">
        <f ca="1">YEAR(TODAY())-YEAR(LVP876)</f>
        <v>69</v>
      </c>
      <c r="LVS876" s="245"/>
      <c r="LVT876" s="7" t="s">
        <v>23</v>
      </c>
      <c r="LVU876" s="29"/>
      <c r="LVV876" s="44">
        <v>44198</v>
      </c>
      <c r="LVW876" s="30" t="s">
        <v>22</v>
      </c>
      <c r="LVX876" s="31">
        <v>20890</v>
      </c>
      <c r="LVY876" s="30">
        <v>1472014</v>
      </c>
      <c r="LVZ876" s="30">
        <f ca="1">YEAR(TODAY())-YEAR(LVX876)</f>
        <v>69</v>
      </c>
      <c r="LWA876" s="245"/>
      <c r="LWB876" s="7" t="s">
        <v>23</v>
      </c>
      <c r="LWC876" s="29"/>
      <c r="LWD876" s="44">
        <v>44198</v>
      </c>
      <c r="LWE876" s="30" t="s">
        <v>22</v>
      </c>
      <c r="LWF876" s="31">
        <v>20890</v>
      </c>
      <c r="LWG876" s="30">
        <v>1472014</v>
      </c>
      <c r="LWH876" s="30">
        <f ca="1">YEAR(TODAY())-YEAR(LWF876)</f>
        <v>69</v>
      </c>
      <c r="LWI876" s="245"/>
      <c r="LWJ876" s="7" t="s">
        <v>23</v>
      </c>
      <c r="LWK876" s="29"/>
      <c r="LWL876" s="44">
        <v>44198</v>
      </c>
      <c r="LWM876" s="30" t="s">
        <v>22</v>
      </c>
      <c r="LWN876" s="31">
        <v>20890</v>
      </c>
      <c r="LWO876" s="30">
        <v>1472014</v>
      </c>
      <c r="LWP876" s="30">
        <f ca="1">YEAR(TODAY())-YEAR(LWN876)</f>
        <v>69</v>
      </c>
      <c r="LWQ876" s="245"/>
      <c r="LWR876" s="7" t="s">
        <v>23</v>
      </c>
      <c r="LWS876" s="29"/>
      <c r="LWT876" s="44">
        <v>44198</v>
      </c>
      <c r="LWU876" s="30" t="s">
        <v>22</v>
      </c>
      <c r="LWV876" s="31">
        <v>20890</v>
      </c>
      <c r="LWW876" s="30">
        <v>1472014</v>
      </c>
      <c r="LWX876" s="30">
        <f ca="1">YEAR(TODAY())-YEAR(LWV876)</f>
        <v>69</v>
      </c>
      <c r="LWY876" s="245"/>
      <c r="LWZ876" s="7" t="s">
        <v>23</v>
      </c>
      <c r="LXA876" s="29"/>
      <c r="LXB876" s="44">
        <v>44198</v>
      </c>
      <c r="LXC876" s="30" t="s">
        <v>22</v>
      </c>
      <c r="LXD876" s="31">
        <v>20890</v>
      </c>
      <c r="LXE876" s="30">
        <v>1472014</v>
      </c>
      <c r="LXF876" s="30">
        <f ca="1">YEAR(TODAY())-YEAR(LXD876)</f>
        <v>69</v>
      </c>
      <c r="LXG876" s="245"/>
      <c r="LXH876" s="7" t="s">
        <v>23</v>
      </c>
      <c r="LXI876" s="29"/>
      <c r="LXJ876" s="44">
        <v>44198</v>
      </c>
      <c r="LXK876" s="30" t="s">
        <v>22</v>
      </c>
      <c r="LXL876" s="31">
        <v>20890</v>
      </c>
      <c r="LXM876" s="30">
        <v>1472014</v>
      </c>
      <c r="LXN876" s="30">
        <f ca="1">YEAR(TODAY())-YEAR(LXL876)</f>
        <v>69</v>
      </c>
      <c r="LXO876" s="245"/>
      <c r="LXP876" s="7" t="s">
        <v>23</v>
      </c>
      <c r="LXQ876" s="29"/>
      <c r="LXR876" s="44">
        <v>44198</v>
      </c>
      <c r="LXS876" s="30" t="s">
        <v>22</v>
      </c>
      <c r="LXT876" s="31">
        <v>20890</v>
      </c>
      <c r="LXU876" s="30">
        <v>1472014</v>
      </c>
      <c r="LXV876" s="30">
        <f ca="1">YEAR(TODAY())-YEAR(LXT876)</f>
        <v>69</v>
      </c>
      <c r="LXW876" s="245"/>
      <c r="LXX876" s="7" t="s">
        <v>23</v>
      </c>
      <c r="LXY876" s="29"/>
      <c r="LXZ876" s="44">
        <v>44198</v>
      </c>
      <c r="LYA876" s="30" t="s">
        <v>22</v>
      </c>
      <c r="LYB876" s="31">
        <v>20890</v>
      </c>
      <c r="LYC876" s="30">
        <v>1472014</v>
      </c>
      <c r="LYD876" s="30">
        <f ca="1">YEAR(TODAY())-YEAR(LYB876)</f>
        <v>69</v>
      </c>
      <c r="LYE876" s="245"/>
      <c r="LYF876" s="7" t="s">
        <v>23</v>
      </c>
      <c r="LYG876" s="29"/>
      <c r="LYH876" s="44">
        <v>44198</v>
      </c>
      <c r="LYI876" s="30" t="s">
        <v>22</v>
      </c>
      <c r="LYJ876" s="31">
        <v>20890</v>
      </c>
      <c r="LYK876" s="30">
        <v>1472014</v>
      </c>
      <c r="LYL876" s="30">
        <f ca="1">YEAR(TODAY())-YEAR(LYJ876)</f>
        <v>69</v>
      </c>
      <c r="LYM876" s="245"/>
      <c r="LYN876" s="7" t="s">
        <v>23</v>
      </c>
      <c r="LYO876" s="29"/>
      <c r="LYP876" s="44">
        <v>44198</v>
      </c>
      <c r="LYQ876" s="30" t="s">
        <v>22</v>
      </c>
      <c r="LYR876" s="31">
        <v>20890</v>
      </c>
      <c r="LYS876" s="30">
        <v>1472014</v>
      </c>
      <c r="LYT876" s="30">
        <f ca="1">YEAR(TODAY())-YEAR(LYR876)</f>
        <v>69</v>
      </c>
      <c r="LYU876" s="245"/>
      <c r="LYV876" s="7" t="s">
        <v>23</v>
      </c>
      <c r="LYW876" s="29"/>
      <c r="LYX876" s="44">
        <v>44198</v>
      </c>
      <c r="LYY876" s="30" t="s">
        <v>22</v>
      </c>
      <c r="LYZ876" s="31">
        <v>20890</v>
      </c>
      <c r="LZA876" s="30">
        <v>1472014</v>
      </c>
      <c r="LZB876" s="30">
        <f ca="1">YEAR(TODAY())-YEAR(LYZ876)</f>
        <v>69</v>
      </c>
      <c r="LZC876" s="245"/>
      <c r="LZD876" s="7" t="s">
        <v>23</v>
      </c>
      <c r="LZE876" s="29"/>
      <c r="LZF876" s="44">
        <v>44198</v>
      </c>
      <c r="LZG876" s="30" t="s">
        <v>22</v>
      </c>
      <c r="LZH876" s="31">
        <v>20890</v>
      </c>
      <c r="LZI876" s="30">
        <v>1472014</v>
      </c>
      <c r="LZJ876" s="30">
        <f ca="1">YEAR(TODAY())-YEAR(LZH876)</f>
        <v>69</v>
      </c>
      <c r="LZK876" s="245"/>
      <c r="LZL876" s="7" t="s">
        <v>23</v>
      </c>
      <c r="LZM876" s="29"/>
      <c r="LZN876" s="44">
        <v>44198</v>
      </c>
      <c r="LZO876" s="30" t="s">
        <v>22</v>
      </c>
      <c r="LZP876" s="31">
        <v>20890</v>
      </c>
      <c r="LZQ876" s="30">
        <v>1472014</v>
      </c>
      <c r="LZR876" s="30">
        <f ca="1">YEAR(TODAY())-YEAR(LZP876)</f>
        <v>69</v>
      </c>
      <c r="LZS876" s="245"/>
      <c r="LZT876" s="7" t="s">
        <v>23</v>
      </c>
      <c r="LZU876" s="29"/>
      <c r="LZV876" s="44">
        <v>44198</v>
      </c>
      <c r="LZW876" s="30" t="s">
        <v>22</v>
      </c>
      <c r="LZX876" s="31">
        <v>20890</v>
      </c>
      <c r="LZY876" s="30">
        <v>1472014</v>
      </c>
      <c r="LZZ876" s="30">
        <f ca="1">YEAR(TODAY())-YEAR(LZX876)</f>
        <v>69</v>
      </c>
      <c r="MAA876" s="245"/>
      <c r="MAB876" s="7" t="s">
        <v>23</v>
      </c>
      <c r="MAC876" s="29"/>
      <c r="MAD876" s="44">
        <v>44198</v>
      </c>
      <c r="MAE876" s="30" t="s">
        <v>22</v>
      </c>
      <c r="MAF876" s="31">
        <v>20890</v>
      </c>
      <c r="MAG876" s="30">
        <v>1472014</v>
      </c>
      <c r="MAH876" s="30">
        <f ca="1">YEAR(TODAY())-YEAR(MAF876)</f>
        <v>69</v>
      </c>
      <c r="MAI876" s="245"/>
      <c r="MAJ876" s="7" t="s">
        <v>23</v>
      </c>
      <c r="MAK876" s="29"/>
      <c r="MAL876" s="44">
        <v>44198</v>
      </c>
      <c r="MAM876" s="30" t="s">
        <v>22</v>
      </c>
      <c r="MAN876" s="31">
        <v>20890</v>
      </c>
      <c r="MAO876" s="30">
        <v>1472014</v>
      </c>
      <c r="MAP876" s="30">
        <f ca="1">YEAR(TODAY())-YEAR(MAN876)</f>
        <v>69</v>
      </c>
      <c r="MAQ876" s="245"/>
      <c r="MAR876" s="7" t="s">
        <v>23</v>
      </c>
      <c r="MAS876" s="29"/>
      <c r="MAT876" s="44">
        <v>44198</v>
      </c>
      <c r="MAU876" s="30" t="s">
        <v>22</v>
      </c>
      <c r="MAV876" s="31">
        <v>20890</v>
      </c>
      <c r="MAW876" s="30">
        <v>1472014</v>
      </c>
      <c r="MAX876" s="30">
        <f ca="1">YEAR(TODAY())-YEAR(MAV876)</f>
        <v>69</v>
      </c>
      <c r="MAY876" s="245"/>
      <c r="MAZ876" s="7" t="s">
        <v>23</v>
      </c>
      <c r="MBA876" s="29"/>
      <c r="MBB876" s="44">
        <v>44198</v>
      </c>
      <c r="MBC876" s="30" t="s">
        <v>22</v>
      </c>
      <c r="MBD876" s="31">
        <v>20890</v>
      </c>
      <c r="MBE876" s="30">
        <v>1472014</v>
      </c>
      <c r="MBF876" s="30">
        <f ca="1">YEAR(TODAY())-YEAR(MBD876)</f>
        <v>69</v>
      </c>
      <c r="MBG876" s="245"/>
      <c r="MBH876" s="7" t="s">
        <v>23</v>
      </c>
      <c r="MBI876" s="29"/>
      <c r="MBJ876" s="44">
        <v>44198</v>
      </c>
      <c r="MBK876" s="30" t="s">
        <v>22</v>
      </c>
      <c r="MBL876" s="31">
        <v>20890</v>
      </c>
      <c r="MBM876" s="30">
        <v>1472014</v>
      </c>
      <c r="MBN876" s="30">
        <f ca="1">YEAR(TODAY())-YEAR(MBL876)</f>
        <v>69</v>
      </c>
      <c r="MBO876" s="245"/>
      <c r="MBP876" s="7" t="s">
        <v>23</v>
      </c>
      <c r="MBQ876" s="29"/>
      <c r="MBR876" s="44">
        <v>44198</v>
      </c>
      <c r="MBS876" s="30" t="s">
        <v>22</v>
      </c>
      <c r="MBT876" s="31">
        <v>20890</v>
      </c>
      <c r="MBU876" s="30">
        <v>1472014</v>
      </c>
      <c r="MBV876" s="30">
        <f ca="1">YEAR(TODAY())-YEAR(MBT876)</f>
        <v>69</v>
      </c>
      <c r="MBW876" s="245"/>
      <c r="MBX876" s="7" t="s">
        <v>23</v>
      </c>
      <c r="MBY876" s="29"/>
      <c r="MBZ876" s="44">
        <v>44198</v>
      </c>
      <c r="MCA876" s="30" t="s">
        <v>22</v>
      </c>
      <c r="MCB876" s="31">
        <v>20890</v>
      </c>
      <c r="MCC876" s="30">
        <v>1472014</v>
      </c>
      <c r="MCD876" s="30">
        <f ca="1">YEAR(TODAY())-YEAR(MCB876)</f>
        <v>69</v>
      </c>
      <c r="MCE876" s="245"/>
      <c r="MCF876" s="7" t="s">
        <v>23</v>
      </c>
      <c r="MCG876" s="29"/>
      <c r="MCH876" s="44">
        <v>44198</v>
      </c>
      <c r="MCI876" s="30" t="s">
        <v>22</v>
      </c>
      <c r="MCJ876" s="31">
        <v>20890</v>
      </c>
      <c r="MCK876" s="30">
        <v>1472014</v>
      </c>
      <c r="MCL876" s="30">
        <f ca="1">YEAR(TODAY())-YEAR(MCJ876)</f>
        <v>69</v>
      </c>
      <c r="MCM876" s="245"/>
      <c r="MCN876" s="7" t="s">
        <v>23</v>
      </c>
      <c r="MCO876" s="29"/>
      <c r="MCP876" s="44">
        <v>44198</v>
      </c>
      <c r="MCQ876" s="30" t="s">
        <v>22</v>
      </c>
      <c r="MCR876" s="31">
        <v>20890</v>
      </c>
      <c r="MCS876" s="30">
        <v>1472014</v>
      </c>
      <c r="MCT876" s="30">
        <f ca="1">YEAR(TODAY())-YEAR(MCR876)</f>
        <v>69</v>
      </c>
      <c r="MCU876" s="245"/>
      <c r="MCV876" s="7" t="s">
        <v>23</v>
      </c>
      <c r="MCW876" s="29"/>
      <c r="MCX876" s="44">
        <v>44198</v>
      </c>
      <c r="MCY876" s="30" t="s">
        <v>22</v>
      </c>
      <c r="MCZ876" s="31">
        <v>20890</v>
      </c>
      <c r="MDA876" s="30">
        <v>1472014</v>
      </c>
      <c r="MDB876" s="30">
        <f ca="1">YEAR(TODAY())-YEAR(MCZ876)</f>
        <v>69</v>
      </c>
      <c r="MDC876" s="245"/>
      <c r="MDD876" s="7" t="s">
        <v>23</v>
      </c>
      <c r="MDE876" s="29"/>
      <c r="MDF876" s="44">
        <v>44198</v>
      </c>
      <c r="MDG876" s="30" t="s">
        <v>22</v>
      </c>
      <c r="MDH876" s="31">
        <v>20890</v>
      </c>
      <c r="MDI876" s="30">
        <v>1472014</v>
      </c>
      <c r="MDJ876" s="30">
        <f ca="1">YEAR(TODAY())-YEAR(MDH876)</f>
        <v>69</v>
      </c>
      <c r="MDK876" s="245"/>
      <c r="MDL876" s="7" t="s">
        <v>23</v>
      </c>
      <c r="MDM876" s="29"/>
      <c r="MDN876" s="44">
        <v>44198</v>
      </c>
      <c r="MDO876" s="30" t="s">
        <v>22</v>
      </c>
      <c r="MDP876" s="31">
        <v>20890</v>
      </c>
      <c r="MDQ876" s="30">
        <v>1472014</v>
      </c>
      <c r="MDR876" s="30">
        <f ca="1">YEAR(TODAY())-YEAR(MDP876)</f>
        <v>69</v>
      </c>
      <c r="MDS876" s="245"/>
      <c r="MDT876" s="7" t="s">
        <v>23</v>
      </c>
      <c r="MDU876" s="29"/>
      <c r="MDV876" s="44">
        <v>44198</v>
      </c>
      <c r="MDW876" s="30" t="s">
        <v>22</v>
      </c>
      <c r="MDX876" s="31">
        <v>20890</v>
      </c>
      <c r="MDY876" s="30">
        <v>1472014</v>
      </c>
      <c r="MDZ876" s="30">
        <f ca="1">YEAR(TODAY())-YEAR(MDX876)</f>
        <v>69</v>
      </c>
      <c r="MEA876" s="245"/>
      <c r="MEB876" s="7" t="s">
        <v>23</v>
      </c>
      <c r="MEC876" s="29"/>
      <c r="MED876" s="44">
        <v>44198</v>
      </c>
      <c r="MEE876" s="30" t="s">
        <v>22</v>
      </c>
      <c r="MEF876" s="31">
        <v>20890</v>
      </c>
      <c r="MEG876" s="30">
        <v>1472014</v>
      </c>
      <c r="MEH876" s="30">
        <f ca="1">YEAR(TODAY())-YEAR(MEF876)</f>
        <v>69</v>
      </c>
      <c r="MEI876" s="245"/>
      <c r="MEJ876" s="7" t="s">
        <v>23</v>
      </c>
      <c r="MEK876" s="29"/>
      <c r="MEL876" s="44">
        <v>44198</v>
      </c>
      <c r="MEM876" s="30" t="s">
        <v>22</v>
      </c>
      <c r="MEN876" s="31">
        <v>20890</v>
      </c>
      <c r="MEO876" s="30">
        <v>1472014</v>
      </c>
      <c r="MEP876" s="30">
        <f ca="1">YEAR(TODAY())-YEAR(MEN876)</f>
        <v>69</v>
      </c>
      <c r="MEQ876" s="245"/>
      <c r="MER876" s="7" t="s">
        <v>23</v>
      </c>
      <c r="MES876" s="29"/>
      <c r="MET876" s="44">
        <v>44198</v>
      </c>
      <c r="MEU876" s="30" t="s">
        <v>22</v>
      </c>
      <c r="MEV876" s="31">
        <v>20890</v>
      </c>
      <c r="MEW876" s="30">
        <v>1472014</v>
      </c>
      <c r="MEX876" s="30">
        <f ca="1">YEAR(TODAY())-YEAR(MEV876)</f>
        <v>69</v>
      </c>
      <c r="MEY876" s="245"/>
      <c r="MEZ876" s="7" t="s">
        <v>23</v>
      </c>
      <c r="MFA876" s="29"/>
      <c r="MFB876" s="44">
        <v>44198</v>
      </c>
      <c r="MFC876" s="30" t="s">
        <v>22</v>
      </c>
      <c r="MFD876" s="31">
        <v>20890</v>
      </c>
      <c r="MFE876" s="30">
        <v>1472014</v>
      </c>
      <c r="MFF876" s="30">
        <f ca="1">YEAR(TODAY())-YEAR(MFD876)</f>
        <v>69</v>
      </c>
      <c r="MFG876" s="245"/>
      <c r="MFH876" s="7" t="s">
        <v>23</v>
      </c>
      <c r="MFI876" s="29"/>
      <c r="MFJ876" s="44">
        <v>44198</v>
      </c>
      <c r="MFK876" s="30" t="s">
        <v>22</v>
      </c>
      <c r="MFL876" s="31">
        <v>20890</v>
      </c>
      <c r="MFM876" s="30">
        <v>1472014</v>
      </c>
      <c r="MFN876" s="30">
        <f ca="1">YEAR(TODAY())-YEAR(MFL876)</f>
        <v>69</v>
      </c>
      <c r="MFO876" s="245"/>
      <c r="MFP876" s="7" t="s">
        <v>23</v>
      </c>
      <c r="MFQ876" s="29"/>
      <c r="MFR876" s="44">
        <v>44198</v>
      </c>
      <c r="MFS876" s="30" t="s">
        <v>22</v>
      </c>
      <c r="MFT876" s="31">
        <v>20890</v>
      </c>
      <c r="MFU876" s="30">
        <v>1472014</v>
      </c>
      <c r="MFV876" s="30">
        <f ca="1">YEAR(TODAY())-YEAR(MFT876)</f>
        <v>69</v>
      </c>
      <c r="MFW876" s="245"/>
      <c r="MFX876" s="7" t="s">
        <v>23</v>
      </c>
      <c r="MFY876" s="29"/>
      <c r="MFZ876" s="44">
        <v>44198</v>
      </c>
      <c r="MGA876" s="30" t="s">
        <v>22</v>
      </c>
      <c r="MGB876" s="31">
        <v>20890</v>
      </c>
      <c r="MGC876" s="30">
        <v>1472014</v>
      </c>
      <c r="MGD876" s="30">
        <f ca="1">YEAR(TODAY())-YEAR(MGB876)</f>
        <v>69</v>
      </c>
      <c r="MGE876" s="245"/>
      <c r="MGF876" s="7" t="s">
        <v>23</v>
      </c>
      <c r="MGG876" s="29"/>
      <c r="MGH876" s="44">
        <v>44198</v>
      </c>
      <c r="MGI876" s="30" t="s">
        <v>22</v>
      </c>
      <c r="MGJ876" s="31">
        <v>20890</v>
      </c>
      <c r="MGK876" s="30">
        <v>1472014</v>
      </c>
      <c r="MGL876" s="30">
        <f ca="1">YEAR(TODAY())-YEAR(MGJ876)</f>
        <v>69</v>
      </c>
      <c r="MGM876" s="245"/>
      <c r="MGN876" s="7" t="s">
        <v>23</v>
      </c>
      <c r="MGO876" s="29"/>
      <c r="MGP876" s="44">
        <v>44198</v>
      </c>
      <c r="MGQ876" s="30" t="s">
        <v>22</v>
      </c>
      <c r="MGR876" s="31">
        <v>20890</v>
      </c>
      <c r="MGS876" s="30">
        <v>1472014</v>
      </c>
      <c r="MGT876" s="30">
        <f ca="1">YEAR(TODAY())-YEAR(MGR876)</f>
        <v>69</v>
      </c>
      <c r="MGU876" s="245"/>
      <c r="MGV876" s="7" t="s">
        <v>23</v>
      </c>
      <c r="MGW876" s="29"/>
      <c r="MGX876" s="44">
        <v>44198</v>
      </c>
      <c r="MGY876" s="30" t="s">
        <v>22</v>
      </c>
      <c r="MGZ876" s="31">
        <v>20890</v>
      </c>
      <c r="MHA876" s="30">
        <v>1472014</v>
      </c>
      <c r="MHB876" s="30">
        <f ca="1">YEAR(TODAY())-YEAR(MGZ876)</f>
        <v>69</v>
      </c>
      <c r="MHC876" s="245"/>
      <c r="MHD876" s="7" t="s">
        <v>23</v>
      </c>
      <c r="MHE876" s="29"/>
      <c r="MHF876" s="44">
        <v>44198</v>
      </c>
      <c r="MHG876" s="30" t="s">
        <v>22</v>
      </c>
      <c r="MHH876" s="31">
        <v>20890</v>
      </c>
      <c r="MHI876" s="30">
        <v>1472014</v>
      </c>
      <c r="MHJ876" s="30">
        <f ca="1">YEAR(TODAY())-YEAR(MHH876)</f>
        <v>69</v>
      </c>
      <c r="MHK876" s="245"/>
      <c r="MHL876" s="7" t="s">
        <v>23</v>
      </c>
      <c r="MHM876" s="29"/>
      <c r="MHN876" s="44">
        <v>44198</v>
      </c>
      <c r="MHO876" s="30" t="s">
        <v>22</v>
      </c>
      <c r="MHP876" s="31">
        <v>20890</v>
      </c>
      <c r="MHQ876" s="30">
        <v>1472014</v>
      </c>
      <c r="MHR876" s="30">
        <f ca="1">YEAR(TODAY())-YEAR(MHP876)</f>
        <v>69</v>
      </c>
      <c r="MHS876" s="245"/>
      <c r="MHT876" s="7" t="s">
        <v>23</v>
      </c>
      <c r="MHU876" s="29"/>
      <c r="MHV876" s="44">
        <v>44198</v>
      </c>
      <c r="MHW876" s="30" t="s">
        <v>22</v>
      </c>
      <c r="MHX876" s="31">
        <v>20890</v>
      </c>
      <c r="MHY876" s="30">
        <v>1472014</v>
      </c>
      <c r="MHZ876" s="30">
        <f ca="1">YEAR(TODAY())-YEAR(MHX876)</f>
        <v>69</v>
      </c>
      <c r="MIA876" s="245"/>
      <c r="MIB876" s="7" t="s">
        <v>23</v>
      </c>
      <c r="MIC876" s="29"/>
      <c r="MID876" s="44">
        <v>44198</v>
      </c>
      <c r="MIE876" s="30" t="s">
        <v>22</v>
      </c>
      <c r="MIF876" s="31">
        <v>20890</v>
      </c>
      <c r="MIG876" s="30">
        <v>1472014</v>
      </c>
      <c r="MIH876" s="30">
        <f ca="1">YEAR(TODAY())-YEAR(MIF876)</f>
        <v>69</v>
      </c>
      <c r="MII876" s="245"/>
      <c r="MIJ876" s="7" t="s">
        <v>23</v>
      </c>
      <c r="MIK876" s="29"/>
      <c r="MIL876" s="44">
        <v>44198</v>
      </c>
      <c r="MIM876" s="30" t="s">
        <v>22</v>
      </c>
      <c r="MIN876" s="31">
        <v>20890</v>
      </c>
      <c r="MIO876" s="30">
        <v>1472014</v>
      </c>
      <c r="MIP876" s="30">
        <f ca="1">YEAR(TODAY())-YEAR(MIN876)</f>
        <v>69</v>
      </c>
      <c r="MIQ876" s="245"/>
      <c r="MIR876" s="7" t="s">
        <v>23</v>
      </c>
      <c r="MIS876" s="29"/>
      <c r="MIT876" s="44">
        <v>44198</v>
      </c>
      <c r="MIU876" s="30" t="s">
        <v>22</v>
      </c>
      <c r="MIV876" s="31">
        <v>20890</v>
      </c>
      <c r="MIW876" s="30">
        <v>1472014</v>
      </c>
      <c r="MIX876" s="30">
        <f ca="1">YEAR(TODAY())-YEAR(MIV876)</f>
        <v>69</v>
      </c>
      <c r="MIY876" s="245"/>
      <c r="MIZ876" s="7" t="s">
        <v>23</v>
      </c>
      <c r="MJA876" s="29"/>
      <c r="MJB876" s="44">
        <v>44198</v>
      </c>
      <c r="MJC876" s="30" t="s">
        <v>22</v>
      </c>
      <c r="MJD876" s="31">
        <v>20890</v>
      </c>
      <c r="MJE876" s="30">
        <v>1472014</v>
      </c>
      <c r="MJF876" s="30">
        <f ca="1">YEAR(TODAY())-YEAR(MJD876)</f>
        <v>69</v>
      </c>
      <c r="MJG876" s="245"/>
      <c r="MJH876" s="7" t="s">
        <v>23</v>
      </c>
      <c r="MJI876" s="29"/>
      <c r="MJJ876" s="44">
        <v>44198</v>
      </c>
      <c r="MJK876" s="30" t="s">
        <v>22</v>
      </c>
      <c r="MJL876" s="31">
        <v>20890</v>
      </c>
      <c r="MJM876" s="30">
        <v>1472014</v>
      </c>
      <c r="MJN876" s="30">
        <f ca="1">YEAR(TODAY())-YEAR(MJL876)</f>
        <v>69</v>
      </c>
      <c r="MJO876" s="245"/>
      <c r="MJP876" s="7" t="s">
        <v>23</v>
      </c>
      <c r="MJQ876" s="29"/>
      <c r="MJR876" s="44">
        <v>44198</v>
      </c>
      <c r="MJS876" s="30" t="s">
        <v>22</v>
      </c>
      <c r="MJT876" s="31">
        <v>20890</v>
      </c>
      <c r="MJU876" s="30">
        <v>1472014</v>
      </c>
      <c r="MJV876" s="30">
        <f ca="1">YEAR(TODAY())-YEAR(MJT876)</f>
        <v>69</v>
      </c>
      <c r="MJW876" s="245"/>
      <c r="MJX876" s="7" t="s">
        <v>23</v>
      </c>
      <c r="MJY876" s="29"/>
      <c r="MJZ876" s="44">
        <v>44198</v>
      </c>
      <c r="MKA876" s="30" t="s">
        <v>22</v>
      </c>
      <c r="MKB876" s="31">
        <v>20890</v>
      </c>
      <c r="MKC876" s="30">
        <v>1472014</v>
      </c>
      <c r="MKD876" s="30">
        <f ca="1">YEAR(TODAY())-YEAR(MKB876)</f>
        <v>69</v>
      </c>
      <c r="MKE876" s="245"/>
      <c r="MKF876" s="7" t="s">
        <v>23</v>
      </c>
      <c r="MKG876" s="29"/>
      <c r="MKH876" s="44">
        <v>44198</v>
      </c>
      <c r="MKI876" s="30" t="s">
        <v>22</v>
      </c>
      <c r="MKJ876" s="31">
        <v>20890</v>
      </c>
      <c r="MKK876" s="30">
        <v>1472014</v>
      </c>
      <c r="MKL876" s="30">
        <f ca="1">YEAR(TODAY())-YEAR(MKJ876)</f>
        <v>69</v>
      </c>
      <c r="MKM876" s="245"/>
      <c r="MKN876" s="7" t="s">
        <v>23</v>
      </c>
      <c r="MKO876" s="29"/>
      <c r="MKP876" s="44">
        <v>44198</v>
      </c>
      <c r="MKQ876" s="30" t="s">
        <v>22</v>
      </c>
      <c r="MKR876" s="31">
        <v>20890</v>
      </c>
      <c r="MKS876" s="30">
        <v>1472014</v>
      </c>
      <c r="MKT876" s="30">
        <f ca="1">YEAR(TODAY())-YEAR(MKR876)</f>
        <v>69</v>
      </c>
      <c r="MKU876" s="245"/>
      <c r="MKV876" s="7" t="s">
        <v>23</v>
      </c>
      <c r="MKW876" s="29"/>
      <c r="MKX876" s="44">
        <v>44198</v>
      </c>
      <c r="MKY876" s="30" t="s">
        <v>22</v>
      </c>
      <c r="MKZ876" s="31">
        <v>20890</v>
      </c>
      <c r="MLA876" s="30">
        <v>1472014</v>
      </c>
      <c r="MLB876" s="30">
        <f ca="1">YEAR(TODAY())-YEAR(MKZ876)</f>
        <v>69</v>
      </c>
      <c r="MLC876" s="245"/>
      <c r="MLD876" s="7" t="s">
        <v>23</v>
      </c>
      <c r="MLE876" s="29"/>
      <c r="MLF876" s="44">
        <v>44198</v>
      </c>
      <c r="MLG876" s="30" t="s">
        <v>22</v>
      </c>
      <c r="MLH876" s="31">
        <v>20890</v>
      </c>
      <c r="MLI876" s="30">
        <v>1472014</v>
      </c>
      <c r="MLJ876" s="30">
        <f ca="1">YEAR(TODAY())-YEAR(MLH876)</f>
        <v>69</v>
      </c>
      <c r="MLK876" s="245"/>
      <c r="MLL876" s="7" t="s">
        <v>23</v>
      </c>
      <c r="MLM876" s="29"/>
      <c r="MLN876" s="44">
        <v>44198</v>
      </c>
      <c r="MLO876" s="30" t="s">
        <v>22</v>
      </c>
      <c r="MLP876" s="31">
        <v>20890</v>
      </c>
      <c r="MLQ876" s="30">
        <v>1472014</v>
      </c>
      <c r="MLR876" s="30">
        <f ca="1">YEAR(TODAY())-YEAR(MLP876)</f>
        <v>69</v>
      </c>
      <c r="MLS876" s="245"/>
      <c r="MLT876" s="7" t="s">
        <v>23</v>
      </c>
      <c r="MLU876" s="29"/>
      <c r="MLV876" s="44">
        <v>44198</v>
      </c>
      <c r="MLW876" s="30" t="s">
        <v>22</v>
      </c>
      <c r="MLX876" s="31">
        <v>20890</v>
      </c>
      <c r="MLY876" s="30">
        <v>1472014</v>
      </c>
      <c r="MLZ876" s="30">
        <f ca="1">YEAR(TODAY())-YEAR(MLX876)</f>
        <v>69</v>
      </c>
      <c r="MMA876" s="245"/>
      <c r="MMB876" s="7" t="s">
        <v>23</v>
      </c>
      <c r="MMC876" s="29"/>
      <c r="MMD876" s="44">
        <v>44198</v>
      </c>
      <c r="MME876" s="30" t="s">
        <v>22</v>
      </c>
      <c r="MMF876" s="31">
        <v>20890</v>
      </c>
      <c r="MMG876" s="30">
        <v>1472014</v>
      </c>
      <c r="MMH876" s="30">
        <f ca="1">YEAR(TODAY())-YEAR(MMF876)</f>
        <v>69</v>
      </c>
      <c r="MMI876" s="245"/>
      <c r="MMJ876" s="7" t="s">
        <v>23</v>
      </c>
      <c r="MMK876" s="29"/>
      <c r="MML876" s="44">
        <v>44198</v>
      </c>
      <c r="MMM876" s="30" t="s">
        <v>22</v>
      </c>
      <c r="MMN876" s="31">
        <v>20890</v>
      </c>
      <c r="MMO876" s="30">
        <v>1472014</v>
      </c>
      <c r="MMP876" s="30">
        <f ca="1">YEAR(TODAY())-YEAR(MMN876)</f>
        <v>69</v>
      </c>
      <c r="MMQ876" s="245"/>
      <c r="MMR876" s="7" t="s">
        <v>23</v>
      </c>
      <c r="MMS876" s="29"/>
      <c r="MMT876" s="44">
        <v>44198</v>
      </c>
      <c r="MMU876" s="30" t="s">
        <v>22</v>
      </c>
      <c r="MMV876" s="31">
        <v>20890</v>
      </c>
      <c r="MMW876" s="30">
        <v>1472014</v>
      </c>
      <c r="MMX876" s="30">
        <f ca="1">YEAR(TODAY())-YEAR(MMV876)</f>
        <v>69</v>
      </c>
      <c r="MMY876" s="245"/>
      <c r="MMZ876" s="7" t="s">
        <v>23</v>
      </c>
      <c r="MNA876" s="29"/>
      <c r="MNB876" s="44">
        <v>44198</v>
      </c>
      <c r="MNC876" s="30" t="s">
        <v>22</v>
      </c>
      <c r="MND876" s="31">
        <v>20890</v>
      </c>
      <c r="MNE876" s="30">
        <v>1472014</v>
      </c>
      <c r="MNF876" s="30">
        <f ca="1">YEAR(TODAY())-YEAR(MND876)</f>
        <v>69</v>
      </c>
      <c r="MNG876" s="245"/>
      <c r="MNH876" s="7" t="s">
        <v>23</v>
      </c>
      <c r="MNI876" s="29"/>
      <c r="MNJ876" s="44">
        <v>44198</v>
      </c>
      <c r="MNK876" s="30" t="s">
        <v>22</v>
      </c>
      <c r="MNL876" s="31">
        <v>20890</v>
      </c>
      <c r="MNM876" s="30">
        <v>1472014</v>
      </c>
      <c r="MNN876" s="30">
        <f ca="1">YEAR(TODAY())-YEAR(MNL876)</f>
        <v>69</v>
      </c>
      <c r="MNO876" s="245"/>
      <c r="MNP876" s="7" t="s">
        <v>23</v>
      </c>
      <c r="MNQ876" s="29"/>
      <c r="MNR876" s="44">
        <v>44198</v>
      </c>
      <c r="MNS876" s="30" t="s">
        <v>22</v>
      </c>
      <c r="MNT876" s="31">
        <v>20890</v>
      </c>
      <c r="MNU876" s="30">
        <v>1472014</v>
      </c>
      <c r="MNV876" s="30">
        <f ca="1">YEAR(TODAY())-YEAR(MNT876)</f>
        <v>69</v>
      </c>
      <c r="MNW876" s="245"/>
      <c r="MNX876" s="7" t="s">
        <v>23</v>
      </c>
      <c r="MNY876" s="29"/>
      <c r="MNZ876" s="44">
        <v>44198</v>
      </c>
      <c r="MOA876" s="30" t="s">
        <v>22</v>
      </c>
      <c r="MOB876" s="31">
        <v>20890</v>
      </c>
      <c r="MOC876" s="30">
        <v>1472014</v>
      </c>
      <c r="MOD876" s="30">
        <f ca="1">YEAR(TODAY())-YEAR(MOB876)</f>
        <v>69</v>
      </c>
      <c r="MOE876" s="245"/>
      <c r="MOF876" s="7" t="s">
        <v>23</v>
      </c>
      <c r="MOG876" s="29"/>
      <c r="MOH876" s="44">
        <v>44198</v>
      </c>
      <c r="MOI876" s="30" t="s">
        <v>22</v>
      </c>
      <c r="MOJ876" s="31">
        <v>20890</v>
      </c>
      <c r="MOK876" s="30">
        <v>1472014</v>
      </c>
      <c r="MOL876" s="30">
        <f ca="1">YEAR(TODAY())-YEAR(MOJ876)</f>
        <v>69</v>
      </c>
      <c r="MOM876" s="245"/>
      <c r="MON876" s="7" t="s">
        <v>23</v>
      </c>
      <c r="MOO876" s="29"/>
      <c r="MOP876" s="44">
        <v>44198</v>
      </c>
      <c r="MOQ876" s="30" t="s">
        <v>22</v>
      </c>
      <c r="MOR876" s="31">
        <v>20890</v>
      </c>
      <c r="MOS876" s="30">
        <v>1472014</v>
      </c>
      <c r="MOT876" s="30">
        <f ca="1">YEAR(TODAY())-YEAR(MOR876)</f>
        <v>69</v>
      </c>
      <c r="MOU876" s="245"/>
      <c r="MOV876" s="7" t="s">
        <v>23</v>
      </c>
      <c r="MOW876" s="29"/>
      <c r="MOX876" s="44">
        <v>44198</v>
      </c>
      <c r="MOY876" s="30" t="s">
        <v>22</v>
      </c>
      <c r="MOZ876" s="31">
        <v>20890</v>
      </c>
      <c r="MPA876" s="30">
        <v>1472014</v>
      </c>
      <c r="MPB876" s="30">
        <f ca="1">YEAR(TODAY())-YEAR(MOZ876)</f>
        <v>69</v>
      </c>
      <c r="MPC876" s="245"/>
      <c r="MPD876" s="7" t="s">
        <v>23</v>
      </c>
      <c r="MPE876" s="29"/>
      <c r="MPF876" s="44">
        <v>44198</v>
      </c>
      <c r="MPG876" s="30" t="s">
        <v>22</v>
      </c>
      <c r="MPH876" s="31">
        <v>20890</v>
      </c>
      <c r="MPI876" s="30">
        <v>1472014</v>
      </c>
      <c r="MPJ876" s="30">
        <f ca="1">YEAR(TODAY())-YEAR(MPH876)</f>
        <v>69</v>
      </c>
      <c r="MPK876" s="245"/>
      <c r="MPL876" s="7" t="s">
        <v>23</v>
      </c>
      <c r="MPM876" s="29"/>
      <c r="MPN876" s="44">
        <v>44198</v>
      </c>
      <c r="MPO876" s="30" t="s">
        <v>22</v>
      </c>
      <c r="MPP876" s="31">
        <v>20890</v>
      </c>
      <c r="MPQ876" s="30">
        <v>1472014</v>
      </c>
      <c r="MPR876" s="30">
        <f ca="1">YEAR(TODAY())-YEAR(MPP876)</f>
        <v>69</v>
      </c>
      <c r="MPS876" s="245"/>
      <c r="MPT876" s="7" t="s">
        <v>23</v>
      </c>
      <c r="MPU876" s="29"/>
      <c r="MPV876" s="44">
        <v>44198</v>
      </c>
      <c r="MPW876" s="30" t="s">
        <v>22</v>
      </c>
      <c r="MPX876" s="31">
        <v>20890</v>
      </c>
      <c r="MPY876" s="30">
        <v>1472014</v>
      </c>
      <c r="MPZ876" s="30">
        <f ca="1">YEAR(TODAY())-YEAR(MPX876)</f>
        <v>69</v>
      </c>
      <c r="MQA876" s="245"/>
      <c r="MQB876" s="7" t="s">
        <v>23</v>
      </c>
      <c r="MQC876" s="29"/>
      <c r="MQD876" s="44">
        <v>44198</v>
      </c>
      <c r="MQE876" s="30" t="s">
        <v>22</v>
      </c>
      <c r="MQF876" s="31">
        <v>20890</v>
      </c>
      <c r="MQG876" s="30">
        <v>1472014</v>
      </c>
      <c r="MQH876" s="30">
        <f ca="1">YEAR(TODAY())-YEAR(MQF876)</f>
        <v>69</v>
      </c>
      <c r="MQI876" s="245"/>
      <c r="MQJ876" s="7" t="s">
        <v>23</v>
      </c>
      <c r="MQK876" s="29"/>
      <c r="MQL876" s="44">
        <v>44198</v>
      </c>
      <c r="MQM876" s="30" t="s">
        <v>22</v>
      </c>
      <c r="MQN876" s="31">
        <v>20890</v>
      </c>
      <c r="MQO876" s="30">
        <v>1472014</v>
      </c>
      <c r="MQP876" s="30">
        <f ca="1">YEAR(TODAY())-YEAR(MQN876)</f>
        <v>69</v>
      </c>
      <c r="MQQ876" s="245"/>
      <c r="MQR876" s="7" t="s">
        <v>23</v>
      </c>
      <c r="MQS876" s="29"/>
      <c r="MQT876" s="44">
        <v>44198</v>
      </c>
      <c r="MQU876" s="30" t="s">
        <v>22</v>
      </c>
      <c r="MQV876" s="31">
        <v>20890</v>
      </c>
      <c r="MQW876" s="30">
        <v>1472014</v>
      </c>
      <c r="MQX876" s="30">
        <f ca="1">YEAR(TODAY())-YEAR(MQV876)</f>
        <v>69</v>
      </c>
      <c r="MQY876" s="245"/>
      <c r="MQZ876" s="7" t="s">
        <v>23</v>
      </c>
      <c r="MRA876" s="29"/>
      <c r="MRB876" s="44">
        <v>44198</v>
      </c>
      <c r="MRC876" s="30" t="s">
        <v>22</v>
      </c>
      <c r="MRD876" s="31">
        <v>20890</v>
      </c>
      <c r="MRE876" s="30">
        <v>1472014</v>
      </c>
      <c r="MRF876" s="30">
        <f ca="1">YEAR(TODAY())-YEAR(MRD876)</f>
        <v>69</v>
      </c>
      <c r="MRG876" s="245"/>
      <c r="MRH876" s="7" t="s">
        <v>23</v>
      </c>
      <c r="MRI876" s="29"/>
      <c r="MRJ876" s="44">
        <v>44198</v>
      </c>
      <c r="MRK876" s="30" t="s">
        <v>22</v>
      </c>
      <c r="MRL876" s="31">
        <v>20890</v>
      </c>
      <c r="MRM876" s="30">
        <v>1472014</v>
      </c>
      <c r="MRN876" s="30">
        <f ca="1">YEAR(TODAY())-YEAR(MRL876)</f>
        <v>69</v>
      </c>
      <c r="MRO876" s="245"/>
      <c r="MRP876" s="7" t="s">
        <v>23</v>
      </c>
      <c r="MRQ876" s="29"/>
      <c r="MRR876" s="44">
        <v>44198</v>
      </c>
      <c r="MRS876" s="30" t="s">
        <v>22</v>
      </c>
      <c r="MRT876" s="31">
        <v>20890</v>
      </c>
      <c r="MRU876" s="30">
        <v>1472014</v>
      </c>
      <c r="MRV876" s="30">
        <f ca="1">YEAR(TODAY())-YEAR(MRT876)</f>
        <v>69</v>
      </c>
      <c r="MRW876" s="245"/>
      <c r="MRX876" s="7" t="s">
        <v>23</v>
      </c>
      <c r="MRY876" s="29"/>
      <c r="MRZ876" s="44">
        <v>44198</v>
      </c>
      <c r="MSA876" s="30" t="s">
        <v>22</v>
      </c>
      <c r="MSB876" s="31">
        <v>20890</v>
      </c>
      <c r="MSC876" s="30">
        <v>1472014</v>
      </c>
      <c r="MSD876" s="30">
        <f ca="1">YEAR(TODAY())-YEAR(MSB876)</f>
        <v>69</v>
      </c>
      <c r="MSE876" s="245"/>
      <c r="MSF876" s="7" t="s">
        <v>23</v>
      </c>
      <c r="MSG876" s="29"/>
      <c r="MSH876" s="44">
        <v>44198</v>
      </c>
      <c r="MSI876" s="30" t="s">
        <v>22</v>
      </c>
      <c r="MSJ876" s="31">
        <v>20890</v>
      </c>
      <c r="MSK876" s="30">
        <v>1472014</v>
      </c>
      <c r="MSL876" s="30">
        <f ca="1">YEAR(TODAY())-YEAR(MSJ876)</f>
        <v>69</v>
      </c>
      <c r="MSM876" s="245"/>
      <c r="MSN876" s="7" t="s">
        <v>23</v>
      </c>
      <c r="MSO876" s="29"/>
      <c r="MSP876" s="44">
        <v>44198</v>
      </c>
      <c r="MSQ876" s="30" t="s">
        <v>22</v>
      </c>
      <c r="MSR876" s="31">
        <v>20890</v>
      </c>
      <c r="MSS876" s="30">
        <v>1472014</v>
      </c>
      <c r="MST876" s="30">
        <f ca="1">YEAR(TODAY())-YEAR(MSR876)</f>
        <v>69</v>
      </c>
      <c r="MSU876" s="245"/>
      <c r="MSV876" s="7" t="s">
        <v>23</v>
      </c>
      <c r="MSW876" s="29"/>
      <c r="MSX876" s="44">
        <v>44198</v>
      </c>
      <c r="MSY876" s="30" t="s">
        <v>22</v>
      </c>
      <c r="MSZ876" s="31">
        <v>20890</v>
      </c>
      <c r="MTA876" s="30">
        <v>1472014</v>
      </c>
      <c r="MTB876" s="30">
        <f ca="1">YEAR(TODAY())-YEAR(MSZ876)</f>
        <v>69</v>
      </c>
      <c r="MTC876" s="245"/>
      <c r="MTD876" s="7" t="s">
        <v>23</v>
      </c>
      <c r="MTE876" s="29"/>
      <c r="MTF876" s="44">
        <v>44198</v>
      </c>
      <c r="MTG876" s="30" t="s">
        <v>22</v>
      </c>
      <c r="MTH876" s="31">
        <v>20890</v>
      </c>
      <c r="MTI876" s="30">
        <v>1472014</v>
      </c>
      <c r="MTJ876" s="30">
        <f ca="1">YEAR(TODAY())-YEAR(MTH876)</f>
        <v>69</v>
      </c>
      <c r="MTK876" s="245"/>
      <c r="MTL876" s="7" t="s">
        <v>23</v>
      </c>
      <c r="MTM876" s="29"/>
      <c r="MTN876" s="44">
        <v>44198</v>
      </c>
      <c r="MTO876" s="30" t="s">
        <v>22</v>
      </c>
      <c r="MTP876" s="31">
        <v>20890</v>
      </c>
      <c r="MTQ876" s="30">
        <v>1472014</v>
      </c>
      <c r="MTR876" s="30">
        <f ca="1">YEAR(TODAY())-YEAR(MTP876)</f>
        <v>69</v>
      </c>
      <c r="MTS876" s="245"/>
      <c r="MTT876" s="7" t="s">
        <v>23</v>
      </c>
      <c r="MTU876" s="29"/>
      <c r="MTV876" s="44">
        <v>44198</v>
      </c>
      <c r="MTW876" s="30" t="s">
        <v>22</v>
      </c>
      <c r="MTX876" s="31">
        <v>20890</v>
      </c>
      <c r="MTY876" s="30">
        <v>1472014</v>
      </c>
      <c r="MTZ876" s="30">
        <f ca="1">YEAR(TODAY())-YEAR(MTX876)</f>
        <v>69</v>
      </c>
      <c r="MUA876" s="245"/>
      <c r="MUB876" s="7" t="s">
        <v>23</v>
      </c>
      <c r="MUC876" s="29"/>
      <c r="MUD876" s="44">
        <v>44198</v>
      </c>
      <c r="MUE876" s="30" t="s">
        <v>22</v>
      </c>
      <c r="MUF876" s="31">
        <v>20890</v>
      </c>
      <c r="MUG876" s="30">
        <v>1472014</v>
      </c>
      <c r="MUH876" s="30">
        <f ca="1">YEAR(TODAY())-YEAR(MUF876)</f>
        <v>69</v>
      </c>
      <c r="MUI876" s="245"/>
      <c r="MUJ876" s="7" t="s">
        <v>23</v>
      </c>
      <c r="MUK876" s="29"/>
      <c r="MUL876" s="44">
        <v>44198</v>
      </c>
      <c r="MUM876" s="30" t="s">
        <v>22</v>
      </c>
      <c r="MUN876" s="31">
        <v>20890</v>
      </c>
      <c r="MUO876" s="30">
        <v>1472014</v>
      </c>
      <c r="MUP876" s="30">
        <f ca="1">YEAR(TODAY())-YEAR(MUN876)</f>
        <v>69</v>
      </c>
      <c r="MUQ876" s="245"/>
      <c r="MUR876" s="7" t="s">
        <v>23</v>
      </c>
      <c r="MUS876" s="29"/>
      <c r="MUT876" s="44">
        <v>44198</v>
      </c>
      <c r="MUU876" s="30" t="s">
        <v>22</v>
      </c>
      <c r="MUV876" s="31">
        <v>20890</v>
      </c>
      <c r="MUW876" s="30">
        <v>1472014</v>
      </c>
      <c r="MUX876" s="30">
        <f ca="1">YEAR(TODAY())-YEAR(MUV876)</f>
        <v>69</v>
      </c>
      <c r="MUY876" s="245"/>
      <c r="MUZ876" s="7" t="s">
        <v>23</v>
      </c>
      <c r="MVA876" s="29"/>
      <c r="MVB876" s="44">
        <v>44198</v>
      </c>
      <c r="MVC876" s="30" t="s">
        <v>22</v>
      </c>
      <c r="MVD876" s="31">
        <v>20890</v>
      </c>
      <c r="MVE876" s="30">
        <v>1472014</v>
      </c>
      <c r="MVF876" s="30">
        <f ca="1">YEAR(TODAY())-YEAR(MVD876)</f>
        <v>69</v>
      </c>
      <c r="MVG876" s="245"/>
      <c r="MVH876" s="7" t="s">
        <v>23</v>
      </c>
      <c r="MVI876" s="29"/>
      <c r="MVJ876" s="44">
        <v>44198</v>
      </c>
      <c r="MVK876" s="30" t="s">
        <v>22</v>
      </c>
      <c r="MVL876" s="31">
        <v>20890</v>
      </c>
      <c r="MVM876" s="30">
        <v>1472014</v>
      </c>
      <c r="MVN876" s="30">
        <f ca="1">YEAR(TODAY())-YEAR(MVL876)</f>
        <v>69</v>
      </c>
      <c r="MVO876" s="245"/>
      <c r="MVP876" s="7" t="s">
        <v>23</v>
      </c>
      <c r="MVQ876" s="29"/>
      <c r="MVR876" s="44">
        <v>44198</v>
      </c>
      <c r="MVS876" s="30" t="s">
        <v>22</v>
      </c>
      <c r="MVT876" s="31">
        <v>20890</v>
      </c>
      <c r="MVU876" s="30">
        <v>1472014</v>
      </c>
      <c r="MVV876" s="30">
        <f ca="1">YEAR(TODAY())-YEAR(MVT876)</f>
        <v>69</v>
      </c>
      <c r="MVW876" s="245"/>
      <c r="MVX876" s="7" t="s">
        <v>23</v>
      </c>
      <c r="MVY876" s="29"/>
      <c r="MVZ876" s="44">
        <v>44198</v>
      </c>
      <c r="MWA876" s="30" t="s">
        <v>22</v>
      </c>
      <c r="MWB876" s="31">
        <v>20890</v>
      </c>
      <c r="MWC876" s="30">
        <v>1472014</v>
      </c>
      <c r="MWD876" s="30">
        <f ca="1">YEAR(TODAY())-YEAR(MWB876)</f>
        <v>69</v>
      </c>
      <c r="MWE876" s="245"/>
      <c r="MWF876" s="7" t="s">
        <v>23</v>
      </c>
      <c r="MWG876" s="29"/>
      <c r="MWH876" s="44">
        <v>44198</v>
      </c>
      <c r="MWI876" s="30" t="s">
        <v>22</v>
      </c>
      <c r="MWJ876" s="31">
        <v>20890</v>
      </c>
      <c r="MWK876" s="30">
        <v>1472014</v>
      </c>
      <c r="MWL876" s="30">
        <f ca="1">YEAR(TODAY())-YEAR(MWJ876)</f>
        <v>69</v>
      </c>
      <c r="MWM876" s="245"/>
      <c r="MWN876" s="7" t="s">
        <v>23</v>
      </c>
      <c r="MWO876" s="29"/>
      <c r="MWP876" s="44">
        <v>44198</v>
      </c>
      <c r="MWQ876" s="30" t="s">
        <v>22</v>
      </c>
      <c r="MWR876" s="31">
        <v>20890</v>
      </c>
      <c r="MWS876" s="30">
        <v>1472014</v>
      </c>
      <c r="MWT876" s="30">
        <f ca="1">YEAR(TODAY())-YEAR(MWR876)</f>
        <v>69</v>
      </c>
      <c r="MWU876" s="245"/>
      <c r="MWV876" s="7" t="s">
        <v>23</v>
      </c>
      <c r="MWW876" s="29"/>
      <c r="MWX876" s="44">
        <v>44198</v>
      </c>
      <c r="MWY876" s="30" t="s">
        <v>22</v>
      </c>
      <c r="MWZ876" s="31">
        <v>20890</v>
      </c>
      <c r="MXA876" s="30">
        <v>1472014</v>
      </c>
      <c r="MXB876" s="30">
        <f ca="1">YEAR(TODAY())-YEAR(MWZ876)</f>
        <v>69</v>
      </c>
      <c r="MXC876" s="245"/>
      <c r="MXD876" s="7" t="s">
        <v>23</v>
      </c>
      <c r="MXE876" s="29"/>
      <c r="MXF876" s="44">
        <v>44198</v>
      </c>
      <c r="MXG876" s="30" t="s">
        <v>22</v>
      </c>
      <c r="MXH876" s="31">
        <v>20890</v>
      </c>
      <c r="MXI876" s="30">
        <v>1472014</v>
      </c>
      <c r="MXJ876" s="30">
        <f ca="1">YEAR(TODAY())-YEAR(MXH876)</f>
        <v>69</v>
      </c>
      <c r="MXK876" s="245"/>
      <c r="MXL876" s="7" t="s">
        <v>23</v>
      </c>
      <c r="MXM876" s="29"/>
      <c r="MXN876" s="44">
        <v>44198</v>
      </c>
      <c r="MXO876" s="30" t="s">
        <v>22</v>
      </c>
      <c r="MXP876" s="31">
        <v>20890</v>
      </c>
      <c r="MXQ876" s="30">
        <v>1472014</v>
      </c>
      <c r="MXR876" s="30">
        <f ca="1">YEAR(TODAY())-YEAR(MXP876)</f>
        <v>69</v>
      </c>
      <c r="MXS876" s="245"/>
      <c r="MXT876" s="7" t="s">
        <v>23</v>
      </c>
      <c r="MXU876" s="29"/>
      <c r="MXV876" s="44">
        <v>44198</v>
      </c>
      <c r="MXW876" s="30" t="s">
        <v>22</v>
      </c>
      <c r="MXX876" s="31">
        <v>20890</v>
      </c>
      <c r="MXY876" s="30">
        <v>1472014</v>
      </c>
      <c r="MXZ876" s="30">
        <f ca="1">YEAR(TODAY())-YEAR(MXX876)</f>
        <v>69</v>
      </c>
      <c r="MYA876" s="245"/>
      <c r="MYB876" s="7" t="s">
        <v>23</v>
      </c>
      <c r="MYC876" s="29"/>
      <c r="MYD876" s="44">
        <v>44198</v>
      </c>
      <c r="MYE876" s="30" t="s">
        <v>22</v>
      </c>
      <c r="MYF876" s="31">
        <v>20890</v>
      </c>
      <c r="MYG876" s="30">
        <v>1472014</v>
      </c>
      <c r="MYH876" s="30">
        <f ca="1">YEAR(TODAY())-YEAR(MYF876)</f>
        <v>69</v>
      </c>
      <c r="MYI876" s="245"/>
      <c r="MYJ876" s="7" t="s">
        <v>23</v>
      </c>
      <c r="MYK876" s="29"/>
      <c r="MYL876" s="44">
        <v>44198</v>
      </c>
      <c r="MYM876" s="30" t="s">
        <v>22</v>
      </c>
      <c r="MYN876" s="31">
        <v>20890</v>
      </c>
      <c r="MYO876" s="30">
        <v>1472014</v>
      </c>
      <c r="MYP876" s="30">
        <f ca="1">YEAR(TODAY())-YEAR(MYN876)</f>
        <v>69</v>
      </c>
      <c r="MYQ876" s="245"/>
      <c r="MYR876" s="7" t="s">
        <v>23</v>
      </c>
      <c r="MYS876" s="29"/>
      <c r="MYT876" s="44">
        <v>44198</v>
      </c>
      <c r="MYU876" s="30" t="s">
        <v>22</v>
      </c>
      <c r="MYV876" s="31">
        <v>20890</v>
      </c>
      <c r="MYW876" s="30">
        <v>1472014</v>
      </c>
      <c r="MYX876" s="30">
        <f ca="1">YEAR(TODAY())-YEAR(MYV876)</f>
        <v>69</v>
      </c>
      <c r="MYY876" s="245"/>
      <c r="MYZ876" s="7" t="s">
        <v>23</v>
      </c>
      <c r="MZA876" s="29"/>
      <c r="MZB876" s="44">
        <v>44198</v>
      </c>
      <c r="MZC876" s="30" t="s">
        <v>22</v>
      </c>
      <c r="MZD876" s="31">
        <v>20890</v>
      </c>
      <c r="MZE876" s="30">
        <v>1472014</v>
      </c>
      <c r="MZF876" s="30">
        <f ca="1">YEAR(TODAY())-YEAR(MZD876)</f>
        <v>69</v>
      </c>
      <c r="MZG876" s="245"/>
      <c r="MZH876" s="7" t="s">
        <v>23</v>
      </c>
      <c r="MZI876" s="29"/>
      <c r="MZJ876" s="44">
        <v>44198</v>
      </c>
      <c r="MZK876" s="30" t="s">
        <v>22</v>
      </c>
      <c r="MZL876" s="31">
        <v>20890</v>
      </c>
      <c r="MZM876" s="30">
        <v>1472014</v>
      </c>
      <c r="MZN876" s="30">
        <f ca="1">YEAR(TODAY())-YEAR(MZL876)</f>
        <v>69</v>
      </c>
      <c r="MZO876" s="245"/>
      <c r="MZP876" s="7" t="s">
        <v>23</v>
      </c>
      <c r="MZQ876" s="29"/>
      <c r="MZR876" s="44">
        <v>44198</v>
      </c>
      <c r="MZS876" s="30" t="s">
        <v>22</v>
      </c>
      <c r="MZT876" s="31">
        <v>20890</v>
      </c>
      <c r="MZU876" s="30">
        <v>1472014</v>
      </c>
      <c r="MZV876" s="30">
        <f ca="1">YEAR(TODAY())-YEAR(MZT876)</f>
        <v>69</v>
      </c>
      <c r="MZW876" s="245"/>
      <c r="MZX876" s="7" t="s">
        <v>23</v>
      </c>
      <c r="MZY876" s="29"/>
      <c r="MZZ876" s="44">
        <v>44198</v>
      </c>
      <c r="NAA876" s="30" t="s">
        <v>22</v>
      </c>
      <c r="NAB876" s="31">
        <v>20890</v>
      </c>
      <c r="NAC876" s="30">
        <v>1472014</v>
      </c>
      <c r="NAD876" s="30">
        <f ca="1">YEAR(TODAY())-YEAR(NAB876)</f>
        <v>69</v>
      </c>
      <c r="NAE876" s="245"/>
      <c r="NAF876" s="7" t="s">
        <v>23</v>
      </c>
      <c r="NAG876" s="29"/>
      <c r="NAH876" s="44">
        <v>44198</v>
      </c>
      <c r="NAI876" s="30" t="s">
        <v>22</v>
      </c>
      <c r="NAJ876" s="31">
        <v>20890</v>
      </c>
      <c r="NAK876" s="30">
        <v>1472014</v>
      </c>
      <c r="NAL876" s="30">
        <f ca="1">YEAR(TODAY())-YEAR(NAJ876)</f>
        <v>69</v>
      </c>
      <c r="NAM876" s="245"/>
      <c r="NAN876" s="7" t="s">
        <v>23</v>
      </c>
      <c r="NAO876" s="29"/>
      <c r="NAP876" s="44">
        <v>44198</v>
      </c>
      <c r="NAQ876" s="30" t="s">
        <v>22</v>
      </c>
      <c r="NAR876" s="31">
        <v>20890</v>
      </c>
      <c r="NAS876" s="30">
        <v>1472014</v>
      </c>
      <c r="NAT876" s="30">
        <f ca="1">YEAR(TODAY())-YEAR(NAR876)</f>
        <v>69</v>
      </c>
      <c r="NAU876" s="245"/>
      <c r="NAV876" s="7" t="s">
        <v>23</v>
      </c>
      <c r="NAW876" s="29"/>
      <c r="NAX876" s="44">
        <v>44198</v>
      </c>
      <c r="NAY876" s="30" t="s">
        <v>22</v>
      </c>
      <c r="NAZ876" s="31">
        <v>20890</v>
      </c>
      <c r="NBA876" s="30">
        <v>1472014</v>
      </c>
      <c r="NBB876" s="30">
        <f ca="1">YEAR(TODAY())-YEAR(NAZ876)</f>
        <v>69</v>
      </c>
      <c r="NBC876" s="245"/>
      <c r="NBD876" s="7" t="s">
        <v>23</v>
      </c>
      <c r="NBE876" s="29"/>
      <c r="NBF876" s="44">
        <v>44198</v>
      </c>
      <c r="NBG876" s="30" t="s">
        <v>22</v>
      </c>
      <c r="NBH876" s="31">
        <v>20890</v>
      </c>
      <c r="NBI876" s="30">
        <v>1472014</v>
      </c>
      <c r="NBJ876" s="30">
        <f ca="1">YEAR(TODAY())-YEAR(NBH876)</f>
        <v>69</v>
      </c>
      <c r="NBK876" s="245"/>
      <c r="NBL876" s="7" t="s">
        <v>23</v>
      </c>
      <c r="NBM876" s="29"/>
      <c r="NBN876" s="44">
        <v>44198</v>
      </c>
      <c r="NBO876" s="30" t="s">
        <v>22</v>
      </c>
      <c r="NBP876" s="31">
        <v>20890</v>
      </c>
      <c r="NBQ876" s="30">
        <v>1472014</v>
      </c>
      <c r="NBR876" s="30">
        <f ca="1">YEAR(TODAY())-YEAR(NBP876)</f>
        <v>69</v>
      </c>
      <c r="NBS876" s="245"/>
      <c r="NBT876" s="7" t="s">
        <v>23</v>
      </c>
      <c r="NBU876" s="29"/>
      <c r="NBV876" s="44">
        <v>44198</v>
      </c>
      <c r="NBW876" s="30" t="s">
        <v>22</v>
      </c>
      <c r="NBX876" s="31">
        <v>20890</v>
      </c>
      <c r="NBY876" s="30">
        <v>1472014</v>
      </c>
      <c r="NBZ876" s="30">
        <f ca="1">YEAR(TODAY())-YEAR(NBX876)</f>
        <v>69</v>
      </c>
      <c r="NCA876" s="245"/>
      <c r="NCB876" s="7" t="s">
        <v>23</v>
      </c>
      <c r="NCC876" s="29"/>
      <c r="NCD876" s="44">
        <v>44198</v>
      </c>
      <c r="NCE876" s="30" t="s">
        <v>22</v>
      </c>
      <c r="NCF876" s="31">
        <v>20890</v>
      </c>
      <c r="NCG876" s="30">
        <v>1472014</v>
      </c>
      <c r="NCH876" s="30">
        <f ca="1">YEAR(TODAY())-YEAR(NCF876)</f>
        <v>69</v>
      </c>
      <c r="NCI876" s="245"/>
      <c r="NCJ876" s="7" t="s">
        <v>23</v>
      </c>
      <c r="NCK876" s="29"/>
      <c r="NCL876" s="44">
        <v>44198</v>
      </c>
      <c r="NCM876" s="30" t="s">
        <v>22</v>
      </c>
      <c r="NCN876" s="31">
        <v>20890</v>
      </c>
      <c r="NCO876" s="30">
        <v>1472014</v>
      </c>
      <c r="NCP876" s="30">
        <f ca="1">YEAR(TODAY())-YEAR(NCN876)</f>
        <v>69</v>
      </c>
      <c r="NCQ876" s="245"/>
      <c r="NCR876" s="7" t="s">
        <v>23</v>
      </c>
      <c r="NCS876" s="29"/>
      <c r="NCT876" s="44">
        <v>44198</v>
      </c>
      <c r="NCU876" s="30" t="s">
        <v>22</v>
      </c>
      <c r="NCV876" s="31">
        <v>20890</v>
      </c>
      <c r="NCW876" s="30">
        <v>1472014</v>
      </c>
      <c r="NCX876" s="30">
        <f ca="1">YEAR(TODAY())-YEAR(NCV876)</f>
        <v>69</v>
      </c>
      <c r="NCY876" s="245"/>
      <c r="NCZ876" s="7" t="s">
        <v>23</v>
      </c>
      <c r="NDA876" s="29"/>
      <c r="NDB876" s="44">
        <v>44198</v>
      </c>
      <c r="NDC876" s="30" t="s">
        <v>22</v>
      </c>
      <c r="NDD876" s="31">
        <v>20890</v>
      </c>
      <c r="NDE876" s="30">
        <v>1472014</v>
      </c>
      <c r="NDF876" s="30">
        <f ca="1">YEAR(TODAY())-YEAR(NDD876)</f>
        <v>69</v>
      </c>
      <c r="NDG876" s="245"/>
      <c r="NDH876" s="7" t="s">
        <v>23</v>
      </c>
      <c r="NDI876" s="29"/>
      <c r="NDJ876" s="44">
        <v>44198</v>
      </c>
      <c r="NDK876" s="30" t="s">
        <v>22</v>
      </c>
      <c r="NDL876" s="31">
        <v>20890</v>
      </c>
      <c r="NDM876" s="30">
        <v>1472014</v>
      </c>
      <c r="NDN876" s="30">
        <f ca="1">YEAR(TODAY())-YEAR(NDL876)</f>
        <v>69</v>
      </c>
      <c r="NDO876" s="245"/>
      <c r="NDP876" s="7" t="s">
        <v>23</v>
      </c>
      <c r="NDQ876" s="29"/>
      <c r="NDR876" s="44">
        <v>44198</v>
      </c>
      <c r="NDS876" s="30" t="s">
        <v>22</v>
      </c>
      <c r="NDT876" s="31">
        <v>20890</v>
      </c>
      <c r="NDU876" s="30">
        <v>1472014</v>
      </c>
      <c r="NDV876" s="30">
        <f ca="1">YEAR(TODAY())-YEAR(NDT876)</f>
        <v>69</v>
      </c>
      <c r="NDW876" s="245"/>
      <c r="NDX876" s="7" t="s">
        <v>23</v>
      </c>
      <c r="NDY876" s="29"/>
      <c r="NDZ876" s="44">
        <v>44198</v>
      </c>
      <c r="NEA876" s="30" t="s">
        <v>22</v>
      </c>
      <c r="NEB876" s="31">
        <v>20890</v>
      </c>
      <c r="NEC876" s="30">
        <v>1472014</v>
      </c>
      <c r="NED876" s="30">
        <f ca="1">YEAR(TODAY())-YEAR(NEB876)</f>
        <v>69</v>
      </c>
      <c r="NEE876" s="245"/>
      <c r="NEF876" s="7" t="s">
        <v>23</v>
      </c>
      <c r="NEG876" s="29"/>
      <c r="NEH876" s="44">
        <v>44198</v>
      </c>
      <c r="NEI876" s="30" t="s">
        <v>22</v>
      </c>
      <c r="NEJ876" s="31">
        <v>20890</v>
      </c>
      <c r="NEK876" s="30">
        <v>1472014</v>
      </c>
      <c r="NEL876" s="30">
        <f ca="1">YEAR(TODAY())-YEAR(NEJ876)</f>
        <v>69</v>
      </c>
      <c r="NEM876" s="245"/>
      <c r="NEN876" s="7" t="s">
        <v>23</v>
      </c>
      <c r="NEO876" s="29"/>
      <c r="NEP876" s="44">
        <v>44198</v>
      </c>
      <c r="NEQ876" s="30" t="s">
        <v>22</v>
      </c>
      <c r="NER876" s="31">
        <v>20890</v>
      </c>
      <c r="NES876" s="30">
        <v>1472014</v>
      </c>
      <c r="NET876" s="30">
        <f ca="1">YEAR(TODAY())-YEAR(NER876)</f>
        <v>69</v>
      </c>
      <c r="NEU876" s="245"/>
      <c r="NEV876" s="7" t="s">
        <v>23</v>
      </c>
      <c r="NEW876" s="29"/>
      <c r="NEX876" s="44">
        <v>44198</v>
      </c>
      <c r="NEY876" s="30" t="s">
        <v>22</v>
      </c>
      <c r="NEZ876" s="31">
        <v>20890</v>
      </c>
      <c r="NFA876" s="30">
        <v>1472014</v>
      </c>
      <c r="NFB876" s="30">
        <f ca="1">YEAR(TODAY())-YEAR(NEZ876)</f>
        <v>69</v>
      </c>
      <c r="NFC876" s="245"/>
      <c r="NFD876" s="7" t="s">
        <v>23</v>
      </c>
      <c r="NFE876" s="29"/>
      <c r="NFF876" s="44">
        <v>44198</v>
      </c>
      <c r="NFG876" s="30" t="s">
        <v>22</v>
      </c>
      <c r="NFH876" s="31">
        <v>20890</v>
      </c>
      <c r="NFI876" s="30">
        <v>1472014</v>
      </c>
      <c r="NFJ876" s="30">
        <f ca="1">YEAR(TODAY())-YEAR(NFH876)</f>
        <v>69</v>
      </c>
      <c r="NFK876" s="245"/>
      <c r="NFL876" s="7" t="s">
        <v>23</v>
      </c>
      <c r="NFM876" s="29"/>
      <c r="NFN876" s="44">
        <v>44198</v>
      </c>
      <c r="NFO876" s="30" t="s">
        <v>22</v>
      </c>
      <c r="NFP876" s="31">
        <v>20890</v>
      </c>
      <c r="NFQ876" s="30">
        <v>1472014</v>
      </c>
      <c r="NFR876" s="30">
        <f ca="1">YEAR(TODAY())-YEAR(NFP876)</f>
        <v>69</v>
      </c>
      <c r="NFS876" s="245"/>
      <c r="NFT876" s="7" t="s">
        <v>23</v>
      </c>
      <c r="NFU876" s="29"/>
      <c r="NFV876" s="44">
        <v>44198</v>
      </c>
      <c r="NFW876" s="30" t="s">
        <v>22</v>
      </c>
      <c r="NFX876" s="31">
        <v>20890</v>
      </c>
      <c r="NFY876" s="30">
        <v>1472014</v>
      </c>
      <c r="NFZ876" s="30">
        <f ca="1">YEAR(TODAY())-YEAR(NFX876)</f>
        <v>69</v>
      </c>
      <c r="NGA876" s="245"/>
      <c r="NGB876" s="7" t="s">
        <v>23</v>
      </c>
      <c r="NGC876" s="29"/>
      <c r="NGD876" s="44">
        <v>44198</v>
      </c>
      <c r="NGE876" s="30" t="s">
        <v>22</v>
      </c>
      <c r="NGF876" s="31">
        <v>20890</v>
      </c>
      <c r="NGG876" s="30">
        <v>1472014</v>
      </c>
      <c r="NGH876" s="30">
        <f ca="1">YEAR(TODAY())-YEAR(NGF876)</f>
        <v>69</v>
      </c>
      <c r="NGI876" s="245"/>
      <c r="NGJ876" s="7" t="s">
        <v>23</v>
      </c>
      <c r="NGK876" s="29"/>
      <c r="NGL876" s="44">
        <v>44198</v>
      </c>
      <c r="NGM876" s="30" t="s">
        <v>22</v>
      </c>
      <c r="NGN876" s="31">
        <v>20890</v>
      </c>
      <c r="NGO876" s="30">
        <v>1472014</v>
      </c>
      <c r="NGP876" s="30">
        <f ca="1">YEAR(TODAY())-YEAR(NGN876)</f>
        <v>69</v>
      </c>
      <c r="NGQ876" s="245"/>
      <c r="NGR876" s="7" t="s">
        <v>23</v>
      </c>
      <c r="NGS876" s="29"/>
      <c r="NGT876" s="44">
        <v>44198</v>
      </c>
      <c r="NGU876" s="30" t="s">
        <v>22</v>
      </c>
      <c r="NGV876" s="31">
        <v>20890</v>
      </c>
      <c r="NGW876" s="30">
        <v>1472014</v>
      </c>
      <c r="NGX876" s="30">
        <f ca="1">YEAR(TODAY())-YEAR(NGV876)</f>
        <v>69</v>
      </c>
      <c r="NGY876" s="245"/>
      <c r="NGZ876" s="7" t="s">
        <v>23</v>
      </c>
      <c r="NHA876" s="29"/>
      <c r="NHB876" s="44">
        <v>44198</v>
      </c>
      <c r="NHC876" s="30" t="s">
        <v>22</v>
      </c>
      <c r="NHD876" s="31">
        <v>20890</v>
      </c>
      <c r="NHE876" s="30">
        <v>1472014</v>
      </c>
      <c r="NHF876" s="30">
        <f ca="1">YEAR(TODAY())-YEAR(NHD876)</f>
        <v>69</v>
      </c>
      <c r="NHG876" s="245"/>
      <c r="NHH876" s="7" t="s">
        <v>23</v>
      </c>
      <c r="NHI876" s="29"/>
      <c r="NHJ876" s="44">
        <v>44198</v>
      </c>
      <c r="NHK876" s="30" t="s">
        <v>22</v>
      </c>
      <c r="NHL876" s="31">
        <v>20890</v>
      </c>
      <c r="NHM876" s="30">
        <v>1472014</v>
      </c>
      <c r="NHN876" s="30">
        <f ca="1">YEAR(TODAY())-YEAR(NHL876)</f>
        <v>69</v>
      </c>
      <c r="NHO876" s="245"/>
      <c r="NHP876" s="7" t="s">
        <v>23</v>
      </c>
      <c r="NHQ876" s="29"/>
      <c r="NHR876" s="44">
        <v>44198</v>
      </c>
      <c r="NHS876" s="30" t="s">
        <v>22</v>
      </c>
      <c r="NHT876" s="31">
        <v>20890</v>
      </c>
      <c r="NHU876" s="30">
        <v>1472014</v>
      </c>
      <c r="NHV876" s="30">
        <f ca="1">YEAR(TODAY())-YEAR(NHT876)</f>
        <v>69</v>
      </c>
      <c r="NHW876" s="245"/>
      <c r="NHX876" s="7" t="s">
        <v>23</v>
      </c>
      <c r="NHY876" s="29"/>
      <c r="NHZ876" s="44">
        <v>44198</v>
      </c>
      <c r="NIA876" s="30" t="s">
        <v>22</v>
      </c>
      <c r="NIB876" s="31">
        <v>20890</v>
      </c>
      <c r="NIC876" s="30">
        <v>1472014</v>
      </c>
      <c r="NID876" s="30">
        <f ca="1">YEAR(TODAY())-YEAR(NIB876)</f>
        <v>69</v>
      </c>
      <c r="NIE876" s="245"/>
      <c r="NIF876" s="7" t="s">
        <v>23</v>
      </c>
      <c r="NIG876" s="29"/>
      <c r="NIH876" s="44">
        <v>44198</v>
      </c>
      <c r="NII876" s="30" t="s">
        <v>22</v>
      </c>
      <c r="NIJ876" s="31">
        <v>20890</v>
      </c>
      <c r="NIK876" s="30">
        <v>1472014</v>
      </c>
      <c r="NIL876" s="30">
        <f ca="1">YEAR(TODAY())-YEAR(NIJ876)</f>
        <v>69</v>
      </c>
      <c r="NIM876" s="245"/>
      <c r="NIN876" s="7" t="s">
        <v>23</v>
      </c>
      <c r="NIO876" s="29"/>
      <c r="NIP876" s="44">
        <v>44198</v>
      </c>
      <c r="NIQ876" s="30" t="s">
        <v>22</v>
      </c>
      <c r="NIR876" s="31">
        <v>20890</v>
      </c>
      <c r="NIS876" s="30">
        <v>1472014</v>
      </c>
      <c r="NIT876" s="30">
        <f ca="1">YEAR(TODAY())-YEAR(NIR876)</f>
        <v>69</v>
      </c>
      <c r="NIU876" s="245"/>
      <c r="NIV876" s="7" t="s">
        <v>23</v>
      </c>
      <c r="NIW876" s="29"/>
      <c r="NIX876" s="44">
        <v>44198</v>
      </c>
      <c r="NIY876" s="30" t="s">
        <v>22</v>
      </c>
      <c r="NIZ876" s="31">
        <v>20890</v>
      </c>
      <c r="NJA876" s="30">
        <v>1472014</v>
      </c>
      <c r="NJB876" s="30">
        <f ca="1">YEAR(TODAY())-YEAR(NIZ876)</f>
        <v>69</v>
      </c>
      <c r="NJC876" s="245"/>
      <c r="NJD876" s="7" t="s">
        <v>23</v>
      </c>
      <c r="NJE876" s="29"/>
      <c r="NJF876" s="44">
        <v>44198</v>
      </c>
      <c r="NJG876" s="30" t="s">
        <v>22</v>
      </c>
      <c r="NJH876" s="31">
        <v>20890</v>
      </c>
      <c r="NJI876" s="30">
        <v>1472014</v>
      </c>
      <c r="NJJ876" s="30">
        <f ca="1">YEAR(TODAY())-YEAR(NJH876)</f>
        <v>69</v>
      </c>
      <c r="NJK876" s="245"/>
      <c r="NJL876" s="7" t="s">
        <v>23</v>
      </c>
      <c r="NJM876" s="29"/>
      <c r="NJN876" s="44">
        <v>44198</v>
      </c>
      <c r="NJO876" s="30" t="s">
        <v>22</v>
      </c>
      <c r="NJP876" s="31">
        <v>20890</v>
      </c>
      <c r="NJQ876" s="30">
        <v>1472014</v>
      </c>
      <c r="NJR876" s="30">
        <f ca="1">YEAR(TODAY())-YEAR(NJP876)</f>
        <v>69</v>
      </c>
      <c r="NJS876" s="245"/>
      <c r="NJT876" s="7" t="s">
        <v>23</v>
      </c>
      <c r="NJU876" s="29"/>
      <c r="NJV876" s="44">
        <v>44198</v>
      </c>
      <c r="NJW876" s="30" t="s">
        <v>22</v>
      </c>
      <c r="NJX876" s="31">
        <v>20890</v>
      </c>
      <c r="NJY876" s="30">
        <v>1472014</v>
      </c>
      <c r="NJZ876" s="30">
        <f ca="1">YEAR(TODAY())-YEAR(NJX876)</f>
        <v>69</v>
      </c>
      <c r="NKA876" s="245"/>
      <c r="NKB876" s="7" t="s">
        <v>23</v>
      </c>
      <c r="NKC876" s="29"/>
      <c r="NKD876" s="44">
        <v>44198</v>
      </c>
      <c r="NKE876" s="30" t="s">
        <v>22</v>
      </c>
      <c r="NKF876" s="31">
        <v>20890</v>
      </c>
      <c r="NKG876" s="30">
        <v>1472014</v>
      </c>
      <c r="NKH876" s="30">
        <f ca="1">YEAR(TODAY())-YEAR(NKF876)</f>
        <v>69</v>
      </c>
      <c r="NKI876" s="245"/>
      <c r="NKJ876" s="7" t="s">
        <v>23</v>
      </c>
      <c r="NKK876" s="29"/>
      <c r="NKL876" s="44">
        <v>44198</v>
      </c>
      <c r="NKM876" s="30" t="s">
        <v>22</v>
      </c>
      <c r="NKN876" s="31">
        <v>20890</v>
      </c>
      <c r="NKO876" s="30">
        <v>1472014</v>
      </c>
      <c r="NKP876" s="30">
        <f ca="1">YEAR(TODAY())-YEAR(NKN876)</f>
        <v>69</v>
      </c>
      <c r="NKQ876" s="245"/>
      <c r="NKR876" s="7" t="s">
        <v>23</v>
      </c>
      <c r="NKS876" s="29"/>
      <c r="NKT876" s="44">
        <v>44198</v>
      </c>
      <c r="NKU876" s="30" t="s">
        <v>22</v>
      </c>
      <c r="NKV876" s="31">
        <v>20890</v>
      </c>
      <c r="NKW876" s="30">
        <v>1472014</v>
      </c>
      <c r="NKX876" s="30">
        <f ca="1">YEAR(TODAY())-YEAR(NKV876)</f>
        <v>69</v>
      </c>
      <c r="NKY876" s="245"/>
      <c r="NKZ876" s="7" t="s">
        <v>23</v>
      </c>
      <c r="NLA876" s="29"/>
      <c r="NLB876" s="44">
        <v>44198</v>
      </c>
      <c r="NLC876" s="30" t="s">
        <v>22</v>
      </c>
      <c r="NLD876" s="31">
        <v>20890</v>
      </c>
      <c r="NLE876" s="30">
        <v>1472014</v>
      </c>
      <c r="NLF876" s="30">
        <f ca="1">YEAR(TODAY())-YEAR(NLD876)</f>
        <v>69</v>
      </c>
      <c r="NLG876" s="245"/>
      <c r="NLH876" s="7" t="s">
        <v>23</v>
      </c>
      <c r="NLI876" s="29"/>
      <c r="NLJ876" s="44">
        <v>44198</v>
      </c>
      <c r="NLK876" s="30" t="s">
        <v>22</v>
      </c>
      <c r="NLL876" s="31">
        <v>20890</v>
      </c>
      <c r="NLM876" s="30">
        <v>1472014</v>
      </c>
      <c r="NLN876" s="30">
        <f ca="1">YEAR(TODAY())-YEAR(NLL876)</f>
        <v>69</v>
      </c>
      <c r="NLO876" s="245"/>
      <c r="NLP876" s="7" t="s">
        <v>23</v>
      </c>
      <c r="NLQ876" s="29"/>
      <c r="NLR876" s="44">
        <v>44198</v>
      </c>
      <c r="NLS876" s="30" t="s">
        <v>22</v>
      </c>
      <c r="NLT876" s="31">
        <v>20890</v>
      </c>
      <c r="NLU876" s="30">
        <v>1472014</v>
      </c>
      <c r="NLV876" s="30">
        <f ca="1">YEAR(TODAY())-YEAR(NLT876)</f>
        <v>69</v>
      </c>
      <c r="NLW876" s="245"/>
      <c r="NLX876" s="7" t="s">
        <v>23</v>
      </c>
      <c r="NLY876" s="29"/>
      <c r="NLZ876" s="44">
        <v>44198</v>
      </c>
      <c r="NMA876" s="30" t="s">
        <v>22</v>
      </c>
      <c r="NMB876" s="31">
        <v>20890</v>
      </c>
      <c r="NMC876" s="30">
        <v>1472014</v>
      </c>
      <c r="NMD876" s="30">
        <f ca="1">YEAR(TODAY())-YEAR(NMB876)</f>
        <v>69</v>
      </c>
      <c r="NME876" s="245"/>
      <c r="NMF876" s="7" t="s">
        <v>23</v>
      </c>
      <c r="NMG876" s="29"/>
      <c r="NMH876" s="44">
        <v>44198</v>
      </c>
      <c r="NMI876" s="30" t="s">
        <v>22</v>
      </c>
      <c r="NMJ876" s="31">
        <v>20890</v>
      </c>
      <c r="NMK876" s="30">
        <v>1472014</v>
      </c>
      <c r="NML876" s="30">
        <f ca="1">YEAR(TODAY())-YEAR(NMJ876)</f>
        <v>69</v>
      </c>
      <c r="NMM876" s="245"/>
      <c r="NMN876" s="7" t="s">
        <v>23</v>
      </c>
      <c r="NMO876" s="29"/>
      <c r="NMP876" s="44">
        <v>44198</v>
      </c>
      <c r="NMQ876" s="30" t="s">
        <v>22</v>
      </c>
      <c r="NMR876" s="31">
        <v>20890</v>
      </c>
      <c r="NMS876" s="30">
        <v>1472014</v>
      </c>
      <c r="NMT876" s="30">
        <f ca="1">YEAR(TODAY())-YEAR(NMR876)</f>
        <v>69</v>
      </c>
      <c r="NMU876" s="245"/>
      <c r="NMV876" s="7" t="s">
        <v>23</v>
      </c>
      <c r="NMW876" s="29"/>
      <c r="NMX876" s="44">
        <v>44198</v>
      </c>
      <c r="NMY876" s="30" t="s">
        <v>22</v>
      </c>
      <c r="NMZ876" s="31">
        <v>20890</v>
      </c>
      <c r="NNA876" s="30">
        <v>1472014</v>
      </c>
      <c r="NNB876" s="30">
        <f ca="1">YEAR(TODAY())-YEAR(NMZ876)</f>
        <v>69</v>
      </c>
      <c r="NNC876" s="245"/>
      <c r="NND876" s="7" t="s">
        <v>23</v>
      </c>
      <c r="NNE876" s="29"/>
      <c r="NNF876" s="44">
        <v>44198</v>
      </c>
      <c r="NNG876" s="30" t="s">
        <v>22</v>
      </c>
      <c r="NNH876" s="31">
        <v>20890</v>
      </c>
      <c r="NNI876" s="30">
        <v>1472014</v>
      </c>
      <c r="NNJ876" s="30">
        <f ca="1">YEAR(TODAY())-YEAR(NNH876)</f>
        <v>69</v>
      </c>
      <c r="NNK876" s="245"/>
      <c r="NNL876" s="7" t="s">
        <v>23</v>
      </c>
      <c r="NNM876" s="29"/>
      <c r="NNN876" s="44">
        <v>44198</v>
      </c>
      <c r="NNO876" s="30" t="s">
        <v>22</v>
      </c>
      <c r="NNP876" s="31">
        <v>20890</v>
      </c>
      <c r="NNQ876" s="30">
        <v>1472014</v>
      </c>
      <c r="NNR876" s="30">
        <f ca="1">YEAR(TODAY())-YEAR(NNP876)</f>
        <v>69</v>
      </c>
      <c r="NNS876" s="245"/>
      <c r="NNT876" s="7" t="s">
        <v>23</v>
      </c>
      <c r="NNU876" s="29"/>
      <c r="NNV876" s="44">
        <v>44198</v>
      </c>
      <c r="NNW876" s="30" t="s">
        <v>22</v>
      </c>
      <c r="NNX876" s="31">
        <v>20890</v>
      </c>
      <c r="NNY876" s="30">
        <v>1472014</v>
      </c>
      <c r="NNZ876" s="30">
        <f ca="1">YEAR(TODAY())-YEAR(NNX876)</f>
        <v>69</v>
      </c>
      <c r="NOA876" s="245"/>
      <c r="NOB876" s="7" t="s">
        <v>23</v>
      </c>
      <c r="NOC876" s="29"/>
      <c r="NOD876" s="44">
        <v>44198</v>
      </c>
      <c r="NOE876" s="30" t="s">
        <v>22</v>
      </c>
      <c r="NOF876" s="31">
        <v>20890</v>
      </c>
      <c r="NOG876" s="30">
        <v>1472014</v>
      </c>
      <c r="NOH876" s="30">
        <f ca="1">YEAR(TODAY())-YEAR(NOF876)</f>
        <v>69</v>
      </c>
      <c r="NOI876" s="245"/>
      <c r="NOJ876" s="7" t="s">
        <v>23</v>
      </c>
      <c r="NOK876" s="29"/>
      <c r="NOL876" s="44">
        <v>44198</v>
      </c>
      <c r="NOM876" s="30" t="s">
        <v>22</v>
      </c>
      <c r="NON876" s="31">
        <v>20890</v>
      </c>
      <c r="NOO876" s="30">
        <v>1472014</v>
      </c>
      <c r="NOP876" s="30">
        <f ca="1">YEAR(TODAY())-YEAR(NON876)</f>
        <v>69</v>
      </c>
      <c r="NOQ876" s="245"/>
      <c r="NOR876" s="7" t="s">
        <v>23</v>
      </c>
      <c r="NOS876" s="29"/>
      <c r="NOT876" s="44">
        <v>44198</v>
      </c>
      <c r="NOU876" s="30" t="s">
        <v>22</v>
      </c>
      <c r="NOV876" s="31">
        <v>20890</v>
      </c>
      <c r="NOW876" s="30">
        <v>1472014</v>
      </c>
      <c r="NOX876" s="30">
        <f ca="1">YEAR(TODAY())-YEAR(NOV876)</f>
        <v>69</v>
      </c>
      <c r="NOY876" s="245"/>
      <c r="NOZ876" s="7" t="s">
        <v>23</v>
      </c>
      <c r="NPA876" s="29"/>
      <c r="NPB876" s="44">
        <v>44198</v>
      </c>
      <c r="NPC876" s="30" t="s">
        <v>22</v>
      </c>
      <c r="NPD876" s="31">
        <v>20890</v>
      </c>
      <c r="NPE876" s="30">
        <v>1472014</v>
      </c>
      <c r="NPF876" s="30">
        <f ca="1">YEAR(TODAY())-YEAR(NPD876)</f>
        <v>69</v>
      </c>
      <c r="NPG876" s="245"/>
      <c r="NPH876" s="7" t="s">
        <v>23</v>
      </c>
      <c r="NPI876" s="29"/>
      <c r="NPJ876" s="44">
        <v>44198</v>
      </c>
      <c r="NPK876" s="30" t="s">
        <v>22</v>
      </c>
      <c r="NPL876" s="31">
        <v>20890</v>
      </c>
      <c r="NPM876" s="30">
        <v>1472014</v>
      </c>
      <c r="NPN876" s="30">
        <f ca="1">YEAR(TODAY())-YEAR(NPL876)</f>
        <v>69</v>
      </c>
      <c r="NPO876" s="245"/>
      <c r="NPP876" s="7" t="s">
        <v>23</v>
      </c>
      <c r="NPQ876" s="29"/>
      <c r="NPR876" s="44">
        <v>44198</v>
      </c>
      <c r="NPS876" s="30" t="s">
        <v>22</v>
      </c>
      <c r="NPT876" s="31">
        <v>20890</v>
      </c>
      <c r="NPU876" s="30">
        <v>1472014</v>
      </c>
      <c r="NPV876" s="30">
        <f ca="1">YEAR(TODAY())-YEAR(NPT876)</f>
        <v>69</v>
      </c>
      <c r="NPW876" s="245"/>
      <c r="NPX876" s="7" t="s">
        <v>23</v>
      </c>
      <c r="NPY876" s="29"/>
      <c r="NPZ876" s="44">
        <v>44198</v>
      </c>
      <c r="NQA876" s="30" t="s">
        <v>22</v>
      </c>
      <c r="NQB876" s="31">
        <v>20890</v>
      </c>
      <c r="NQC876" s="30">
        <v>1472014</v>
      </c>
      <c r="NQD876" s="30">
        <f ca="1">YEAR(TODAY())-YEAR(NQB876)</f>
        <v>69</v>
      </c>
      <c r="NQE876" s="245"/>
      <c r="NQF876" s="7" t="s">
        <v>23</v>
      </c>
      <c r="NQG876" s="29"/>
      <c r="NQH876" s="44">
        <v>44198</v>
      </c>
      <c r="NQI876" s="30" t="s">
        <v>22</v>
      </c>
      <c r="NQJ876" s="31">
        <v>20890</v>
      </c>
      <c r="NQK876" s="30">
        <v>1472014</v>
      </c>
      <c r="NQL876" s="30">
        <f ca="1">YEAR(TODAY())-YEAR(NQJ876)</f>
        <v>69</v>
      </c>
      <c r="NQM876" s="245"/>
      <c r="NQN876" s="7" t="s">
        <v>23</v>
      </c>
      <c r="NQO876" s="29"/>
      <c r="NQP876" s="44">
        <v>44198</v>
      </c>
      <c r="NQQ876" s="30" t="s">
        <v>22</v>
      </c>
      <c r="NQR876" s="31">
        <v>20890</v>
      </c>
      <c r="NQS876" s="30">
        <v>1472014</v>
      </c>
      <c r="NQT876" s="30">
        <f ca="1">YEAR(TODAY())-YEAR(NQR876)</f>
        <v>69</v>
      </c>
      <c r="NQU876" s="245"/>
      <c r="NQV876" s="7" t="s">
        <v>23</v>
      </c>
      <c r="NQW876" s="29"/>
      <c r="NQX876" s="44">
        <v>44198</v>
      </c>
      <c r="NQY876" s="30" t="s">
        <v>22</v>
      </c>
      <c r="NQZ876" s="31">
        <v>20890</v>
      </c>
      <c r="NRA876" s="30">
        <v>1472014</v>
      </c>
      <c r="NRB876" s="30">
        <f ca="1">YEAR(TODAY())-YEAR(NQZ876)</f>
        <v>69</v>
      </c>
      <c r="NRC876" s="245"/>
      <c r="NRD876" s="7" t="s">
        <v>23</v>
      </c>
      <c r="NRE876" s="29"/>
      <c r="NRF876" s="44">
        <v>44198</v>
      </c>
      <c r="NRG876" s="30" t="s">
        <v>22</v>
      </c>
      <c r="NRH876" s="31">
        <v>20890</v>
      </c>
      <c r="NRI876" s="30">
        <v>1472014</v>
      </c>
      <c r="NRJ876" s="30">
        <f ca="1">YEAR(TODAY())-YEAR(NRH876)</f>
        <v>69</v>
      </c>
      <c r="NRK876" s="245"/>
      <c r="NRL876" s="7" t="s">
        <v>23</v>
      </c>
      <c r="NRM876" s="29"/>
      <c r="NRN876" s="44">
        <v>44198</v>
      </c>
      <c r="NRO876" s="30" t="s">
        <v>22</v>
      </c>
      <c r="NRP876" s="31">
        <v>20890</v>
      </c>
      <c r="NRQ876" s="30">
        <v>1472014</v>
      </c>
      <c r="NRR876" s="30">
        <f ca="1">YEAR(TODAY())-YEAR(NRP876)</f>
        <v>69</v>
      </c>
      <c r="NRS876" s="245"/>
      <c r="NRT876" s="7" t="s">
        <v>23</v>
      </c>
      <c r="NRU876" s="29"/>
      <c r="NRV876" s="44">
        <v>44198</v>
      </c>
      <c r="NRW876" s="30" t="s">
        <v>22</v>
      </c>
      <c r="NRX876" s="31">
        <v>20890</v>
      </c>
      <c r="NRY876" s="30">
        <v>1472014</v>
      </c>
      <c r="NRZ876" s="30">
        <f ca="1">YEAR(TODAY())-YEAR(NRX876)</f>
        <v>69</v>
      </c>
      <c r="NSA876" s="245"/>
      <c r="NSB876" s="7" t="s">
        <v>23</v>
      </c>
      <c r="NSC876" s="29"/>
      <c r="NSD876" s="44">
        <v>44198</v>
      </c>
      <c r="NSE876" s="30" t="s">
        <v>22</v>
      </c>
      <c r="NSF876" s="31">
        <v>20890</v>
      </c>
      <c r="NSG876" s="30">
        <v>1472014</v>
      </c>
      <c r="NSH876" s="30">
        <f ca="1">YEAR(TODAY())-YEAR(NSF876)</f>
        <v>69</v>
      </c>
      <c r="NSI876" s="245"/>
      <c r="NSJ876" s="7" t="s">
        <v>23</v>
      </c>
      <c r="NSK876" s="29"/>
      <c r="NSL876" s="44">
        <v>44198</v>
      </c>
      <c r="NSM876" s="30" t="s">
        <v>22</v>
      </c>
      <c r="NSN876" s="31">
        <v>20890</v>
      </c>
      <c r="NSO876" s="30">
        <v>1472014</v>
      </c>
      <c r="NSP876" s="30">
        <f ca="1">YEAR(TODAY())-YEAR(NSN876)</f>
        <v>69</v>
      </c>
      <c r="NSQ876" s="245"/>
      <c r="NSR876" s="7" t="s">
        <v>23</v>
      </c>
      <c r="NSS876" s="29"/>
      <c r="NST876" s="44">
        <v>44198</v>
      </c>
      <c r="NSU876" s="30" t="s">
        <v>22</v>
      </c>
      <c r="NSV876" s="31">
        <v>20890</v>
      </c>
      <c r="NSW876" s="30">
        <v>1472014</v>
      </c>
      <c r="NSX876" s="30">
        <f ca="1">YEAR(TODAY())-YEAR(NSV876)</f>
        <v>69</v>
      </c>
      <c r="NSY876" s="245"/>
      <c r="NSZ876" s="7" t="s">
        <v>23</v>
      </c>
      <c r="NTA876" s="29"/>
      <c r="NTB876" s="44">
        <v>44198</v>
      </c>
      <c r="NTC876" s="30" t="s">
        <v>22</v>
      </c>
      <c r="NTD876" s="31">
        <v>20890</v>
      </c>
      <c r="NTE876" s="30">
        <v>1472014</v>
      </c>
      <c r="NTF876" s="30">
        <f ca="1">YEAR(TODAY())-YEAR(NTD876)</f>
        <v>69</v>
      </c>
      <c r="NTG876" s="245"/>
      <c r="NTH876" s="7" t="s">
        <v>23</v>
      </c>
      <c r="NTI876" s="29"/>
      <c r="NTJ876" s="44">
        <v>44198</v>
      </c>
      <c r="NTK876" s="30" t="s">
        <v>22</v>
      </c>
      <c r="NTL876" s="31">
        <v>20890</v>
      </c>
      <c r="NTM876" s="30">
        <v>1472014</v>
      </c>
      <c r="NTN876" s="30">
        <f ca="1">YEAR(TODAY())-YEAR(NTL876)</f>
        <v>69</v>
      </c>
      <c r="NTO876" s="245"/>
      <c r="NTP876" s="7" t="s">
        <v>23</v>
      </c>
      <c r="NTQ876" s="29"/>
      <c r="NTR876" s="44">
        <v>44198</v>
      </c>
      <c r="NTS876" s="30" t="s">
        <v>22</v>
      </c>
      <c r="NTT876" s="31">
        <v>20890</v>
      </c>
      <c r="NTU876" s="30">
        <v>1472014</v>
      </c>
      <c r="NTV876" s="30">
        <f ca="1">YEAR(TODAY())-YEAR(NTT876)</f>
        <v>69</v>
      </c>
      <c r="NTW876" s="245"/>
      <c r="NTX876" s="7" t="s">
        <v>23</v>
      </c>
      <c r="NTY876" s="29"/>
      <c r="NTZ876" s="44">
        <v>44198</v>
      </c>
      <c r="NUA876" s="30" t="s">
        <v>22</v>
      </c>
      <c r="NUB876" s="31">
        <v>20890</v>
      </c>
      <c r="NUC876" s="30">
        <v>1472014</v>
      </c>
      <c r="NUD876" s="30">
        <f ca="1">YEAR(TODAY())-YEAR(NUB876)</f>
        <v>69</v>
      </c>
      <c r="NUE876" s="245"/>
      <c r="NUF876" s="7" t="s">
        <v>23</v>
      </c>
      <c r="NUG876" s="29"/>
      <c r="NUH876" s="44">
        <v>44198</v>
      </c>
      <c r="NUI876" s="30" t="s">
        <v>22</v>
      </c>
      <c r="NUJ876" s="31">
        <v>20890</v>
      </c>
      <c r="NUK876" s="30">
        <v>1472014</v>
      </c>
      <c r="NUL876" s="30">
        <f ca="1">YEAR(TODAY())-YEAR(NUJ876)</f>
        <v>69</v>
      </c>
      <c r="NUM876" s="245"/>
      <c r="NUN876" s="7" t="s">
        <v>23</v>
      </c>
      <c r="NUO876" s="29"/>
      <c r="NUP876" s="44">
        <v>44198</v>
      </c>
      <c r="NUQ876" s="30" t="s">
        <v>22</v>
      </c>
      <c r="NUR876" s="31">
        <v>20890</v>
      </c>
      <c r="NUS876" s="30">
        <v>1472014</v>
      </c>
      <c r="NUT876" s="30">
        <f ca="1">YEAR(TODAY())-YEAR(NUR876)</f>
        <v>69</v>
      </c>
      <c r="NUU876" s="245"/>
      <c r="NUV876" s="7" t="s">
        <v>23</v>
      </c>
      <c r="NUW876" s="29"/>
      <c r="NUX876" s="44">
        <v>44198</v>
      </c>
      <c r="NUY876" s="30" t="s">
        <v>22</v>
      </c>
      <c r="NUZ876" s="31">
        <v>20890</v>
      </c>
      <c r="NVA876" s="30">
        <v>1472014</v>
      </c>
      <c r="NVB876" s="30">
        <f ca="1">YEAR(TODAY())-YEAR(NUZ876)</f>
        <v>69</v>
      </c>
      <c r="NVC876" s="245"/>
      <c r="NVD876" s="7" t="s">
        <v>23</v>
      </c>
      <c r="NVE876" s="29"/>
      <c r="NVF876" s="44">
        <v>44198</v>
      </c>
      <c r="NVG876" s="30" t="s">
        <v>22</v>
      </c>
      <c r="NVH876" s="31">
        <v>20890</v>
      </c>
      <c r="NVI876" s="30">
        <v>1472014</v>
      </c>
      <c r="NVJ876" s="30">
        <f ca="1">YEAR(TODAY())-YEAR(NVH876)</f>
        <v>69</v>
      </c>
      <c r="NVK876" s="245"/>
      <c r="NVL876" s="7" t="s">
        <v>23</v>
      </c>
      <c r="NVM876" s="29"/>
      <c r="NVN876" s="44">
        <v>44198</v>
      </c>
      <c r="NVO876" s="30" t="s">
        <v>22</v>
      </c>
      <c r="NVP876" s="31">
        <v>20890</v>
      </c>
      <c r="NVQ876" s="30">
        <v>1472014</v>
      </c>
      <c r="NVR876" s="30">
        <f ca="1">YEAR(TODAY())-YEAR(NVP876)</f>
        <v>69</v>
      </c>
      <c r="NVS876" s="245"/>
      <c r="NVT876" s="7" t="s">
        <v>23</v>
      </c>
      <c r="NVU876" s="29"/>
      <c r="NVV876" s="44">
        <v>44198</v>
      </c>
      <c r="NVW876" s="30" t="s">
        <v>22</v>
      </c>
      <c r="NVX876" s="31">
        <v>20890</v>
      </c>
      <c r="NVY876" s="30">
        <v>1472014</v>
      </c>
      <c r="NVZ876" s="30">
        <f ca="1">YEAR(TODAY())-YEAR(NVX876)</f>
        <v>69</v>
      </c>
      <c r="NWA876" s="245"/>
      <c r="NWB876" s="7" t="s">
        <v>23</v>
      </c>
      <c r="NWC876" s="29"/>
      <c r="NWD876" s="44">
        <v>44198</v>
      </c>
      <c r="NWE876" s="30" t="s">
        <v>22</v>
      </c>
      <c r="NWF876" s="31">
        <v>20890</v>
      </c>
      <c r="NWG876" s="30">
        <v>1472014</v>
      </c>
      <c r="NWH876" s="30">
        <f ca="1">YEAR(TODAY())-YEAR(NWF876)</f>
        <v>69</v>
      </c>
      <c r="NWI876" s="245"/>
      <c r="NWJ876" s="7" t="s">
        <v>23</v>
      </c>
      <c r="NWK876" s="29"/>
      <c r="NWL876" s="44">
        <v>44198</v>
      </c>
      <c r="NWM876" s="30" t="s">
        <v>22</v>
      </c>
      <c r="NWN876" s="31">
        <v>20890</v>
      </c>
      <c r="NWO876" s="30">
        <v>1472014</v>
      </c>
      <c r="NWP876" s="30">
        <f ca="1">YEAR(TODAY())-YEAR(NWN876)</f>
        <v>69</v>
      </c>
      <c r="NWQ876" s="245"/>
      <c r="NWR876" s="7" t="s">
        <v>23</v>
      </c>
      <c r="NWS876" s="29"/>
      <c r="NWT876" s="44">
        <v>44198</v>
      </c>
      <c r="NWU876" s="30" t="s">
        <v>22</v>
      </c>
      <c r="NWV876" s="31">
        <v>20890</v>
      </c>
      <c r="NWW876" s="30">
        <v>1472014</v>
      </c>
      <c r="NWX876" s="30">
        <f ca="1">YEAR(TODAY())-YEAR(NWV876)</f>
        <v>69</v>
      </c>
      <c r="NWY876" s="245"/>
      <c r="NWZ876" s="7" t="s">
        <v>23</v>
      </c>
      <c r="NXA876" s="29"/>
      <c r="NXB876" s="44">
        <v>44198</v>
      </c>
      <c r="NXC876" s="30" t="s">
        <v>22</v>
      </c>
      <c r="NXD876" s="31">
        <v>20890</v>
      </c>
      <c r="NXE876" s="30">
        <v>1472014</v>
      </c>
      <c r="NXF876" s="30">
        <f ca="1">YEAR(TODAY())-YEAR(NXD876)</f>
        <v>69</v>
      </c>
      <c r="NXG876" s="245"/>
      <c r="NXH876" s="7" t="s">
        <v>23</v>
      </c>
      <c r="NXI876" s="29"/>
      <c r="NXJ876" s="44">
        <v>44198</v>
      </c>
      <c r="NXK876" s="30" t="s">
        <v>22</v>
      </c>
      <c r="NXL876" s="31">
        <v>20890</v>
      </c>
      <c r="NXM876" s="30">
        <v>1472014</v>
      </c>
      <c r="NXN876" s="30">
        <f ca="1">YEAR(TODAY())-YEAR(NXL876)</f>
        <v>69</v>
      </c>
      <c r="NXO876" s="245"/>
      <c r="NXP876" s="7" t="s">
        <v>23</v>
      </c>
      <c r="NXQ876" s="29"/>
      <c r="NXR876" s="44">
        <v>44198</v>
      </c>
      <c r="NXS876" s="30" t="s">
        <v>22</v>
      </c>
      <c r="NXT876" s="31">
        <v>20890</v>
      </c>
      <c r="NXU876" s="30">
        <v>1472014</v>
      </c>
      <c r="NXV876" s="30">
        <f ca="1">YEAR(TODAY())-YEAR(NXT876)</f>
        <v>69</v>
      </c>
      <c r="NXW876" s="245"/>
      <c r="NXX876" s="7" t="s">
        <v>23</v>
      </c>
      <c r="NXY876" s="29"/>
      <c r="NXZ876" s="44">
        <v>44198</v>
      </c>
      <c r="NYA876" s="30" t="s">
        <v>22</v>
      </c>
      <c r="NYB876" s="31">
        <v>20890</v>
      </c>
      <c r="NYC876" s="30">
        <v>1472014</v>
      </c>
      <c r="NYD876" s="30">
        <f ca="1">YEAR(TODAY())-YEAR(NYB876)</f>
        <v>69</v>
      </c>
      <c r="NYE876" s="245"/>
      <c r="NYF876" s="7" t="s">
        <v>23</v>
      </c>
      <c r="NYG876" s="29"/>
      <c r="NYH876" s="44">
        <v>44198</v>
      </c>
      <c r="NYI876" s="30" t="s">
        <v>22</v>
      </c>
      <c r="NYJ876" s="31">
        <v>20890</v>
      </c>
      <c r="NYK876" s="30">
        <v>1472014</v>
      </c>
      <c r="NYL876" s="30">
        <f ca="1">YEAR(TODAY())-YEAR(NYJ876)</f>
        <v>69</v>
      </c>
      <c r="NYM876" s="245"/>
      <c r="NYN876" s="7" t="s">
        <v>23</v>
      </c>
      <c r="NYO876" s="29"/>
      <c r="NYP876" s="44">
        <v>44198</v>
      </c>
      <c r="NYQ876" s="30" t="s">
        <v>22</v>
      </c>
      <c r="NYR876" s="31">
        <v>20890</v>
      </c>
      <c r="NYS876" s="30">
        <v>1472014</v>
      </c>
      <c r="NYT876" s="30">
        <f ca="1">YEAR(TODAY())-YEAR(NYR876)</f>
        <v>69</v>
      </c>
      <c r="NYU876" s="245"/>
      <c r="NYV876" s="7" t="s">
        <v>23</v>
      </c>
      <c r="NYW876" s="29"/>
      <c r="NYX876" s="44">
        <v>44198</v>
      </c>
      <c r="NYY876" s="30" t="s">
        <v>22</v>
      </c>
      <c r="NYZ876" s="31">
        <v>20890</v>
      </c>
      <c r="NZA876" s="30">
        <v>1472014</v>
      </c>
      <c r="NZB876" s="30">
        <f ca="1">YEAR(TODAY())-YEAR(NYZ876)</f>
        <v>69</v>
      </c>
      <c r="NZC876" s="245"/>
      <c r="NZD876" s="7" t="s">
        <v>23</v>
      </c>
      <c r="NZE876" s="29"/>
      <c r="NZF876" s="44">
        <v>44198</v>
      </c>
      <c r="NZG876" s="30" t="s">
        <v>22</v>
      </c>
      <c r="NZH876" s="31">
        <v>20890</v>
      </c>
      <c r="NZI876" s="30">
        <v>1472014</v>
      </c>
      <c r="NZJ876" s="30">
        <f ca="1">YEAR(TODAY())-YEAR(NZH876)</f>
        <v>69</v>
      </c>
      <c r="NZK876" s="245"/>
      <c r="NZL876" s="7" t="s">
        <v>23</v>
      </c>
      <c r="NZM876" s="29"/>
      <c r="NZN876" s="44">
        <v>44198</v>
      </c>
      <c r="NZO876" s="30" t="s">
        <v>22</v>
      </c>
      <c r="NZP876" s="31">
        <v>20890</v>
      </c>
      <c r="NZQ876" s="30">
        <v>1472014</v>
      </c>
      <c r="NZR876" s="30">
        <f ca="1">YEAR(TODAY())-YEAR(NZP876)</f>
        <v>69</v>
      </c>
      <c r="NZS876" s="245"/>
      <c r="NZT876" s="7" t="s">
        <v>23</v>
      </c>
      <c r="NZU876" s="29"/>
      <c r="NZV876" s="44">
        <v>44198</v>
      </c>
      <c r="NZW876" s="30" t="s">
        <v>22</v>
      </c>
      <c r="NZX876" s="31">
        <v>20890</v>
      </c>
      <c r="NZY876" s="30">
        <v>1472014</v>
      </c>
      <c r="NZZ876" s="30">
        <f ca="1">YEAR(TODAY())-YEAR(NZX876)</f>
        <v>69</v>
      </c>
      <c r="OAA876" s="245"/>
      <c r="OAB876" s="7" t="s">
        <v>23</v>
      </c>
      <c r="OAC876" s="29"/>
      <c r="OAD876" s="44">
        <v>44198</v>
      </c>
      <c r="OAE876" s="30" t="s">
        <v>22</v>
      </c>
      <c r="OAF876" s="31">
        <v>20890</v>
      </c>
      <c r="OAG876" s="30">
        <v>1472014</v>
      </c>
      <c r="OAH876" s="30">
        <f ca="1">YEAR(TODAY())-YEAR(OAF876)</f>
        <v>69</v>
      </c>
      <c r="OAI876" s="245"/>
      <c r="OAJ876" s="7" t="s">
        <v>23</v>
      </c>
      <c r="OAK876" s="29"/>
      <c r="OAL876" s="44">
        <v>44198</v>
      </c>
      <c r="OAM876" s="30" t="s">
        <v>22</v>
      </c>
      <c r="OAN876" s="31">
        <v>20890</v>
      </c>
      <c r="OAO876" s="30">
        <v>1472014</v>
      </c>
      <c r="OAP876" s="30">
        <f ca="1">YEAR(TODAY())-YEAR(OAN876)</f>
        <v>69</v>
      </c>
      <c r="OAQ876" s="245"/>
      <c r="OAR876" s="7" t="s">
        <v>23</v>
      </c>
      <c r="OAS876" s="29"/>
      <c r="OAT876" s="44">
        <v>44198</v>
      </c>
      <c r="OAU876" s="30" t="s">
        <v>22</v>
      </c>
      <c r="OAV876" s="31">
        <v>20890</v>
      </c>
      <c r="OAW876" s="30">
        <v>1472014</v>
      </c>
      <c r="OAX876" s="30">
        <f ca="1">YEAR(TODAY())-YEAR(OAV876)</f>
        <v>69</v>
      </c>
      <c r="OAY876" s="245"/>
      <c r="OAZ876" s="7" t="s">
        <v>23</v>
      </c>
      <c r="OBA876" s="29"/>
      <c r="OBB876" s="44">
        <v>44198</v>
      </c>
      <c r="OBC876" s="30" t="s">
        <v>22</v>
      </c>
      <c r="OBD876" s="31">
        <v>20890</v>
      </c>
      <c r="OBE876" s="30">
        <v>1472014</v>
      </c>
      <c r="OBF876" s="30">
        <f ca="1">YEAR(TODAY())-YEAR(OBD876)</f>
        <v>69</v>
      </c>
      <c r="OBG876" s="245"/>
      <c r="OBH876" s="7" t="s">
        <v>23</v>
      </c>
      <c r="OBI876" s="29"/>
      <c r="OBJ876" s="44">
        <v>44198</v>
      </c>
      <c r="OBK876" s="30" t="s">
        <v>22</v>
      </c>
      <c r="OBL876" s="31">
        <v>20890</v>
      </c>
      <c r="OBM876" s="30">
        <v>1472014</v>
      </c>
      <c r="OBN876" s="30">
        <f ca="1">YEAR(TODAY())-YEAR(OBL876)</f>
        <v>69</v>
      </c>
      <c r="OBO876" s="245"/>
      <c r="OBP876" s="7" t="s">
        <v>23</v>
      </c>
      <c r="OBQ876" s="29"/>
      <c r="OBR876" s="44">
        <v>44198</v>
      </c>
      <c r="OBS876" s="30" t="s">
        <v>22</v>
      </c>
      <c r="OBT876" s="31">
        <v>20890</v>
      </c>
      <c r="OBU876" s="30">
        <v>1472014</v>
      </c>
      <c r="OBV876" s="30">
        <f ca="1">YEAR(TODAY())-YEAR(OBT876)</f>
        <v>69</v>
      </c>
      <c r="OBW876" s="245"/>
      <c r="OBX876" s="7" t="s">
        <v>23</v>
      </c>
      <c r="OBY876" s="29"/>
      <c r="OBZ876" s="44">
        <v>44198</v>
      </c>
      <c r="OCA876" s="30" t="s">
        <v>22</v>
      </c>
      <c r="OCB876" s="31">
        <v>20890</v>
      </c>
      <c r="OCC876" s="30">
        <v>1472014</v>
      </c>
      <c r="OCD876" s="30">
        <f ca="1">YEAR(TODAY())-YEAR(OCB876)</f>
        <v>69</v>
      </c>
      <c r="OCE876" s="245"/>
      <c r="OCF876" s="7" t="s">
        <v>23</v>
      </c>
      <c r="OCG876" s="29"/>
      <c r="OCH876" s="44">
        <v>44198</v>
      </c>
      <c r="OCI876" s="30" t="s">
        <v>22</v>
      </c>
      <c r="OCJ876" s="31">
        <v>20890</v>
      </c>
      <c r="OCK876" s="30">
        <v>1472014</v>
      </c>
      <c r="OCL876" s="30">
        <f ca="1">YEAR(TODAY())-YEAR(OCJ876)</f>
        <v>69</v>
      </c>
      <c r="OCM876" s="245"/>
      <c r="OCN876" s="7" t="s">
        <v>23</v>
      </c>
      <c r="OCO876" s="29"/>
      <c r="OCP876" s="44">
        <v>44198</v>
      </c>
      <c r="OCQ876" s="30" t="s">
        <v>22</v>
      </c>
      <c r="OCR876" s="31">
        <v>20890</v>
      </c>
      <c r="OCS876" s="30">
        <v>1472014</v>
      </c>
      <c r="OCT876" s="30">
        <f ca="1">YEAR(TODAY())-YEAR(OCR876)</f>
        <v>69</v>
      </c>
      <c r="OCU876" s="245"/>
      <c r="OCV876" s="7" t="s">
        <v>23</v>
      </c>
      <c r="OCW876" s="29"/>
      <c r="OCX876" s="44">
        <v>44198</v>
      </c>
      <c r="OCY876" s="30" t="s">
        <v>22</v>
      </c>
      <c r="OCZ876" s="31">
        <v>20890</v>
      </c>
      <c r="ODA876" s="30">
        <v>1472014</v>
      </c>
      <c r="ODB876" s="30">
        <f ca="1">YEAR(TODAY())-YEAR(OCZ876)</f>
        <v>69</v>
      </c>
      <c r="ODC876" s="245"/>
      <c r="ODD876" s="7" t="s">
        <v>23</v>
      </c>
      <c r="ODE876" s="29"/>
      <c r="ODF876" s="44">
        <v>44198</v>
      </c>
      <c r="ODG876" s="30" t="s">
        <v>22</v>
      </c>
      <c r="ODH876" s="31">
        <v>20890</v>
      </c>
      <c r="ODI876" s="30">
        <v>1472014</v>
      </c>
      <c r="ODJ876" s="30">
        <f ca="1">YEAR(TODAY())-YEAR(ODH876)</f>
        <v>69</v>
      </c>
      <c r="ODK876" s="245"/>
      <c r="ODL876" s="7" t="s">
        <v>23</v>
      </c>
      <c r="ODM876" s="29"/>
      <c r="ODN876" s="44">
        <v>44198</v>
      </c>
      <c r="ODO876" s="30" t="s">
        <v>22</v>
      </c>
      <c r="ODP876" s="31">
        <v>20890</v>
      </c>
      <c r="ODQ876" s="30">
        <v>1472014</v>
      </c>
      <c r="ODR876" s="30">
        <f ca="1">YEAR(TODAY())-YEAR(ODP876)</f>
        <v>69</v>
      </c>
      <c r="ODS876" s="245"/>
      <c r="ODT876" s="7" t="s">
        <v>23</v>
      </c>
      <c r="ODU876" s="29"/>
      <c r="ODV876" s="44">
        <v>44198</v>
      </c>
      <c r="ODW876" s="30" t="s">
        <v>22</v>
      </c>
      <c r="ODX876" s="31">
        <v>20890</v>
      </c>
      <c r="ODY876" s="30">
        <v>1472014</v>
      </c>
      <c r="ODZ876" s="30">
        <f ca="1">YEAR(TODAY())-YEAR(ODX876)</f>
        <v>69</v>
      </c>
      <c r="OEA876" s="245"/>
      <c r="OEB876" s="7" t="s">
        <v>23</v>
      </c>
      <c r="OEC876" s="29"/>
      <c r="OED876" s="44">
        <v>44198</v>
      </c>
      <c r="OEE876" s="30" t="s">
        <v>22</v>
      </c>
      <c r="OEF876" s="31">
        <v>20890</v>
      </c>
      <c r="OEG876" s="30">
        <v>1472014</v>
      </c>
      <c r="OEH876" s="30">
        <f ca="1">YEAR(TODAY())-YEAR(OEF876)</f>
        <v>69</v>
      </c>
      <c r="OEI876" s="245"/>
      <c r="OEJ876" s="7" t="s">
        <v>23</v>
      </c>
      <c r="OEK876" s="29"/>
      <c r="OEL876" s="44">
        <v>44198</v>
      </c>
      <c r="OEM876" s="30" t="s">
        <v>22</v>
      </c>
      <c r="OEN876" s="31">
        <v>20890</v>
      </c>
      <c r="OEO876" s="30">
        <v>1472014</v>
      </c>
      <c r="OEP876" s="30">
        <f ca="1">YEAR(TODAY())-YEAR(OEN876)</f>
        <v>69</v>
      </c>
      <c r="OEQ876" s="245"/>
      <c r="OER876" s="7" t="s">
        <v>23</v>
      </c>
      <c r="OES876" s="29"/>
      <c r="OET876" s="44">
        <v>44198</v>
      </c>
      <c r="OEU876" s="30" t="s">
        <v>22</v>
      </c>
      <c r="OEV876" s="31">
        <v>20890</v>
      </c>
      <c r="OEW876" s="30">
        <v>1472014</v>
      </c>
      <c r="OEX876" s="30">
        <f ca="1">YEAR(TODAY())-YEAR(OEV876)</f>
        <v>69</v>
      </c>
      <c r="OEY876" s="245"/>
      <c r="OEZ876" s="7" t="s">
        <v>23</v>
      </c>
      <c r="OFA876" s="29"/>
      <c r="OFB876" s="44">
        <v>44198</v>
      </c>
      <c r="OFC876" s="30" t="s">
        <v>22</v>
      </c>
      <c r="OFD876" s="31">
        <v>20890</v>
      </c>
      <c r="OFE876" s="30">
        <v>1472014</v>
      </c>
      <c r="OFF876" s="30">
        <f ca="1">YEAR(TODAY())-YEAR(OFD876)</f>
        <v>69</v>
      </c>
      <c r="OFG876" s="245"/>
      <c r="OFH876" s="7" t="s">
        <v>23</v>
      </c>
      <c r="OFI876" s="29"/>
      <c r="OFJ876" s="44">
        <v>44198</v>
      </c>
      <c r="OFK876" s="30" t="s">
        <v>22</v>
      </c>
      <c r="OFL876" s="31">
        <v>20890</v>
      </c>
      <c r="OFM876" s="30">
        <v>1472014</v>
      </c>
      <c r="OFN876" s="30">
        <f ca="1">YEAR(TODAY())-YEAR(OFL876)</f>
        <v>69</v>
      </c>
      <c r="OFO876" s="245"/>
      <c r="OFP876" s="7" t="s">
        <v>23</v>
      </c>
      <c r="OFQ876" s="29"/>
      <c r="OFR876" s="44">
        <v>44198</v>
      </c>
      <c r="OFS876" s="30" t="s">
        <v>22</v>
      </c>
      <c r="OFT876" s="31">
        <v>20890</v>
      </c>
      <c r="OFU876" s="30">
        <v>1472014</v>
      </c>
      <c r="OFV876" s="30">
        <f ca="1">YEAR(TODAY())-YEAR(OFT876)</f>
        <v>69</v>
      </c>
      <c r="OFW876" s="245"/>
      <c r="OFX876" s="7" t="s">
        <v>23</v>
      </c>
      <c r="OFY876" s="29"/>
      <c r="OFZ876" s="44">
        <v>44198</v>
      </c>
      <c r="OGA876" s="30" t="s">
        <v>22</v>
      </c>
      <c r="OGB876" s="31">
        <v>20890</v>
      </c>
      <c r="OGC876" s="30">
        <v>1472014</v>
      </c>
      <c r="OGD876" s="30">
        <f ca="1">YEAR(TODAY())-YEAR(OGB876)</f>
        <v>69</v>
      </c>
      <c r="OGE876" s="245"/>
      <c r="OGF876" s="7" t="s">
        <v>23</v>
      </c>
      <c r="OGG876" s="29"/>
      <c r="OGH876" s="44">
        <v>44198</v>
      </c>
      <c r="OGI876" s="30" t="s">
        <v>22</v>
      </c>
      <c r="OGJ876" s="31">
        <v>20890</v>
      </c>
      <c r="OGK876" s="30">
        <v>1472014</v>
      </c>
      <c r="OGL876" s="30">
        <f ca="1">YEAR(TODAY())-YEAR(OGJ876)</f>
        <v>69</v>
      </c>
      <c r="OGM876" s="245"/>
      <c r="OGN876" s="7" t="s">
        <v>23</v>
      </c>
      <c r="OGO876" s="29"/>
      <c r="OGP876" s="44">
        <v>44198</v>
      </c>
      <c r="OGQ876" s="30" t="s">
        <v>22</v>
      </c>
      <c r="OGR876" s="31">
        <v>20890</v>
      </c>
      <c r="OGS876" s="30">
        <v>1472014</v>
      </c>
      <c r="OGT876" s="30">
        <f ca="1">YEAR(TODAY())-YEAR(OGR876)</f>
        <v>69</v>
      </c>
      <c r="OGU876" s="245"/>
      <c r="OGV876" s="7" t="s">
        <v>23</v>
      </c>
      <c r="OGW876" s="29"/>
      <c r="OGX876" s="44">
        <v>44198</v>
      </c>
      <c r="OGY876" s="30" t="s">
        <v>22</v>
      </c>
      <c r="OGZ876" s="31">
        <v>20890</v>
      </c>
      <c r="OHA876" s="30">
        <v>1472014</v>
      </c>
      <c r="OHB876" s="30">
        <f ca="1">YEAR(TODAY())-YEAR(OGZ876)</f>
        <v>69</v>
      </c>
      <c r="OHC876" s="245"/>
      <c r="OHD876" s="7" t="s">
        <v>23</v>
      </c>
      <c r="OHE876" s="29"/>
      <c r="OHF876" s="44">
        <v>44198</v>
      </c>
      <c r="OHG876" s="30" t="s">
        <v>22</v>
      </c>
      <c r="OHH876" s="31">
        <v>20890</v>
      </c>
      <c r="OHI876" s="30">
        <v>1472014</v>
      </c>
      <c r="OHJ876" s="30">
        <f ca="1">YEAR(TODAY())-YEAR(OHH876)</f>
        <v>69</v>
      </c>
      <c r="OHK876" s="245"/>
      <c r="OHL876" s="7" t="s">
        <v>23</v>
      </c>
      <c r="OHM876" s="29"/>
      <c r="OHN876" s="44">
        <v>44198</v>
      </c>
      <c r="OHO876" s="30" t="s">
        <v>22</v>
      </c>
      <c r="OHP876" s="31">
        <v>20890</v>
      </c>
      <c r="OHQ876" s="30">
        <v>1472014</v>
      </c>
      <c r="OHR876" s="30">
        <f ca="1">YEAR(TODAY())-YEAR(OHP876)</f>
        <v>69</v>
      </c>
      <c r="OHS876" s="245"/>
      <c r="OHT876" s="7" t="s">
        <v>23</v>
      </c>
      <c r="OHU876" s="29"/>
      <c r="OHV876" s="44">
        <v>44198</v>
      </c>
      <c r="OHW876" s="30" t="s">
        <v>22</v>
      </c>
      <c r="OHX876" s="31">
        <v>20890</v>
      </c>
      <c r="OHY876" s="30">
        <v>1472014</v>
      </c>
      <c r="OHZ876" s="30">
        <f ca="1">YEAR(TODAY())-YEAR(OHX876)</f>
        <v>69</v>
      </c>
      <c r="OIA876" s="245"/>
      <c r="OIB876" s="7" t="s">
        <v>23</v>
      </c>
      <c r="OIC876" s="29"/>
      <c r="OID876" s="44">
        <v>44198</v>
      </c>
      <c r="OIE876" s="30" t="s">
        <v>22</v>
      </c>
      <c r="OIF876" s="31">
        <v>20890</v>
      </c>
      <c r="OIG876" s="30">
        <v>1472014</v>
      </c>
      <c r="OIH876" s="30">
        <f ca="1">YEAR(TODAY())-YEAR(OIF876)</f>
        <v>69</v>
      </c>
      <c r="OII876" s="245"/>
      <c r="OIJ876" s="7" t="s">
        <v>23</v>
      </c>
      <c r="OIK876" s="29"/>
      <c r="OIL876" s="44">
        <v>44198</v>
      </c>
      <c r="OIM876" s="30" t="s">
        <v>22</v>
      </c>
      <c r="OIN876" s="31">
        <v>20890</v>
      </c>
      <c r="OIO876" s="30">
        <v>1472014</v>
      </c>
      <c r="OIP876" s="30">
        <f ca="1">YEAR(TODAY())-YEAR(OIN876)</f>
        <v>69</v>
      </c>
      <c r="OIQ876" s="245"/>
      <c r="OIR876" s="7" t="s">
        <v>23</v>
      </c>
      <c r="OIS876" s="29"/>
      <c r="OIT876" s="44">
        <v>44198</v>
      </c>
      <c r="OIU876" s="30" t="s">
        <v>22</v>
      </c>
      <c r="OIV876" s="31">
        <v>20890</v>
      </c>
      <c r="OIW876" s="30">
        <v>1472014</v>
      </c>
      <c r="OIX876" s="30">
        <f ca="1">YEAR(TODAY())-YEAR(OIV876)</f>
        <v>69</v>
      </c>
      <c r="OIY876" s="245"/>
      <c r="OIZ876" s="7" t="s">
        <v>23</v>
      </c>
      <c r="OJA876" s="29"/>
      <c r="OJB876" s="44">
        <v>44198</v>
      </c>
      <c r="OJC876" s="30" t="s">
        <v>22</v>
      </c>
      <c r="OJD876" s="31">
        <v>20890</v>
      </c>
      <c r="OJE876" s="30">
        <v>1472014</v>
      </c>
      <c r="OJF876" s="30">
        <f ca="1">YEAR(TODAY())-YEAR(OJD876)</f>
        <v>69</v>
      </c>
      <c r="OJG876" s="245"/>
      <c r="OJH876" s="7" t="s">
        <v>23</v>
      </c>
      <c r="OJI876" s="29"/>
      <c r="OJJ876" s="44">
        <v>44198</v>
      </c>
      <c r="OJK876" s="30" t="s">
        <v>22</v>
      </c>
      <c r="OJL876" s="31">
        <v>20890</v>
      </c>
      <c r="OJM876" s="30">
        <v>1472014</v>
      </c>
      <c r="OJN876" s="30">
        <f ca="1">YEAR(TODAY())-YEAR(OJL876)</f>
        <v>69</v>
      </c>
      <c r="OJO876" s="245"/>
      <c r="OJP876" s="7" t="s">
        <v>23</v>
      </c>
      <c r="OJQ876" s="29"/>
      <c r="OJR876" s="44">
        <v>44198</v>
      </c>
      <c r="OJS876" s="30" t="s">
        <v>22</v>
      </c>
      <c r="OJT876" s="31">
        <v>20890</v>
      </c>
      <c r="OJU876" s="30">
        <v>1472014</v>
      </c>
      <c r="OJV876" s="30">
        <f ca="1">YEAR(TODAY())-YEAR(OJT876)</f>
        <v>69</v>
      </c>
      <c r="OJW876" s="245"/>
      <c r="OJX876" s="7" t="s">
        <v>23</v>
      </c>
      <c r="OJY876" s="29"/>
      <c r="OJZ876" s="44">
        <v>44198</v>
      </c>
      <c r="OKA876" s="30" t="s">
        <v>22</v>
      </c>
      <c r="OKB876" s="31">
        <v>20890</v>
      </c>
      <c r="OKC876" s="30">
        <v>1472014</v>
      </c>
      <c r="OKD876" s="30">
        <f ca="1">YEAR(TODAY())-YEAR(OKB876)</f>
        <v>69</v>
      </c>
      <c r="OKE876" s="245"/>
      <c r="OKF876" s="7" t="s">
        <v>23</v>
      </c>
      <c r="OKG876" s="29"/>
      <c r="OKH876" s="44">
        <v>44198</v>
      </c>
      <c r="OKI876" s="30" t="s">
        <v>22</v>
      </c>
      <c r="OKJ876" s="31">
        <v>20890</v>
      </c>
      <c r="OKK876" s="30">
        <v>1472014</v>
      </c>
      <c r="OKL876" s="30">
        <f ca="1">YEAR(TODAY())-YEAR(OKJ876)</f>
        <v>69</v>
      </c>
      <c r="OKM876" s="245"/>
      <c r="OKN876" s="7" t="s">
        <v>23</v>
      </c>
      <c r="OKO876" s="29"/>
      <c r="OKP876" s="44">
        <v>44198</v>
      </c>
      <c r="OKQ876" s="30" t="s">
        <v>22</v>
      </c>
      <c r="OKR876" s="31">
        <v>20890</v>
      </c>
      <c r="OKS876" s="30">
        <v>1472014</v>
      </c>
      <c r="OKT876" s="30">
        <f ca="1">YEAR(TODAY())-YEAR(OKR876)</f>
        <v>69</v>
      </c>
      <c r="OKU876" s="245"/>
      <c r="OKV876" s="7" t="s">
        <v>23</v>
      </c>
      <c r="OKW876" s="29"/>
      <c r="OKX876" s="44">
        <v>44198</v>
      </c>
      <c r="OKY876" s="30" t="s">
        <v>22</v>
      </c>
      <c r="OKZ876" s="31">
        <v>20890</v>
      </c>
      <c r="OLA876" s="30">
        <v>1472014</v>
      </c>
      <c r="OLB876" s="30">
        <f ca="1">YEAR(TODAY())-YEAR(OKZ876)</f>
        <v>69</v>
      </c>
      <c r="OLC876" s="245"/>
      <c r="OLD876" s="7" t="s">
        <v>23</v>
      </c>
      <c r="OLE876" s="29"/>
      <c r="OLF876" s="44">
        <v>44198</v>
      </c>
      <c r="OLG876" s="30" t="s">
        <v>22</v>
      </c>
      <c r="OLH876" s="31">
        <v>20890</v>
      </c>
      <c r="OLI876" s="30">
        <v>1472014</v>
      </c>
      <c r="OLJ876" s="30">
        <f ca="1">YEAR(TODAY())-YEAR(OLH876)</f>
        <v>69</v>
      </c>
      <c r="OLK876" s="245"/>
      <c r="OLL876" s="7" t="s">
        <v>23</v>
      </c>
      <c r="OLM876" s="29"/>
      <c r="OLN876" s="44">
        <v>44198</v>
      </c>
      <c r="OLO876" s="30" t="s">
        <v>22</v>
      </c>
      <c r="OLP876" s="31">
        <v>20890</v>
      </c>
      <c r="OLQ876" s="30">
        <v>1472014</v>
      </c>
      <c r="OLR876" s="30">
        <f ca="1">YEAR(TODAY())-YEAR(OLP876)</f>
        <v>69</v>
      </c>
      <c r="OLS876" s="245"/>
      <c r="OLT876" s="7" t="s">
        <v>23</v>
      </c>
      <c r="OLU876" s="29"/>
      <c r="OLV876" s="44">
        <v>44198</v>
      </c>
      <c r="OLW876" s="30" t="s">
        <v>22</v>
      </c>
      <c r="OLX876" s="31">
        <v>20890</v>
      </c>
      <c r="OLY876" s="30">
        <v>1472014</v>
      </c>
      <c r="OLZ876" s="30">
        <f ca="1">YEAR(TODAY())-YEAR(OLX876)</f>
        <v>69</v>
      </c>
      <c r="OMA876" s="245"/>
      <c r="OMB876" s="7" t="s">
        <v>23</v>
      </c>
      <c r="OMC876" s="29"/>
      <c r="OMD876" s="44">
        <v>44198</v>
      </c>
      <c r="OME876" s="30" t="s">
        <v>22</v>
      </c>
      <c r="OMF876" s="31">
        <v>20890</v>
      </c>
      <c r="OMG876" s="30">
        <v>1472014</v>
      </c>
      <c r="OMH876" s="30">
        <f ca="1">YEAR(TODAY())-YEAR(OMF876)</f>
        <v>69</v>
      </c>
      <c r="OMI876" s="245"/>
      <c r="OMJ876" s="7" t="s">
        <v>23</v>
      </c>
      <c r="OMK876" s="29"/>
      <c r="OML876" s="44">
        <v>44198</v>
      </c>
      <c r="OMM876" s="30" t="s">
        <v>22</v>
      </c>
      <c r="OMN876" s="31">
        <v>20890</v>
      </c>
      <c r="OMO876" s="30">
        <v>1472014</v>
      </c>
      <c r="OMP876" s="30">
        <f ca="1">YEAR(TODAY())-YEAR(OMN876)</f>
        <v>69</v>
      </c>
      <c r="OMQ876" s="245"/>
      <c r="OMR876" s="7" t="s">
        <v>23</v>
      </c>
      <c r="OMS876" s="29"/>
      <c r="OMT876" s="44">
        <v>44198</v>
      </c>
      <c r="OMU876" s="30" t="s">
        <v>22</v>
      </c>
      <c r="OMV876" s="31">
        <v>20890</v>
      </c>
      <c r="OMW876" s="30">
        <v>1472014</v>
      </c>
      <c r="OMX876" s="30">
        <f ca="1">YEAR(TODAY())-YEAR(OMV876)</f>
        <v>69</v>
      </c>
      <c r="OMY876" s="245"/>
      <c r="OMZ876" s="7" t="s">
        <v>23</v>
      </c>
      <c r="ONA876" s="29"/>
      <c r="ONB876" s="44">
        <v>44198</v>
      </c>
      <c r="ONC876" s="30" t="s">
        <v>22</v>
      </c>
      <c r="OND876" s="31">
        <v>20890</v>
      </c>
      <c r="ONE876" s="30">
        <v>1472014</v>
      </c>
      <c r="ONF876" s="30">
        <f ca="1">YEAR(TODAY())-YEAR(OND876)</f>
        <v>69</v>
      </c>
      <c r="ONG876" s="245"/>
      <c r="ONH876" s="7" t="s">
        <v>23</v>
      </c>
      <c r="ONI876" s="29"/>
      <c r="ONJ876" s="44">
        <v>44198</v>
      </c>
      <c r="ONK876" s="30" t="s">
        <v>22</v>
      </c>
      <c r="ONL876" s="31">
        <v>20890</v>
      </c>
      <c r="ONM876" s="30">
        <v>1472014</v>
      </c>
      <c r="ONN876" s="30">
        <f ca="1">YEAR(TODAY())-YEAR(ONL876)</f>
        <v>69</v>
      </c>
      <c r="ONO876" s="245"/>
      <c r="ONP876" s="7" t="s">
        <v>23</v>
      </c>
      <c r="ONQ876" s="29"/>
      <c r="ONR876" s="44">
        <v>44198</v>
      </c>
      <c r="ONS876" s="30" t="s">
        <v>22</v>
      </c>
      <c r="ONT876" s="31">
        <v>20890</v>
      </c>
      <c r="ONU876" s="30">
        <v>1472014</v>
      </c>
      <c r="ONV876" s="30">
        <f ca="1">YEAR(TODAY())-YEAR(ONT876)</f>
        <v>69</v>
      </c>
      <c r="ONW876" s="245"/>
      <c r="ONX876" s="7" t="s">
        <v>23</v>
      </c>
      <c r="ONY876" s="29"/>
      <c r="ONZ876" s="44">
        <v>44198</v>
      </c>
      <c r="OOA876" s="30" t="s">
        <v>22</v>
      </c>
      <c r="OOB876" s="31">
        <v>20890</v>
      </c>
      <c r="OOC876" s="30">
        <v>1472014</v>
      </c>
      <c r="OOD876" s="30">
        <f ca="1">YEAR(TODAY())-YEAR(OOB876)</f>
        <v>69</v>
      </c>
      <c r="OOE876" s="245"/>
      <c r="OOF876" s="7" t="s">
        <v>23</v>
      </c>
      <c r="OOG876" s="29"/>
      <c r="OOH876" s="44">
        <v>44198</v>
      </c>
      <c r="OOI876" s="30" t="s">
        <v>22</v>
      </c>
      <c r="OOJ876" s="31">
        <v>20890</v>
      </c>
      <c r="OOK876" s="30">
        <v>1472014</v>
      </c>
      <c r="OOL876" s="30">
        <f ca="1">YEAR(TODAY())-YEAR(OOJ876)</f>
        <v>69</v>
      </c>
      <c r="OOM876" s="245"/>
      <c r="OON876" s="7" t="s">
        <v>23</v>
      </c>
      <c r="OOO876" s="29"/>
      <c r="OOP876" s="44">
        <v>44198</v>
      </c>
      <c r="OOQ876" s="30" t="s">
        <v>22</v>
      </c>
      <c r="OOR876" s="31">
        <v>20890</v>
      </c>
      <c r="OOS876" s="30">
        <v>1472014</v>
      </c>
      <c r="OOT876" s="30">
        <f ca="1">YEAR(TODAY())-YEAR(OOR876)</f>
        <v>69</v>
      </c>
      <c r="OOU876" s="245"/>
      <c r="OOV876" s="7" t="s">
        <v>23</v>
      </c>
      <c r="OOW876" s="29"/>
      <c r="OOX876" s="44">
        <v>44198</v>
      </c>
      <c r="OOY876" s="30" t="s">
        <v>22</v>
      </c>
      <c r="OOZ876" s="31">
        <v>20890</v>
      </c>
      <c r="OPA876" s="30">
        <v>1472014</v>
      </c>
      <c r="OPB876" s="30">
        <f ca="1">YEAR(TODAY())-YEAR(OOZ876)</f>
        <v>69</v>
      </c>
      <c r="OPC876" s="245"/>
      <c r="OPD876" s="7" t="s">
        <v>23</v>
      </c>
      <c r="OPE876" s="29"/>
      <c r="OPF876" s="44">
        <v>44198</v>
      </c>
      <c r="OPG876" s="30" t="s">
        <v>22</v>
      </c>
      <c r="OPH876" s="31">
        <v>20890</v>
      </c>
      <c r="OPI876" s="30">
        <v>1472014</v>
      </c>
      <c r="OPJ876" s="30">
        <f ca="1">YEAR(TODAY())-YEAR(OPH876)</f>
        <v>69</v>
      </c>
      <c r="OPK876" s="245"/>
      <c r="OPL876" s="7" t="s">
        <v>23</v>
      </c>
      <c r="OPM876" s="29"/>
      <c r="OPN876" s="44">
        <v>44198</v>
      </c>
      <c r="OPO876" s="30" t="s">
        <v>22</v>
      </c>
      <c r="OPP876" s="31">
        <v>20890</v>
      </c>
      <c r="OPQ876" s="30">
        <v>1472014</v>
      </c>
      <c r="OPR876" s="30">
        <f ca="1">YEAR(TODAY())-YEAR(OPP876)</f>
        <v>69</v>
      </c>
      <c r="OPS876" s="245"/>
      <c r="OPT876" s="7" t="s">
        <v>23</v>
      </c>
      <c r="OPU876" s="29"/>
      <c r="OPV876" s="44">
        <v>44198</v>
      </c>
      <c r="OPW876" s="30" t="s">
        <v>22</v>
      </c>
      <c r="OPX876" s="31">
        <v>20890</v>
      </c>
      <c r="OPY876" s="30">
        <v>1472014</v>
      </c>
      <c r="OPZ876" s="30">
        <f ca="1">YEAR(TODAY())-YEAR(OPX876)</f>
        <v>69</v>
      </c>
      <c r="OQA876" s="245"/>
      <c r="OQB876" s="7" t="s">
        <v>23</v>
      </c>
      <c r="OQC876" s="29"/>
      <c r="OQD876" s="44">
        <v>44198</v>
      </c>
      <c r="OQE876" s="30" t="s">
        <v>22</v>
      </c>
      <c r="OQF876" s="31">
        <v>20890</v>
      </c>
      <c r="OQG876" s="30">
        <v>1472014</v>
      </c>
      <c r="OQH876" s="30">
        <f ca="1">YEAR(TODAY())-YEAR(OQF876)</f>
        <v>69</v>
      </c>
      <c r="OQI876" s="245"/>
      <c r="OQJ876" s="7" t="s">
        <v>23</v>
      </c>
      <c r="OQK876" s="29"/>
      <c r="OQL876" s="44">
        <v>44198</v>
      </c>
      <c r="OQM876" s="30" t="s">
        <v>22</v>
      </c>
      <c r="OQN876" s="31">
        <v>20890</v>
      </c>
      <c r="OQO876" s="30">
        <v>1472014</v>
      </c>
      <c r="OQP876" s="30">
        <f ca="1">YEAR(TODAY())-YEAR(OQN876)</f>
        <v>69</v>
      </c>
      <c r="OQQ876" s="245"/>
      <c r="OQR876" s="7" t="s">
        <v>23</v>
      </c>
      <c r="OQS876" s="29"/>
      <c r="OQT876" s="44">
        <v>44198</v>
      </c>
      <c r="OQU876" s="30" t="s">
        <v>22</v>
      </c>
      <c r="OQV876" s="31">
        <v>20890</v>
      </c>
      <c r="OQW876" s="30">
        <v>1472014</v>
      </c>
      <c r="OQX876" s="30">
        <f ca="1">YEAR(TODAY())-YEAR(OQV876)</f>
        <v>69</v>
      </c>
      <c r="OQY876" s="245"/>
      <c r="OQZ876" s="7" t="s">
        <v>23</v>
      </c>
      <c r="ORA876" s="29"/>
      <c r="ORB876" s="44">
        <v>44198</v>
      </c>
      <c r="ORC876" s="30" t="s">
        <v>22</v>
      </c>
      <c r="ORD876" s="31">
        <v>20890</v>
      </c>
      <c r="ORE876" s="30">
        <v>1472014</v>
      </c>
      <c r="ORF876" s="30">
        <f ca="1">YEAR(TODAY())-YEAR(ORD876)</f>
        <v>69</v>
      </c>
      <c r="ORG876" s="245"/>
      <c r="ORH876" s="7" t="s">
        <v>23</v>
      </c>
      <c r="ORI876" s="29"/>
      <c r="ORJ876" s="44">
        <v>44198</v>
      </c>
      <c r="ORK876" s="30" t="s">
        <v>22</v>
      </c>
      <c r="ORL876" s="31">
        <v>20890</v>
      </c>
      <c r="ORM876" s="30">
        <v>1472014</v>
      </c>
      <c r="ORN876" s="30">
        <f ca="1">YEAR(TODAY())-YEAR(ORL876)</f>
        <v>69</v>
      </c>
      <c r="ORO876" s="245"/>
      <c r="ORP876" s="7" t="s">
        <v>23</v>
      </c>
      <c r="ORQ876" s="29"/>
      <c r="ORR876" s="44">
        <v>44198</v>
      </c>
      <c r="ORS876" s="30" t="s">
        <v>22</v>
      </c>
      <c r="ORT876" s="31">
        <v>20890</v>
      </c>
      <c r="ORU876" s="30">
        <v>1472014</v>
      </c>
      <c r="ORV876" s="30">
        <f ca="1">YEAR(TODAY())-YEAR(ORT876)</f>
        <v>69</v>
      </c>
      <c r="ORW876" s="245"/>
      <c r="ORX876" s="7" t="s">
        <v>23</v>
      </c>
      <c r="ORY876" s="29"/>
      <c r="ORZ876" s="44">
        <v>44198</v>
      </c>
      <c r="OSA876" s="30" t="s">
        <v>22</v>
      </c>
      <c r="OSB876" s="31">
        <v>20890</v>
      </c>
      <c r="OSC876" s="30">
        <v>1472014</v>
      </c>
      <c r="OSD876" s="30">
        <f ca="1">YEAR(TODAY())-YEAR(OSB876)</f>
        <v>69</v>
      </c>
      <c r="OSE876" s="245"/>
      <c r="OSF876" s="7" t="s">
        <v>23</v>
      </c>
      <c r="OSG876" s="29"/>
      <c r="OSH876" s="44">
        <v>44198</v>
      </c>
      <c r="OSI876" s="30" t="s">
        <v>22</v>
      </c>
      <c r="OSJ876" s="31">
        <v>20890</v>
      </c>
      <c r="OSK876" s="30">
        <v>1472014</v>
      </c>
      <c r="OSL876" s="30">
        <f ca="1">YEAR(TODAY())-YEAR(OSJ876)</f>
        <v>69</v>
      </c>
      <c r="OSM876" s="245"/>
      <c r="OSN876" s="7" t="s">
        <v>23</v>
      </c>
      <c r="OSO876" s="29"/>
      <c r="OSP876" s="44">
        <v>44198</v>
      </c>
      <c r="OSQ876" s="30" t="s">
        <v>22</v>
      </c>
      <c r="OSR876" s="31">
        <v>20890</v>
      </c>
      <c r="OSS876" s="30">
        <v>1472014</v>
      </c>
      <c r="OST876" s="30">
        <f ca="1">YEAR(TODAY())-YEAR(OSR876)</f>
        <v>69</v>
      </c>
      <c r="OSU876" s="245"/>
      <c r="OSV876" s="7" t="s">
        <v>23</v>
      </c>
      <c r="OSW876" s="29"/>
      <c r="OSX876" s="44">
        <v>44198</v>
      </c>
      <c r="OSY876" s="30" t="s">
        <v>22</v>
      </c>
      <c r="OSZ876" s="31">
        <v>20890</v>
      </c>
      <c r="OTA876" s="30">
        <v>1472014</v>
      </c>
      <c r="OTB876" s="30">
        <f ca="1">YEAR(TODAY())-YEAR(OSZ876)</f>
        <v>69</v>
      </c>
      <c r="OTC876" s="245"/>
      <c r="OTD876" s="7" t="s">
        <v>23</v>
      </c>
      <c r="OTE876" s="29"/>
      <c r="OTF876" s="44">
        <v>44198</v>
      </c>
      <c r="OTG876" s="30" t="s">
        <v>22</v>
      </c>
      <c r="OTH876" s="31">
        <v>20890</v>
      </c>
      <c r="OTI876" s="30">
        <v>1472014</v>
      </c>
      <c r="OTJ876" s="30">
        <f ca="1">YEAR(TODAY())-YEAR(OTH876)</f>
        <v>69</v>
      </c>
      <c r="OTK876" s="245"/>
      <c r="OTL876" s="7" t="s">
        <v>23</v>
      </c>
      <c r="OTM876" s="29"/>
      <c r="OTN876" s="44">
        <v>44198</v>
      </c>
      <c r="OTO876" s="30" t="s">
        <v>22</v>
      </c>
      <c r="OTP876" s="31">
        <v>20890</v>
      </c>
      <c r="OTQ876" s="30">
        <v>1472014</v>
      </c>
      <c r="OTR876" s="30">
        <f ca="1">YEAR(TODAY())-YEAR(OTP876)</f>
        <v>69</v>
      </c>
      <c r="OTS876" s="245"/>
      <c r="OTT876" s="7" t="s">
        <v>23</v>
      </c>
      <c r="OTU876" s="29"/>
      <c r="OTV876" s="44">
        <v>44198</v>
      </c>
      <c r="OTW876" s="30" t="s">
        <v>22</v>
      </c>
      <c r="OTX876" s="31">
        <v>20890</v>
      </c>
      <c r="OTY876" s="30">
        <v>1472014</v>
      </c>
      <c r="OTZ876" s="30">
        <f ca="1">YEAR(TODAY())-YEAR(OTX876)</f>
        <v>69</v>
      </c>
      <c r="OUA876" s="245"/>
      <c r="OUB876" s="7" t="s">
        <v>23</v>
      </c>
      <c r="OUC876" s="29"/>
      <c r="OUD876" s="44">
        <v>44198</v>
      </c>
      <c r="OUE876" s="30" t="s">
        <v>22</v>
      </c>
      <c r="OUF876" s="31">
        <v>20890</v>
      </c>
      <c r="OUG876" s="30">
        <v>1472014</v>
      </c>
      <c r="OUH876" s="30">
        <f ca="1">YEAR(TODAY())-YEAR(OUF876)</f>
        <v>69</v>
      </c>
      <c r="OUI876" s="245"/>
      <c r="OUJ876" s="7" t="s">
        <v>23</v>
      </c>
      <c r="OUK876" s="29"/>
      <c r="OUL876" s="44">
        <v>44198</v>
      </c>
      <c r="OUM876" s="30" t="s">
        <v>22</v>
      </c>
      <c r="OUN876" s="31">
        <v>20890</v>
      </c>
      <c r="OUO876" s="30">
        <v>1472014</v>
      </c>
      <c r="OUP876" s="30">
        <f ca="1">YEAR(TODAY())-YEAR(OUN876)</f>
        <v>69</v>
      </c>
      <c r="OUQ876" s="245"/>
      <c r="OUR876" s="7" t="s">
        <v>23</v>
      </c>
      <c r="OUS876" s="29"/>
      <c r="OUT876" s="44">
        <v>44198</v>
      </c>
      <c r="OUU876" s="30" t="s">
        <v>22</v>
      </c>
      <c r="OUV876" s="31">
        <v>20890</v>
      </c>
      <c r="OUW876" s="30">
        <v>1472014</v>
      </c>
      <c r="OUX876" s="30">
        <f ca="1">YEAR(TODAY())-YEAR(OUV876)</f>
        <v>69</v>
      </c>
      <c r="OUY876" s="245"/>
      <c r="OUZ876" s="7" t="s">
        <v>23</v>
      </c>
      <c r="OVA876" s="29"/>
      <c r="OVB876" s="44">
        <v>44198</v>
      </c>
      <c r="OVC876" s="30" t="s">
        <v>22</v>
      </c>
      <c r="OVD876" s="31">
        <v>20890</v>
      </c>
      <c r="OVE876" s="30">
        <v>1472014</v>
      </c>
      <c r="OVF876" s="30">
        <f ca="1">YEAR(TODAY())-YEAR(OVD876)</f>
        <v>69</v>
      </c>
      <c r="OVG876" s="245"/>
      <c r="OVH876" s="7" t="s">
        <v>23</v>
      </c>
      <c r="OVI876" s="29"/>
      <c r="OVJ876" s="44">
        <v>44198</v>
      </c>
      <c r="OVK876" s="30" t="s">
        <v>22</v>
      </c>
      <c r="OVL876" s="31">
        <v>20890</v>
      </c>
      <c r="OVM876" s="30">
        <v>1472014</v>
      </c>
      <c r="OVN876" s="30">
        <f ca="1">YEAR(TODAY())-YEAR(OVL876)</f>
        <v>69</v>
      </c>
      <c r="OVO876" s="245"/>
      <c r="OVP876" s="7" t="s">
        <v>23</v>
      </c>
      <c r="OVQ876" s="29"/>
      <c r="OVR876" s="44">
        <v>44198</v>
      </c>
      <c r="OVS876" s="30" t="s">
        <v>22</v>
      </c>
      <c r="OVT876" s="31">
        <v>20890</v>
      </c>
      <c r="OVU876" s="30">
        <v>1472014</v>
      </c>
      <c r="OVV876" s="30">
        <f ca="1">YEAR(TODAY())-YEAR(OVT876)</f>
        <v>69</v>
      </c>
      <c r="OVW876" s="245"/>
      <c r="OVX876" s="7" t="s">
        <v>23</v>
      </c>
      <c r="OVY876" s="29"/>
      <c r="OVZ876" s="44">
        <v>44198</v>
      </c>
      <c r="OWA876" s="30" t="s">
        <v>22</v>
      </c>
      <c r="OWB876" s="31">
        <v>20890</v>
      </c>
      <c r="OWC876" s="30">
        <v>1472014</v>
      </c>
      <c r="OWD876" s="30">
        <f ca="1">YEAR(TODAY())-YEAR(OWB876)</f>
        <v>69</v>
      </c>
      <c r="OWE876" s="245"/>
      <c r="OWF876" s="7" t="s">
        <v>23</v>
      </c>
      <c r="OWG876" s="29"/>
      <c r="OWH876" s="44">
        <v>44198</v>
      </c>
      <c r="OWI876" s="30" t="s">
        <v>22</v>
      </c>
      <c r="OWJ876" s="31">
        <v>20890</v>
      </c>
      <c r="OWK876" s="30">
        <v>1472014</v>
      </c>
      <c r="OWL876" s="30">
        <f ca="1">YEAR(TODAY())-YEAR(OWJ876)</f>
        <v>69</v>
      </c>
      <c r="OWM876" s="245"/>
      <c r="OWN876" s="7" t="s">
        <v>23</v>
      </c>
      <c r="OWO876" s="29"/>
      <c r="OWP876" s="44">
        <v>44198</v>
      </c>
      <c r="OWQ876" s="30" t="s">
        <v>22</v>
      </c>
      <c r="OWR876" s="31">
        <v>20890</v>
      </c>
      <c r="OWS876" s="30">
        <v>1472014</v>
      </c>
      <c r="OWT876" s="30">
        <f ca="1">YEAR(TODAY())-YEAR(OWR876)</f>
        <v>69</v>
      </c>
      <c r="OWU876" s="245"/>
      <c r="OWV876" s="7" t="s">
        <v>23</v>
      </c>
      <c r="OWW876" s="29"/>
      <c r="OWX876" s="44">
        <v>44198</v>
      </c>
      <c r="OWY876" s="30" t="s">
        <v>22</v>
      </c>
      <c r="OWZ876" s="31">
        <v>20890</v>
      </c>
      <c r="OXA876" s="30">
        <v>1472014</v>
      </c>
      <c r="OXB876" s="30">
        <f ca="1">YEAR(TODAY())-YEAR(OWZ876)</f>
        <v>69</v>
      </c>
      <c r="OXC876" s="245"/>
      <c r="OXD876" s="7" t="s">
        <v>23</v>
      </c>
      <c r="OXE876" s="29"/>
      <c r="OXF876" s="44">
        <v>44198</v>
      </c>
      <c r="OXG876" s="30" t="s">
        <v>22</v>
      </c>
      <c r="OXH876" s="31">
        <v>20890</v>
      </c>
      <c r="OXI876" s="30">
        <v>1472014</v>
      </c>
      <c r="OXJ876" s="30">
        <f ca="1">YEAR(TODAY())-YEAR(OXH876)</f>
        <v>69</v>
      </c>
      <c r="OXK876" s="245"/>
      <c r="OXL876" s="7" t="s">
        <v>23</v>
      </c>
      <c r="OXM876" s="29"/>
      <c r="OXN876" s="44">
        <v>44198</v>
      </c>
      <c r="OXO876" s="30" t="s">
        <v>22</v>
      </c>
      <c r="OXP876" s="31">
        <v>20890</v>
      </c>
      <c r="OXQ876" s="30">
        <v>1472014</v>
      </c>
      <c r="OXR876" s="30">
        <f ca="1">YEAR(TODAY())-YEAR(OXP876)</f>
        <v>69</v>
      </c>
      <c r="OXS876" s="245"/>
      <c r="OXT876" s="7" t="s">
        <v>23</v>
      </c>
      <c r="OXU876" s="29"/>
      <c r="OXV876" s="44">
        <v>44198</v>
      </c>
      <c r="OXW876" s="30" t="s">
        <v>22</v>
      </c>
      <c r="OXX876" s="31">
        <v>20890</v>
      </c>
      <c r="OXY876" s="30">
        <v>1472014</v>
      </c>
      <c r="OXZ876" s="30">
        <f ca="1">YEAR(TODAY())-YEAR(OXX876)</f>
        <v>69</v>
      </c>
      <c r="OYA876" s="245"/>
      <c r="OYB876" s="7" t="s">
        <v>23</v>
      </c>
      <c r="OYC876" s="29"/>
      <c r="OYD876" s="44">
        <v>44198</v>
      </c>
      <c r="OYE876" s="30" t="s">
        <v>22</v>
      </c>
      <c r="OYF876" s="31">
        <v>20890</v>
      </c>
      <c r="OYG876" s="30">
        <v>1472014</v>
      </c>
      <c r="OYH876" s="30">
        <f ca="1">YEAR(TODAY())-YEAR(OYF876)</f>
        <v>69</v>
      </c>
      <c r="OYI876" s="245"/>
      <c r="OYJ876" s="7" t="s">
        <v>23</v>
      </c>
      <c r="OYK876" s="29"/>
      <c r="OYL876" s="44">
        <v>44198</v>
      </c>
      <c r="OYM876" s="30" t="s">
        <v>22</v>
      </c>
      <c r="OYN876" s="31">
        <v>20890</v>
      </c>
      <c r="OYO876" s="30">
        <v>1472014</v>
      </c>
      <c r="OYP876" s="30">
        <f ca="1">YEAR(TODAY())-YEAR(OYN876)</f>
        <v>69</v>
      </c>
      <c r="OYQ876" s="245"/>
      <c r="OYR876" s="7" t="s">
        <v>23</v>
      </c>
      <c r="OYS876" s="29"/>
      <c r="OYT876" s="44">
        <v>44198</v>
      </c>
      <c r="OYU876" s="30" t="s">
        <v>22</v>
      </c>
      <c r="OYV876" s="31">
        <v>20890</v>
      </c>
      <c r="OYW876" s="30">
        <v>1472014</v>
      </c>
      <c r="OYX876" s="30">
        <f ca="1">YEAR(TODAY())-YEAR(OYV876)</f>
        <v>69</v>
      </c>
      <c r="OYY876" s="245"/>
      <c r="OYZ876" s="7" t="s">
        <v>23</v>
      </c>
      <c r="OZA876" s="29"/>
      <c r="OZB876" s="44">
        <v>44198</v>
      </c>
      <c r="OZC876" s="30" t="s">
        <v>22</v>
      </c>
      <c r="OZD876" s="31">
        <v>20890</v>
      </c>
      <c r="OZE876" s="30">
        <v>1472014</v>
      </c>
      <c r="OZF876" s="30">
        <f ca="1">YEAR(TODAY())-YEAR(OZD876)</f>
        <v>69</v>
      </c>
      <c r="OZG876" s="245"/>
      <c r="OZH876" s="7" t="s">
        <v>23</v>
      </c>
      <c r="OZI876" s="29"/>
      <c r="OZJ876" s="44">
        <v>44198</v>
      </c>
      <c r="OZK876" s="30" t="s">
        <v>22</v>
      </c>
      <c r="OZL876" s="31">
        <v>20890</v>
      </c>
      <c r="OZM876" s="30">
        <v>1472014</v>
      </c>
      <c r="OZN876" s="30">
        <f ca="1">YEAR(TODAY())-YEAR(OZL876)</f>
        <v>69</v>
      </c>
      <c r="OZO876" s="245"/>
      <c r="OZP876" s="7" t="s">
        <v>23</v>
      </c>
      <c r="OZQ876" s="29"/>
      <c r="OZR876" s="44">
        <v>44198</v>
      </c>
      <c r="OZS876" s="30" t="s">
        <v>22</v>
      </c>
      <c r="OZT876" s="31">
        <v>20890</v>
      </c>
      <c r="OZU876" s="30">
        <v>1472014</v>
      </c>
      <c r="OZV876" s="30">
        <f ca="1">YEAR(TODAY())-YEAR(OZT876)</f>
        <v>69</v>
      </c>
      <c r="OZW876" s="245"/>
      <c r="OZX876" s="7" t="s">
        <v>23</v>
      </c>
      <c r="OZY876" s="29"/>
      <c r="OZZ876" s="44">
        <v>44198</v>
      </c>
      <c r="PAA876" s="30" t="s">
        <v>22</v>
      </c>
      <c r="PAB876" s="31">
        <v>20890</v>
      </c>
      <c r="PAC876" s="30">
        <v>1472014</v>
      </c>
      <c r="PAD876" s="30">
        <f ca="1">YEAR(TODAY())-YEAR(PAB876)</f>
        <v>69</v>
      </c>
      <c r="PAE876" s="245"/>
      <c r="PAF876" s="7" t="s">
        <v>23</v>
      </c>
      <c r="PAG876" s="29"/>
      <c r="PAH876" s="44">
        <v>44198</v>
      </c>
      <c r="PAI876" s="30" t="s">
        <v>22</v>
      </c>
      <c r="PAJ876" s="31">
        <v>20890</v>
      </c>
      <c r="PAK876" s="30">
        <v>1472014</v>
      </c>
      <c r="PAL876" s="30">
        <f ca="1">YEAR(TODAY())-YEAR(PAJ876)</f>
        <v>69</v>
      </c>
      <c r="PAM876" s="245"/>
      <c r="PAN876" s="7" t="s">
        <v>23</v>
      </c>
      <c r="PAO876" s="29"/>
      <c r="PAP876" s="44">
        <v>44198</v>
      </c>
      <c r="PAQ876" s="30" t="s">
        <v>22</v>
      </c>
      <c r="PAR876" s="31">
        <v>20890</v>
      </c>
      <c r="PAS876" s="30">
        <v>1472014</v>
      </c>
      <c r="PAT876" s="30">
        <f ca="1">YEAR(TODAY())-YEAR(PAR876)</f>
        <v>69</v>
      </c>
      <c r="PAU876" s="245"/>
      <c r="PAV876" s="7" t="s">
        <v>23</v>
      </c>
      <c r="PAW876" s="29"/>
      <c r="PAX876" s="44">
        <v>44198</v>
      </c>
      <c r="PAY876" s="30" t="s">
        <v>22</v>
      </c>
      <c r="PAZ876" s="31">
        <v>20890</v>
      </c>
      <c r="PBA876" s="30">
        <v>1472014</v>
      </c>
      <c r="PBB876" s="30">
        <f ca="1">YEAR(TODAY())-YEAR(PAZ876)</f>
        <v>69</v>
      </c>
      <c r="PBC876" s="245"/>
      <c r="PBD876" s="7" t="s">
        <v>23</v>
      </c>
      <c r="PBE876" s="29"/>
      <c r="PBF876" s="44">
        <v>44198</v>
      </c>
      <c r="PBG876" s="30" t="s">
        <v>22</v>
      </c>
      <c r="PBH876" s="31">
        <v>20890</v>
      </c>
      <c r="PBI876" s="30">
        <v>1472014</v>
      </c>
      <c r="PBJ876" s="30">
        <f ca="1">YEAR(TODAY())-YEAR(PBH876)</f>
        <v>69</v>
      </c>
      <c r="PBK876" s="245"/>
      <c r="PBL876" s="7" t="s">
        <v>23</v>
      </c>
      <c r="PBM876" s="29"/>
      <c r="PBN876" s="44">
        <v>44198</v>
      </c>
      <c r="PBO876" s="30" t="s">
        <v>22</v>
      </c>
      <c r="PBP876" s="31">
        <v>20890</v>
      </c>
      <c r="PBQ876" s="30">
        <v>1472014</v>
      </c>
      <c r="PBR876" s="30">
        <f ca="1">YEAR(TODAY())-YEAR(PBP876)</f>
        <v>69</v>
      </c>
      <c r="PBS876" s="245"/>
      <c r="PBT876" s="7" t="s">
        <v>23</v>
      </c>
      <c r="PBU876" s="29"/>
      <c r="PBV876" s="44">
        <v>44198</v>
      </c>
      <c r="PBW876" s="30" t="s">
        <v>22</v>
      </c>
      <c r="PBX876" s="31">
        <v>20890</v>
      </c>
      <c r="PBY876" s="30">
        <v>1472014</v>
      </c>
      <c r="PBZ876" s="30">
        <f ca="1">YEAR(TODAY())-YEAR(PBX876)</f>
        <v>69</v>
      </c>
      <c r="PCA876" s="245"/>
      <c r="PCB876" s="7" t="s">
        <v>23</v>
      </c>
      <c r="PCC876" s="29"/>
      <c r="PCD876" s="44">
        <v>44198</v>
      </c>
      <c r="PCE876" s="30" t="s">
        <v>22</v>
      </c>
      <c r="PCF876" s="31">
        <v>20890</v>
      </c>
      <c r="PCG876" s="30">
        <v>1472014</v>
      </c>
      <c r="PCH876" s="30">
        <f ca="1">YEAR(TODAY())-YEAR(PCF876)</f>
        <v>69</v>
      </c>
      <c r="PCI876" s="245"/>
      <c r="PCJ876" s="7" t="s">
        <v>23</v>
      </c>
      <c r="PCK876" s="29"/>
      <c r="PCL876" s="44">
        <v>44198</v>
      </c>
      <c r="PCM876" s="30" t="s">
        <v>22</v>
      </c>
      <c r="PCN876" s="31">
        <v>20890</v>
      </c>
      <c r="PCO876" s="30">
        <v>1472014</v>
      </c>
      <c r="PCP876" s="30">
        <f ca="1">YEAR(TODAY())-YEAR(PCN876)</f>
        <v>69</v>
      </c>
      <c r="PCQ876" s="245"/>
      <c r="PCR876" s="7" t="s">
        <v>23</v>
      </c>
      <c r="PCS876" s="29"/>
      <c r="PCT876" s="44">
        <v>44198</v>
      </c>
      <c r="PCU876" s="30" t="s">
        <v>22</v>
      </c>
      <c r="PCV876" s="31">
        <v>20890</v>
      </c>
      <c r="PCW876" s="30">
        <v>1472014</v>
      </c>
      <c r="PCX876" s="30">
        <f ca="1">YEAR(TODAY())-YEAR(PCV876)</f>
        <v>69</v>
      </c>
      <c r="PCY876" s="245"/>
      <c r="PCZ876" s="7" t="s">
        <v>23</v>
      </c>
      <c r="PDA876" s="29"/>
      <c r="PDB876" s="44">
        <v>44198</v>
      </c>
      <c r="PDC876" s="30" t="s">
        <v>22</v>
      </c>
      <c r="PDD876" s="31">
        <v>20890</v>
      </c>
      <c r="PDE876" s="30">
        <v>1472014</v>
      </c>
      <c r="PDF876" s="30">
        <f ca="1">YEAR(TODAY())-YEAR(PDD876)</f>
        <v>69</v>
      </c>
      <c r="PDG876" s="245"/>
      <c r="PDH876" s="7" t="s">
        <v>23</v>
      </c>
      <c r="PDI876" s="29"/>
      <c r="PDJ876" s="44">
        <v>44198</v>
      </c>
      <c r="PDK876" s="30" t="s">
        <v>22</v>
      </c>
      <c r="PDL876" s="31">
        <v>20890</v>
      </c>
      <c r="PDM876" s="30">
        <v>1472014</v>
      </c>
      <c r="PDN876" s="30">
        <f ca="1">YEAR(TODAY())-YEAR(PDL876)</f>
        <v>69</v>
      </c>
      <c r="PDO876" s="245"/>
      <c r="PDP876" s="7" t="s">
        <v>23</v>
      </c>
      <c r="PDQ876" s="29"/>
      <c r="PDR876" s="44">
        <v>44198</v>
      </c>
      <c r="PDS876" s="30" t="s">
        <v>22</v>
      </c>
      <c r="PDT876" s="31">
        <v>20890</v>
      </c>
      <c r="PDU876" s="30">
        <v>1472014</v>
      </c>
      <c r="PDV876" s="30">
        <f ca="1">YEAR(TODAY())-YEAR(PDT876)</f>
        <v>69</v>
      </c>
      <c r="PDW876" s="245"/>
      <c r="PDX876" s="7" t="s">
        <v>23</v>
      </c>
      <c r="PDY876" s="29"/>
      <c r="PDZ876" s="44">
        <v>44198</v>
      </c>
      <c r="PEA876" s="30" t="s">
        <v>22</v>
      </c>
      <c r="PEB876" s="31">
        <v>20890</v>
      </c>
      <c r="PEC876" s="30">
        <v>1472014</v>
      </c>
      <c r="PED876" s="30">
        <f ca="1">YEAR(TODAY())-YEAR(PEB876)</f>
        <v>69</v>
      </c>
      <c r="PEE876" s="245"/>
      <c r="PEF876" s="7" t="s">
        <v>23</v>
      </c>
      <c r="PEG876" s="29"/>
      <c r="PEH876" s="44">
        <v>44198</v>
      </c>
      <c r="PEI876" s="30" t="s">
        <v>22</v>
      </c>
      <c r="PEJ876" s="31">
        <v>20890</v>
      </c>
      <c r="PEK876" s="30">
        <v>1472014</v>
      </c>
      <c r="PEL876" s="30">
        <f ca="1">YEAR(TODAY())-YEAR(PEJ876)</f>
        <v>69</v>
      </c>
      <c r="PEM876" s="245"/>
      <c r="PEN876" s="7" t="s">
        <v>23</v>
      </c>
      <c r="PEO876" s="29"/>
      <c r="PEP876" s="44">
        <v>44198</v>
      </c>
      <c r="PEQ876" s="30" t="s">
        <v>22</v>
      </c>
      <c r="PER876" s="31">
        <v>20890</v>
      </c>
      <c r="PES876" s="30">
        <v>1472014</v>
      </c>
      <c r="PET876" s="30">
        <f ca="1">YEAR(TODAY())-YEAR(PER876)</f>
        <v>69</v>
      </c>
      <c r="PEU876" s="245"/>
      <c r="PEV876" s="7" t="s">
        <v>23</v>
      </c>
      <c r="PEW876" s="29"/>
      <c r="PEX876" s="44">
        <v>44198</v>
      </c>
      <c r="PEY876" s="30" t="s">
        <v>22</v>
      </c>
      <c r="PEZ876" s="31">
        <v>20890</v>
      </c>
      <c r="PFA876" s="30">
        <v>1472014</v>
      </c>
      <c r="PFB876" s="30">
        <f ca="1">YEAR(TODAY())-YEAR(PEZ876)</f>
        <v>69</v>
      </c>
      <c r="PFC876" s="245"/>
      <c r="PFD876" s="7" t="s">
        <v>23</v>
      </c>
      <c r="PFE876" s="29"/>
      <c r="PFF876" s="44">
        <v>44198</v>
      </c>
      <c r="PFG876" s="30" t="s">
        <v>22</v>
      </c>
      <c r="PFH876" s="31">
        <v>20890</v>
      </c>
      <c r="PFI876" s="30">
        <v>1472014</v>
      </c>
      <c r="PFJ876" s="30">
        <f ca="1">YEAR(TODAY())-YEAR(PFH876)</f>
        <v>69</v>
      </c>
      <c r="PFK876" s="245"/>
      <c r="PFL876" s="7" t="s">
        <v>23</v>
      </c>
      <c r="PFM876" s="29"/>
      <c r="PFN876" s="44">
        <v>44198</v>
      </c>
      <c r="PFO876" s="30" t="s">
        <v>22</v>
      </c>
      <c r="PFP876" s="31">
        <v>20890</v>
      </c>
      <c r="PFQ876" s="30">
        <v>1472014</v>
      </c>
      <c r="PFR876" s="30">
        <f ca="1">YEAR(TODAY())-YEAR(PFP876)</f>
        <v>69</v>
      </c>
      <c r="PFS876" s="245"/>
      <c r="PFT876" s="7" t="s">
        <v>23</v>
      </c>
      <c r="PFU876" s="29"/>
      <c r="PFV876" s="44">
        <v>44198</v>
      </c>
      <c r="PFW876" s="30" t="s">
        <v>22</v>
      </c>
      <c r="PFX876" s="31">
        <v>20890</v>
      </c>
      <c r="PFY876" s="30">
        <v>1472014</v>
      </c>
      <c r="PFZ876" s="30">
        <f ca="1">YEAR(TODAY())-YEAR(PFX876)</f>
        <v>69</v>
      </c>
      <c r="PGA876" s="245"/>
      <c r="PGB876" s="7" t="s">
        <v>23</v>
      </c>
      <c r="PGC876" s="29"/>
      <c r="PGD876" s="44">
        <v>44198</v>
      </c>
      <c r="PGE876" s="30" t="s">
        <v>22</v>
      </c>
      <c r="PGF876" s="31">
        <v>20890</v>
      </c>
      <c r="PGG876" s="30">
        <v>1472014</v>
      </c>
      <c r="PGH876" s="30">
        <f ca="1">YEAR(TODAY())-YEAR(PGF876)</f>
        <v>69</v>
      </c>
      <c r="PGI876" s="245"/>
      <c r="PGJ876" s="7" t="s">
        <v>23</v>
      </c>
      <c r="PGK876" s="29"/>
      <c r="PGL876" s="44">
        <v>44198</v>
      </c>
      <c r="PGM876" s="30" t="s">
        <v>22</v>
      </c>
      <c r="PGN876" s="31">
        <v>20890</v>
      </c>
      <c r="PGO876" s="30">
        <v>1472014</v>
      </c>
      <c r="PGP876" s="30">
        <f ca="1">YEAR(TODAY())-YEAR(PGN876)</f>
        <v>69</v>
      </c>
      <c r="PGQ876" s="245"/>
      <c r="PGR876" s="7" t="s">
        <v>23</v>
      </c>
      <c r="PGS876" s="29"/>
      <c r="PGT876" s="44">
        <v>44198</v>
      </c>
      <c r="PGU876" s="30" t="s">
        <v>22</v>
      </c>
      <c r="PGV876" s="31">
        <v>20890</v>
      </c>
      <c r="PGW876" s="30">
        <v>1472014</v>
      </c>
      <c r="PGX876" s="30">
        <f ca="1">YEAR(TODAY())-YEAR(PGV876)</f>
        <v>69</v>
      </c>
      <c r="PGY876" s="245"/>
      <c r="PGZ876" s="7" t="s">
        <v>23</v>
      </c>
      <c r="PHA876" s="29"/>
      <c r="PHB876" s="44">
        <v>44198</v>
      </c>
      <c r="PHC876" s="30" t="s">
        <v>22</v>
      </c>
      <c r="PHD876" s="31">
        <v>20890</v>
      </c>
      <c r="PHE876" s="30">
        <v>1472014</v>
      </c>
      <c r="PHF876" s="30">
        <f ca="1">YEAR(TODAY())-YEAR(PHD876)</f>
        <v>69</v>
      </c>
      <c r="PHG876" s="245"/>
      <c r="PHH876" s="7" t="s">
        <v>23</v>
      </c>
      <c r="PHI876" s="29"/>
      <c r="PHJ876" s="44">
        <v>44198</v>
      </c>
      <c r="PHK876" s="30" t="s">
        <v>22</v>
      </c>
      <c r="PHL876" s="31">
        <v>20890</v>
      </c>
      <c r="PHM876" s="30">
        <v>1472014</v>
      </c>
      <c r="PHN876" s="30">
        <f ca="1">YEAR(TODAY())-YEAR(PHL876)</f>
        <v>69</v>
      </c>
      <c r="PHO876" s="245"/>
      <c r="PHP876" s="7" t="s">
        <v>23</v>
      </c>
      <c r="PHQ876" s="29"/>
      <c r="PHR876" s="44">
        <v>44198</v>
      </c>
      <c r="PHS876" s="30" t="s">
        <v>22</v>
      </c>
      <c r="PHT876" s="31">
        <v>20890</v>
      </c>
      <c r="PHU876" s="30">
        <v>1472014</v>
      </c>
      <c r="PHV876" s="30">
        <f ca="1">YEAR(TODAY())-YEAR(PHT876)</f>
        <v>69</v>
      </c>
      <c r="PHW876" s="245"/>
      <c r="PHX876" s="7" t="s">
        <v>23</v>
      </c>
      <c r="PHY876" s="29"/>
      <c r="PHZ876" s="44">
        <v>44198</v>
      </c>
      <c r="PIA876" s="30" t="s">
        <v>22</v>
      </c>
      <c r="PIB876" s="31">
        <v>20890</v>
      </c>
      <c r="PIC876" s="30">
        <v>1472014</v>
      </c>
      <c r="PID876" s="30">
        <f ca="1">YEAR(TODAY())-YEAR(PIB876)</f>
        <v>69</v>
      </c>
      <c r="PIE876" s="245"/>
      <c r="PIF876" s="7" t="s">
        <v>23</v>
      </c>
      <c r="PIG876" s="29"/>
      <c r="PIH876" s="44">
        <v>44198</v>
      </c>
      <c r="PII876" s="30" t="s">
        <v>22</v>
      </c>
      <c r="PIJ876" s="31">
        <v>20890</v>
      </c>
      <c r="PIK876" s="30">
        <v>1472014</v>
      </c>
      <c r="PIL876" s="30">
        <f ca="1">YEAR(TODAY())-YEAR(PIJ876)</f>
        <v>69</v>
      </c>
      <c r="PIM876" s="245"/>
      <c r="PIN876" s="7" t="s">
        <v>23</v>
      </c>
      <c r="PIO876" s="29"/>
      <c r="PIP876" s="44">
        <v>44198</v>
      </c>
      <c r="PIQ876" s="30" t="s">
        <v>22</v>
      </c>
      <c r="PIR876" s="31">
        <v>20890</v>
      </c>
      <c r="PIS876" s="30">
        <v>1472014</v>
      </c>
      <c r="PIT876" s="30">
        <f ca="1">YEAR(TODAY())-YEAR(PIR876)</f>
        <v>69</v>
      </c>
      <c r="PIU876" s="245"/>
      <c r="PIV876" s="7" t="s">
        <v>23</v>
      </c>
      <c r="PIW876" s="29"/>
      <c r="PIX876" s="44">
        <v>44198</v>
      </c>
      <c r="PIY876" s="30" t="s">
        <v>22</v>
      </c>
      <c r="PIZ876" s="31">
        <v>20890</v>
      </c>
      <c r="PJA876" s="30">
        <v>1472014</v>
      </c>
      <c r="PJB876" s="30">
        <f ca="1">YEAR(TODAY())-YEAR(PIZ876)</f>
        <v>69</v>
      </c>
      <c r="PJC876" s="245"/>
      <c r="PJD876" s="7" t="s">
        <v>23</v>
      </c>
      <c r="PJE876" s="29"/>
      <c r="PJF876" s="44">
        <v>44198</v>
      </c>
      <c r="PJG876" s="30" t="s">
        <v>22</v>
      </c>
      <c r="PJH876" s="31">
        <v>20890</v>
      </c>
      <c r="PJI876" s="30">
        <v>1472014</v>
      </c>
      <c r="PJJ876" s="30">
        <f ca="1">YEAR(TODAY())-YEAR(PJH876)</f>
        <v>69</v>
      </c>
      <c r="PJK876" s="245"/>
      <c r="PJL876" s="7" t="s">
        <v>23</v>
      </c>
      <c r="PJM876" s="29"/>
      <c r="PJN876" s="44">
        <v>44198</v>
      </c>
      <c r="PJO876" s="30" t="s">
        <v>22</v>
      </c>
      <c r="PJP876" s="31">
        <v>20890</v>
      </c>
      <c r="PJQ876" s="30">
        <v>1472014</v>
      </c>
      <c r="PJR876" s="30">
        <f ca="1">YEAR(TODAY())-YEAR(PJP876)</f>
        <v>69</v>
      </c>
      <c r="PJS876" s="245"/>
      <c r="PJT876" s="7" t="s">
        <v>23</v>
      </c>
      <c r="PJU876" s="29"/>
      <c r="PJV876" s="44">
        <v>44198</v>
      </c>
      <c r="PJW876" s="30" t="s">
        <v>22</v>
      </c>
      <c r="PJX876" s="31">
        <v>20890</v>
      </c>
      <c r="PJY876" s="30">
        <v>1472014</v>
      </c>
      <c r="PJZ876" s="30">
        <f ca="1">YEAR(TODAY())-YEAR(PJX876)</f>
        <v>69</v>
      </c>
      <c r="PKA876" s="245"/>
      <c r="PKB876" s="7" t="s">
        <v>23</v>
      </c>
      <c r="PKC876" s="29"/>
      <c r="PKD876" s="44">
        <v>44198</v>
      </c>
      <c r="PKE876" s="30" t="s">
        <v>22</v>
      </c>
      <c r="PKF876" s="31">
        <v>20890</v>
      </c>
      <c r="PKG876" s="30">
        <v>1472014</v>
      </c>
      <c r="PKH876" s="30">
        <f ca="1">YEAR(TODAY())-YEAR(PKF876)</f>
        <v>69</v>
      </c>
      <c r="PKI876" s="245"/>
      <c r="PKJ876" s="7" t="s">
        <v>23</v>
      </c>
      <c r="PKK876" s="29"/>
      <c r="PKL876" s="44">
        <v>44198</v>
      </c>
      <c r="PKM876" s="30" t="s">
        <v>22</v>
      </c>
      <c r="PKN876" s="31">
        <v>20890</v>
      </c>
      <c r="PKO876" s="30">
        <v>1472014</v>
      </c>
      <c r="PKP876" s="30">
        <f ca="1">YEAR(TODAY())-YEAR(PKN876)</f>
        <v>69</v>
      </c>
      <c r="PKQ876" s="245"/>
      <c r="PKR876" s="7" t="s">
        <v>23</v>
      </c>
      <c r="PKS876" s="29"/>
      <c r="PKT876" s="44">
        <v>44198</v>
      </c>
      <c r="PKU876" s="30" t="s">
        <v>22</v>
      </c>
      <c r="PKV876" s="31">
        <v>20890</v>
      </c>
      <c r="PKW876" s="30">
        <v>1472014</v>
      </c>
      <c r="PKX876" s="30">
        <f ca="1">YEAR(TODAY())-YEAR(PKV876)</f>
        <v>69</v>
      </c>
      <c r="PKY876" s="245"/>
      <c r="PKZ876" s="7" t="s">
        <v>23</v>
      </c>
      <c r="PLA876" s="29"/>
      <c r="PLB876" s="44">
        <v>44198</v>
      </c>
      <c r="PLC876" s="30" t="s">
        <v>22</v>
      </c>
      <c r="PLD876" s="31">
        <v>20890</v>
      </c>
      <c r="PLE876" s="30">
        <v>1472014</v>
      </c>
      <c r="PLF876" s="30">
        <f ca="1">YEAR(TODAY())-YEAR(PLD876)</f>
        <v>69</v>
      </c>
      <c r="PLG876" s="245"/>
      <c r="PLH876" s="7" t="s">
        <v>23</v>
      </c>
      <c r="PLI876" s="29"/>
      <c r="PLJ876" s="44">
        <v>44198</v>
      </c>
      <c r="PLK876" s="30" t="s">
        <v>22</v>
      </c>
      <c r="PLL876" s="31">
        <v>20890</v>
      </c>
      <c r="PLM876" s="30">
        <v>1472014</v>
      </c>
      <c r="PLN876" s="30">
        <f ca="1">YEAR(TODAY())-YEAR(PLL876)</f>
        <v>69</v>
      </c>
      <c r="PLO876" s="245"/>
      <c r="PLP876" s="7" t="s">
        <v>23</v>
      </c>
      <c r="PLQ876" s="29"/>
      <c r="PLR876" s="44">
        <v>44198</v>
      </c>
      <c r="PLS876" s="30" t="s">
        <v>22</v>
      </c>
      <c r="PLT876" s="31">
        <v>20890</v>
      </c>
      <c r="PLU876" s="30">
        <v>1472014</v>
      </c>
      <c r="PLV876" s="30">
        <f ca="1">YEAR(TODAY())-YEAR(PLT876)</f>
        <v>69</v>
      </c>
      <c r="PLW876" s="245"/>
      <c r="PLX876" s="7" t="s">
        <v>23</v>
      </c>
      <c r="PLY876" s="29"/>
      <c r="PLZ876" s="44">
        <v>44198</v>
      </c>
      <c r="PMA876" s="30" t="s">
        <v>22</v>
      </c>
      <c r="PMB876" s="31">
        <v>20890</v>
      </c>
      <c r="PMC876" s="30">
        <v>1472014</v>
      </c>
      <c r="PMD876" s="30">
        <f ca="1">YEAR(TODAY())-YEAR(PMB876)</f>
        <v>69</v>
      </c>
      <c r="PME876" s="245"/>
      <c r="PMF876" s="7" t="s">
        <v>23</v>
      </c>
      <c r="PMG876" s="29"/>
      <c r="PMH876" s="44">
        <v>44198</v>
      </c>
      <c r="PMI876" s="30" t="s">
        <v>22</v>
      </c>
      <c r="PMJ876" s="31">
        <v>20890</v>
      </c>
      <c r="PMK876" s="30">
        <v>1472014</v>
      </c>
      <c r="PML876" s="30">
        <f ca="1">YEAR(TODAY())-YEAR(PMJ876)</f>
        <v>69</v>
      </c>
      <c r="PMM876" s="245"/>
      <c r="PMN876" s="7" t="s">
        <v>23</v>
      </c>
      <c r="PMO876" s="29"/>
      <c r="PMP876" s="44">
        <v>44198</v>
      </c>
      <c r="PMQ876" s="30" t="s">
        <v>22</v>
      </c>
      <c r="PMR876" s="31">
        <v>20890</v>
      </c>
      <c r="PMS876" s="30">
        <v>1472014</v>
      </c>
      <c r="PMT876" s="30">
        <f ca="1">YEAR(TODAY())-YEAR(PMR876)</f>
        <v>69</v>
      </c>
      <c r="PMU876" s="245"/>
      <c r="PMV876" s="7" t="s">
        <v>23</v>
      </c>
      <c r="PMW876" s="29"/>
      <c r="PMX876" s="44">
        <v>44198</v>
      </c>
      <c r="PMY876" s="30" t="s">
        <v>22</v>
      </c>
      <c r="PMZ876" s="31">
        <v>20890</v>
      </c>
      <c r="PNA876" s="30">
        <v>1472014</v>
      </c>
      <c r="PNB876" s="30">
        <f ca="1">YEAR(TODAY())-YEAR(PMZ876)</f>
        <v>69</v>
      </c>
      <c r="PNC876" s="245"/>
      <c r="PND876" s="7" t="s">
        <v>23</v>
      </c>
      <c r="PNE876" s="29"/>
      <c r="PNF876" s="44">
        <v>44198</v>
      </c>
      <c r="PNG876" s="30" t="s">
        <v>22</v>
      </c>
      <c r="PNH876" s="31">
        <v>20890</v>
      </c>
      <c r="PNI876" s="30">
        <v>1472014</v>
      </c>
      <c r="PNJ876" s="30">
        <f ca="1">YEAR(TODAY())-YEAR(PNH876)</f>
        <v>69</v>
      </c>
      <c r="PNK876" s="245"/>
      <c r="PNL876" s="7" t="s">
        <v>23</v>
      </c>
      <c r="PNM876" s="29"/>
      <c r="PNN876" s="44">
        <v>44198</v>
      </c>
      <c r="PNO876" s="30" t="s">
        <v>22</v>
      </c>
      <c r="PNP876" s="31">
        <v>20890</v>
      </c>
      <c r="PNQ876" s="30">
        <v>1472014</v>
      </c>
      <c r="PNR876" s="30">
        <f ca="1">YEAR(TODAY())-YEAR(PNP876)</f>
        <v>69</v>
      </c>
      <c r="PNS876" s="245"/>
      <c r="PNT876" s="7" t="s">
        <v>23</v>
      </c>
      <c r="PNU876" s="29"/>
      <c r="PNV876" s="44">
        <v>44198</v>
      </c>
      <c r="PNW876" s="30" t="s">
        <v>22</v>
      </c>
      <c r="PNX876" s="31">
        <v>20890</v>
      </c>
      <c r="PNY876" s="30">
        <v>1472014</v>
      </c>
      <c r="PNZ876" s="30">
        <f ca="1">YEAR(TODAY())-YEAR(PNX876)</f>
        <v>69</v>
      </c>
      <c r="POA876" s="245"/>
      <c r="POB876" s="7" t="s">
        <v>23</v>
      </c>
      <c r="POC876" s="29"/>
      <c r="POD876" s="44">
        <v>44198</v>
      </c>
      <c r="POE876" s="30" t="s">
        <v>22</v>
      </c>
      <c r="POF876" s="31">
        <v>20890</v>
      </c>
      <c r="POG876" s="30">
        <v>1472014</v>
      </c>
      <c r="POH876" s="30">
        <f ca="1">YEAR(TODAY())-YEAR(POF876)</f>
        <v>69</v>
      </c>
      <c r="POI876" s="245"/>
      <c r="POJ876" s="7" t="s">
        <v>23</v>
      </c>
      <c r="POK876" s="29"/>
      <c r="POL876" s="44">
        <v>44198</v>
      </c>
      <c r="POM876" s="30" t="s">
        <v>22</v>
      </c>
      <c r="PON876" s="31">
        <v>20890</v>
      </c>
      <c r="POO876" s="30">
        <v>1472014</v>
      </c>
      <c r="POP876" s="30">
        <f ca="1">YEAR(TODAY())-YEAR(PON876)</f>
        <v>69</v>
      </c>
      <c r="POQ876" s="245"/>
      <c r="POR876" s="7" t="s">
        <v>23</v>
      </c>
      <c r="POS876" s="29"/>
      <c r="POT876" s="44">
        <v>44198</v>
      </c>
      <c r="POU876" s="30" t="s">
        <v>22</v>
      </c>
      <c r="POV876" s="31">
        <v>20890</v>
      </c>
      <c r="POW876" s="30">
        <v>1472014</v>
      </c>
      <c r="POX876" s="30">
        <f ca="1">YEAR(TODAY())-YEAR(POV876)</f>
        <v>69</v>
      </c>
      <c r="POY876" s="245"/>
      <c r="POZ876" s="7" t="s">
        <v>23</v>
      </c>
      <c r="PPA876" s="29"/>
      <c r="PPB876" s="44">
        <v>44198</v>
      </c>
      <c r="PPC876" s="30" t="s">
        <v>22</v>
      </c>
      <c r="PPD876" s="31">
        <v>20890</v>
      </c>
      <c r="PPE876" s="30">
        <v>1472014</v>
      </c>
      <c r="PPF876" s="30">
        <f ca="1">YEAR(TODAY())-YEAR(PPD876)</f>
        <v>69</v>
      </c>
      <c r="PPG876" s="245"/>
      <c r="PPH876" s="7" t="s">
        <v>23</v>
      </c>
      <c r="PPI876" s="29"/>
      <c r="PPJ876" s="44">
        <v>44198</v>
      </c>
      <c r="PPK876" s="30" t="s">
        <v>22</v>
      </c>
      <c r="PPL876" s="31">
        <v>20890</v>
      </c>
      <c r="PPM876" s="30">
        <v>1472014</v>
      </c>
      <c r="PPN876" s="30">
        <f ca="1">YEAR(TODAY())-YEAR(PPL876)</f>
        <v>69</v>
      </c>
      <c r="PPO876" s="245"/>
      <c r="PPP876" s="7" t="s">
        <v>23</v>
      </c>
      <c r="PPQ876" s="29"/>
      <c r="PPR876" s="44">
        <v>44198</v>
      </c>
      <c r="PPS876" s="30" t="s">
        <v>22</v>
      </c>
      <c r="PPT876" s="31">
        <v>20890</v>
      </c>
      <c r="PPU876" s="30">
        <v>1472014</v>
      </c>
      <c r="PPV876" s="30">
        <f ca="1">YEAR(TODAY())-YEAR(PPT876)</f>
        <v>69</v>
      </c>
      <c r="PPW876" s="245"/>
      <c r="PPX876" s="7" t="s">
        <v>23</v>
      </c>
      <c r="PPY876" s="29"/>
      <c r="PPZ876" s="44">
        <v>44198</v>
      </c>
      <c r="PQA876" s="30" t="s">
        <v>22</v>
      </c>
      <c r="PQB876" s="31">
        <v>20890</v>
      </c>
      <c r="PQC876" s="30">
        <v>1472014</v>
      </c>
      <c r="PQD876" s="30">
        <f ca="1">YEAR(TODAY())-YEAR(PQB876)</f>
        <v>69</v>
      </c>
      <c r="PQE876" s="245"/>
      <c r="PQF876" s="7" t="s">
        <v>23</v>
      </c>
      <c r="PQG876" s="29"/>
      <c r="PQH876" s="44">
        <v>44198</v>
      </c>
      <c r="PQI876" s="30" t="s">
        <v>22</v>
      </c>
      <c r="PQJ876" s="31">
        <v>20890</v>
      </c>
      <c r="PQK876" s="30">
        <v>1472014</v>
      </c>
      <c r="PQL876" s="30">
        <f ca="1">YEAR(TODAY())-YEAR(PQJ876)</f>
        <v>69</v>
      </c>
      <c r="PQM876" s="245"/>
      <c r="PQN876" s="7" t="s">
        <v>23</v>
      </c>
      <c r="PQO876" s="29"/>
      <c r="PQP876" s="44">
        <v>44198</v>
      </c>
      <c r="PQQ876" s="30" t="s">
        <v>22</v>
      </c>
      <c r="PQR876" s="31">
        <v>20890</v>
      </c>
      <c r="PQS876" s="30">
        <v>1472014</v>
      </c>
      <c r="PQT876" s="30">
        <f ca="1">YEAR(TODAY())-YEAR(PQR876)</f>
        <v>69</v>
      </c>
      <c r="PQU876" s="245"/>
      <c r="PQV876" s="7" t="s">
        <v>23</v>
      </c>
      <c r="PQW876" s="29"/>
      <c r="PQX876" s="44">
        <v>44198</v>
      </c>
      <c r="PQY876" s="30" t="s">
        <v>22</v>
      </c>
      <c r="PQZ876" s="31">
        <v>20890</v>
      </c>
      <c r="PRA876" s="30">
        <v>1472014</v>
      </c>
      <c r="PRB876" s="30">
        <f ca="1">YEAR(TODAY())-YEAR(PQZ876)</f>
        <v>69</v>
      </c>
      <c r="PRC876" s="245"/>
      <c r="PRD876" s="7" t="s">
        <v>23</v>
      </c>
      <c r="PRE876" s="29"/>
      <c r="PRF876" s="44">
        <v>44198</v>
      </c>
      <c r="PRG876" s="30" t="s">
        <v>22</v>
      </c>
      <c r="PRH876" s="31">
        <v>20890</v>
      </c>
      <c r="PRI876" s="30">
        <v>1472014</v>
      </c>
      <c r="PRJ876" s="30">
        <f ca="1">YEAR(TODAY())-YEAR(PRH876)</f>
        <v>69</v>
      </c>
      <c r="PRK876" s="245"/>
      <c r="PRL876" s="7" t="s">
        <v>23</v>
      </c>
      <c r="PRM876" s="29"/>
      <c r="PRN876" s="44">
        <v>44198</v>
      </c>
      <c r="PRO876" s="30" t="s">
        <v>22</v>
      </c>
      <c r="PRP876" s="31">
        <v>20890</v>
      </c>
      <c r="PRQ876" s="30">
        <v>1472014</v>
      </c>
      <c r="PRR876" s="30">
        <f ca="1">YEAR(TODAY())-YEAR(PRP876)</f>
        <v>69</v>
      </c>
      <c r="PRS876" s="245"/>
      <c r="PRT876" s="7" t="s">
        <v>23</v>
      </c>
      <c r="PRU876" s="29"/>
      <c r="PRV876" s="44">
        <v>44198</v>
      </c>
      <c r="PRW876" s="30" t="s">
        <v>22</v>
      </c>
      <c r="PRX876" s="31">
        <v>20890</v>
      </c>
      <c r="PRY876" s="30">
        <v>1472014</v>
      </c>
      <c r="PRZ876" s="30">
        <f ca="1">YEAR(TODAY())-YEAR(PRX876)</f>
        <v>69</v>
      </c>
      <c r="PSA876" s="245"/>
      <c r="PSB876" s="7" t="s">
        <v>23</v>
      </c>
      <c r="PSC876" s="29"/>
      <c r="PSD876" s="44">
        <v>44198</v>
      </c>
      <c r="PSE876" s="30" t="s">
        <v>22</v>
      </c>
      <c r="PSF876" s="31">
        <v>20890</v>
      </c>
      <c r="PSG876" s="30">
        <v>1472014</v>
      </c>
      <c r="PSH876" s="30">
        <f ca="1">YEAR(TODAY())-YEAR(PSF876)</f>
        <v>69</v>
      </c>
      <c r="PSI876" s="245"/>
      <c r="PSJ876" s="7" t="s">
        <v>23</v>
      </c>
      <c r="PSK876" s="29"/>
      <c r="PSL876" s="44">
        <v>44198</v>
      </c>
      <c r="PSM876" s="30" t="s">
        <v>22</v>
      </c>
      <c r="PSN876" s="31">
        <v>20890</v>
      </c>
      <c r="PSO876" s="30">
        <v>1472014</v>
      </c>
      <c r="PSP876" s="30">
        <f ca="1">YEAR(TODAY())-YEAR(PSN876)</f>
        <v>69</v>
      </c>
      <c r="PSQ876" s="245"/>
      <c r="PSR876" s="7" t="s">
        <v>23</v>
      </c>
      <c r="PSS876" s="29"/>
      <c r="PST876" s="44">
        <v>44198</v>
      </c>
      <c r="PSU876" s="30" t="s">
        <v>22</v>
      </c>
      <c r="PSV876" s="31">
        <v>20890</v>
      </c>
      <c r="PSW876" s="30">
        <v>1472014</v>
      </c>
      <c r="PSX876" s="30">
        <f ca="1">YEAR(TODAY())-YEAR(PSV876)</f>
        <v>69</v>
      </c>
      <c r="PSY876" s="245"/>
      <c r="PSZ876" s="7" t="s">
        <v>23</v>
      </c>
      <c r="PTA876" s="29"/>
      <c r="PTB876" s="44">
        <v>44198</v>
      </c>
      <c r="PTC876" s="30" t="s">
        <v>22</v>
      </c>
      <c r="PTD876" s="31">
        <v>20890</v>
      </c>
      <c r="PTE876" s="30">
        <v>1472014</v>
      </c>
      <c r="PTF876" s="30">
        <f ca="1">YEAR(TODAY())-YEAR(PTD876)</f>
        <v>69</v>
      </c>
      <c r="PTG876" s="245"/>
      <c r="PTH876" s="7" t="s">
        <v>23</v>
      </c>
      <c r="PTI876" s="29"/>
      <c r="PTJ876" s="44">
        <v>44198</v>
      </c>
      <c r="PTK876" s="30" t="s">
        <v>22</v>
      </c>
      <c r="PTL876" s="31">
        <v>20890</v>
      </c>
      <c r="PTM876" s="30">
        <v>1472014</v>
      </c>
      <c r="PTN876" s="30">
        <f ca="1">YEAR(TODAY())-YEAR(PTL876)</f>
        <v>69</v>
      </c>
      <c r="PTO876" s="245"/>
      <c r="PTP876" s="7" t="s">
        <v>23</v>
      </c>
      <c r="PTQ876" s="29"/>
      <c r="PTR876" s="44">
        <v>44198</v>
      </c>
      <c r="PTS876" s="30" t="s">
        <v>22</v>
      </c>
      <c r="PTT876" s="31">
        <v>20890</v>
      </c>
      <c r="PTU876" s="30">
        <v>1472014</v>
      </c>
      <c r="PTV876" s="30">
        <f ca="1">YEAR(TODAY())-YEAR(PTT876)</f>
        <v>69</v>
      </c>
      <c r="PTW876" s="245"/>
      <c r="PTX876" s="7" t="s">
        <v>23</v>
      </c>
      <c r="PTY876" s="29"/>
      <c r="PTZ876" s="44">
        <v>44198</v>
      </c>
      <c r="PUA876" s="30" t="s">
        <v>22</v>
      </c>
      <c r="PUB876" s="31">
        <v>20890</v>
      </c>
      <c r="PUC876" s="30">
        <v>1472014</v>
      </c>
      <c r="PUD876" s="30">
        <f ca="1">YEAR(TODAY())-YEAR(PUB876)</f>
        <v>69</v>
      </c>
      <c r="PUE876" s="245"/>
      <c r="PUF876" s="7" t="s">
        <v>23</v>
      </c>
      <c r="PUG876" s="29"/>
      <c r="PUH876" s="44">
        <v>44198</v>
      </c>
      <c r="PUI876" s="30" t="s">
        <v>22</v>
      </c>
      <c r="PUJ876" s="31">
        <v>20890</v>
      </c>
      <c r="PUK876" s="30">
        <v>1472014</v>
      </c>
      <c r="PUL876" s="30">
        <f ca="1">YEAR(TODAY())-YEAR(PUJ876)</f>
        <v>69</v>
      </c>
      <c r="PUM876" s="245"/>
      <c r="PUN876" s="7" t="s">
        <v>23</v>
      </c>
      <c r="PUO876" s="29"/>
      <c r="PUP876" s="44">
        <v>44198</v>
      </c>
      <c r="PUQ876" s="30" t="s">
        <v>22</v>
      </c>
      <c r="PUR876" s="31">
        <v>20890</v>
      </c>
      <c r="PUS876" s="30">
        <v>1472014</v>
      </c>
      <c r="PUT876" s="30">
        <f ca="1">YEAR(TODAY())-YEAR(PUR876)</f>
        <v>69</v>
      </c>
      <c r="PUU876" s="245"/>
      <c r="PUV876" s="7" t="s">
        <v>23</v>
      </c>
      <c r="PUW876" s="29"/>
      <c r="PUX876" s="44">
        <v>44198</v>
      </c>
      <c r="PUY876" s="30" t="s">
        <v>22</v>
      </c>
      <c r="PUZ876" s="31">
        <v>20890</v>
      </c>
      <c r="PVA876" s="30">
        <v>1472014</v>
      </c>
      <c r="PVB876" s="30">
        <f ca="1">YEAR(TODAY())-YEAR(PUZ876)</f>
        <v>69</v>
      </c>
      <c r="PVC876" s="245"/>
      <c r="PVD876" s="7" t="s">
        <v>23</v>
      </c>
      <c r="PVE876" s="29"/>
      <c r="PVF876" s="44">
        <v>44198</v>
      </c>
      <c r="PVG876" s="30" t="s">
        <v>22</v>
      </c>
      <c r="PVH876" s="31">
        <v>20890</v>
      </c>
      <c r="PVI876" s="30">
        <v>1472014</v>
      </c>
      <c r="PVJ876" s="30">
        <f ca="1">YEAR(TODAY())-YEAR(PVH876)</f>
        <v>69</v>
      </c>
      <c r="PVK876" s="245"/>
      <c r="PVL876" s="7" t="s">
        <v>23</v>
      </c>
      <c r="PVM876" s="29"/>
      <c r="PVN876" s="44">
        <v>44198</v>
      </c>
      <c r="PVO876" s="30" t="s">
        <v>22</v>
      </c>
      <c r="PVP876" s="31">
        <v>20890</v>
      </c>
      <c r="PVQ876" s="30">
        <v>1472014</v>
      </c>
      <c r="PVR876" s="30">
        <f ca="1">YEAR(TODAY())-YEAR(PVP876)</f>
        <v>69</v>
      </c>
      <c r="PVS876" s="245"/>
      <c r="PVT876" s="7" t="s">
        <v>23</v>
      </c>
      <c r="PVU876" s="29"/>
      <c r="PVV876" s="44">
        <v>44198</v>
      </c>
      <c r="PVW876" s="30" t="s">
        <v>22</v>
      </c>
      <c r="PVX876" s="31">
        <v>20890</v>
      </c>
      <c r="PVY876" s="30">
        <v>1472014</v>
      </c>
      <c r="PVZ876" s="30">
        <f ca="1">YEAR(TODAY())-YEAR(PVX876)</f>
        <v>69</v>
      </c>
      <c r="PWA876" s="245"/>
      <c r="PWB876" s="7" t="s">
        <v>23</v>
      </c>
      <c r="PWC876" s="29"/>
      <c r="PWD876" s="44">
        <v>44198</v>
      </c>
      <c r="PWE876" s="30" t="s">
        <v>22</v>
      </c>
      <c r="PWF876" s="31">
        <v>20890</v>
      </c>
      <c r="PWG876" s="30">
        <v>1472014</v>
      </c>
      <c r="PWH876" s="30">
        <f ca="1">YEAR(TODAY())-YEAR(PWF876)</f>
        <v>69</v>
      </c>
      <c r="PWI876" s="245"/>
      <c r="PWJ876" s="7" t="s">
        <v>23</v>
      </c>
      <c r="PWK876" s="29"/>
      <c r="PWL876" s="44">
        <v>44198</v>
      </c>
      <c r="PWM876" s="30" t="s">
        <v>22</v>
      </c>
      <c r="PWN876" s="31">
        <v>20890</v>
      </c>
      <c r="PWO876" s="30">
        <v>1472014</v>
      </c>
      <c r="PWP876" s="30">
        <f ca="1">YEAR(TODAY())-YEAR(PWN876)</f>
        <v>69</v>
      </c>
      <c r="PWQ876" s="245"/>
      <c r="PWR876" s="7" t="s">
        <v>23</v>
      </c>
      <c r="PWS876" s="29"/>
      <c r="PWT876" s="44">
        <v>44198</v>
      </c>
      <c r="PWU876" s="30" t="s">
        <v>22</v>
      </c>
      <c r="PWV876" s="31">
        <v>20890</v>
      </c>
      <c r="PWW876" s="30">
        <v>1472014</v>
      </c>
      <c r="PWX876" s="30">
        <f ca="1">YEAR(TODAY())-YEAR(PWV876)</f>
        <v>69</v>
      </c>
      <c r="PWY876" s="245"/>
      <c r="PWZ876" s="7" t="s">
        <v>23</v>
      </c>
      <c r="PXA876" s="29"/>
      <c r="PXB876" s="44">
        <v>44198</v>
      </c>
      <c r="PXC876" s="30" t="s">
        <v>22</v>
      </c>
      <c r="PXD876" s="31">
        <v>20890</v>
      </c>
      <c r="PXE876" s="30">
        <v>1472014</v>
      </c>
      <c r="PXF876" s="30">
        <f ca="1">YEAR(TODAY())-YEAR(PXD876)</f>
        <v>69</v>
      </c>
      <c r="PXG876" s="245"/>
      <c r="PXH876" s="7" t="s">
        <v>23</v>
      </c>
      <c r="PXI876" s="29"/>
      <c r="PXJ876" s="44">
        <v>44198</v>
      </c>
      <c r="PXK876" s="30" t="s">
        <v>22</v>
      </c>
      <c r="PXL876" s="31">
        <v>20890</v>
      </c>
      <c r="PXM876" s="30">
        <v>1472014</v>
      </c>
      <c r="PXN876" s="30">
        <f ca="1">YEAR(TODAY())-YEAR(PXL876)</f>
        <v>69</v>
      </c>
      <c r="PXO876" s="245"/>
      <c r="PXP876" s="7" t="s">
        <v>23</v>
      </c>
      <c r="PXQ876" s="29"/>
      <c r="PXR876" s="44">
        <v>44198</v>
      </c>
      <c r="PXS876" s="30" t="s">
        <v>22</v>
      </c>
      <c r="PXT876" s="31">
        <v>20890</v>
      </c>
      <c r="PXU876" s="30">
        <v>1472014</v>
      </c>
      <c r="PXV876" s="30">
        <f ca="1">YEAR(TODAY())-YEAR(PXT876)</f>
        <v>69</v>
      </c>
      <c r="PXW876" s="245"/>
      <c r="PXX876" s="7" t="s">
        <v>23</v>
      </c>
      <c r="PXY876" s="29"/>
      <c r="PXZ876" s="44">
        <v>44198</v>
      </c>
      <c r="PYA876" s="30" t="s">
        <v>22</v>
      </c>
      <c r="PYB876" s="31">
        <v>20890</v>
      </c>
      <c r="PYC876" s="30">
        <v>1472014</v>
      </c>
      <c r="PYD876" s="30">
        <f ca="1">YEAR(TODAY())-YEAR(PYB876)</f>
        <v>69</v>
      </c>
      <c r="PYE876" s="245"/>
      <c r="PYF876" s="7" t="s">
        <v>23</v>
      </c>
      <c r="PYG876" s="29"/>
      <c r="PYH876" s="44">
        <v>44198</v>
      </c>
      <c r="PYI876" s="30" t="s">
        <v>22</v>
      </c>
      <c r="PYJ876" s="31">
        <v>20890</v>
      </c>
      <c r="PYK876" s="30">
        <v>1472014</v>
      </c>
      <c r="PYL876" s="30">
        <f ca="1">YEAR(TODAY())-YEAR(PYJ876)</f>
        <v>69</v>
      </c>
      <c r="PYM876" s="245"/>
      <c r="PYN876" s="7" t="s">
        <v>23</v>
      </c>
      <c r="PYO876" s="29"/>
      <c r="PYP876" s="44">
        <v>44198</v>
      </c>
      <c r="PYQ876" s="30" t="s">
        <v>22</v>
      </c>
      <c r="PYR876" s="31">
        <v>20890</v>
      </c>
      <c r="PYS876" s="30">
        <v>1472014</v>
      </c>
      <c r="PYT876" s="30">
        <f ca="1">YEAR(TODAY())-YEAR(PYR876)</f>
        <v>69</v>
      </c>
      <c r="PYU876" s="245"/>
      <c r="PYV876" s="7" t="s">
        <v>23</v>
      </c>
      <c r="PYW876" s="29"/>
      <c r="PYX876" s="44">
        <v>44198</v>
      </c>
      <c r="PYY876" s="30" t="s">
        <v>22</v>
      </c>
      <c r="PYZ876" s="31">
        <v>20890</v>
      </c>
      <c r="PZA876" s="30">
        <v>1472014</v>
      </c>
      <c r="PZB876" s="30">
        <f ca="1">YEAR(TODAY())-YEAR(PYZ876)</f>
        <v>69</v>
      </c>
      <c r="PZC876" s="245"/>
      <c r="PZD876" s="7" t="s">
        <v>23</v>
      </c>
      <c r="PZE876" s="29"/>
      <c r="PZF876" s="44">
        <v>44198</v>
      </c>
      <c r="PZG876" s="30" t="s">
        <v>22</v>
      </c>
      <c r="PZH876" s="31">
        <v>20890</v>
      </c>
      <c r="PZI876" s="30">
        <v>1472014</v>
      </c>
      <c r="PZJ876" s="30">
        <f ca="1">YEAR(TODAY())-YEAR(PZH876)</f>
        <v>69</v>
      </c>
      <c r="PZK876" s="245"/>
      <c r="PZL876" s="7" t="s">
        <v>23</v>
      </c>
      <c r="PZM876" s="29"/>
      <c r="PZN876" s="44">
        <v>44198</v>
      </c>
      <c r="PZO876" s="30" t="s">
        <v>22</v>
      </c>
      <c r="PZP876" s="31">
        <v>20890</v>
      </c>
      <c r="PZQ876" s="30">
        <v>1472014</v>
      </c>
      <c r="PZR876" s="30">
        <f ca="1">YEAR(TODAY())-YEAR(PZP876)</f>
        <v>69</v>
      </c>
      <c r="PZS876" s="245"/>
      <c r="PZT876" s="7" t="s">
        <v>23</v>
      </c>
      <c r="PZU876" s="29"/>
      <c r="PZV876" s="44">
        <v>44198</v>
      </c>
      <c r="PZW876" s="30" t="s">
        <v>22</v>
      </c>
      <c r="PZX876" s="31">
        <v>20890</v>
      </c>
      <c r="PZY876" s="30">
        <v>1472014</v>
      </c>
      <c r="PZZ876" s="30">
        <f ca="1">YEAR(TODAY())-YEAR(PZX876)</f>
        <v>69</v>
      </c>
      <c r="QAA876" s="245"/>
      <c r="QAB876" s="7" t="s">
        <v>23</v>
      </c>
      <c r="QAC876" s="29"/>
      <c r="QAD876" s="44">
        <v>44198</v>
      </c>
      <c r="QAE876" s="30" t="s">
        <v>22</v>
      </c>
      <c r="QAF876" s="31">
        <v>20890</v>
      </c>
      <c r="QAG876" s="30">
        <v>1472014</v>
      </c>
      <c r="QAH876" s="30">
        <f ca="1">YEAR(TODAY())-YEAR(QAF876)</f>
        <v>69</v>
      </c>
      <c r="QAI876" s="245"/>
      <c r="QAJ876" s="7" t="s">
        <v>23</v>
      </c>
      <c r="QAK876" s="29"/>
      <c r="QAL876" s="44">
        <v>44198</v>
      </c>
      <c r="QAM876" s="30" t="s">
        <v>22</v>
      </c>
      <c r="QAN876" s="31">
        <v>20890</v>
      </c>
      <c r="QAO876" s="30">
        <v>1472014</v>
      </c>
      <c r="QAP876" s="30">
        <f ca="1">YEAR(TODAY())-YEAR(QAN876)</f>
        <v>69</v>
      </c>
      <c r="QAQ876" s="245"/>
      <c r="QAR876" s="7" t="s">
        <v>23</v>
      </c>
      <c r="QAS876" s="29"/>
      <c r="QAT876" s="44">
        <v>44198</v>
      </c>
      <c r="QAU876" s="30" t="s">
        <v>22</v>
      </c>
      <c r="QAV876" s="31">
        <v>20890</v>
      </c>
      <c r="QAW876" s="30">
        <v>1472014</v>
      </c>
      <c r="QAX876" s="30">
        <f ca="1">YEAR(TODAY())-YEAR(QAV876)</f>
        <v>69</v>
      </c>
      <c r="QAY876" s="245"/>
      <c r="QAZ876" s="7" t="s">
        <v>23</v>
      </c>
      <c r="QBA876" s="29"/>
      <c r="QBB876" s="44">
        <v>44198</v>
      </c>
      <c r="QBC876" s="30" t="s">
        <v>22</v>
      </c>
      <c r="QBD876" s="31">
        <v>20890</v>
      </c>
      <c r="QBE876" s="30">
        <v>1472014</v>
      </c>
      <c r="QBF876" s="30">
        <f ca="1">YEAR(TODAY())-YEAR(QBD876)</f>
        <v>69</v>
      </c>
      <c r="QBG876" s="245"/>
      <c r="QBH876" s="7" t="s">
        <v>23</v>
      </c>
      <c r="QBI876" s="29"/>
      <c r="QBJ876" s="44">
        <v>44198</v>
      </c>
      <c r="QBK876" s="30" t="s">
        <v>22</v>
      </c>
      <c r="QBL876" s="31">
        <v>20890</v>
      </c>
      <c r="QBM876" s="30">
        <v>1472014</v>
      </c>
      <c r="QBN876" s="30">
        <f ca="1">YEAR(TODAY())-YEAR(QBL876)</f>
        <v>69</v>
      </c>
      <c r="QBO876" s="245"/>
      <c r="QBP876" s="7" t="s">
        <v>23</v>
      </c>
      <c r="QBQ876" s="29"/>
      <c r="QBR876" s="44">
        <v>44198</v>
      </c>
      <c r="QBS876" s="30" t="s">
        <v>22</v>
      </c>
      <c r="QBT876" s="31">
        <v>20890</v>
      </c>
      <c r="QBU876" s="30">
        <v>1472014</v>
      </c>
      <c r="QBV876" s="30">
        <f ca="1">YEAR(TODAY())-YEAR(QBT876)</f>
        <v>69</v>
      </c>
      <c r="QBW876" s="245"/>
      <c r="QBX876" s="7" t="s">
        <v>23</v>
      </c>
      <c r="QBY876" s="29"/>
      <c r="QBZ876" s="44">
        <v>44198</v>
      </c>
      <c r="QCA876" s="30" t="s">
        <v>22</v>
      </c>
      <c r="QCB876" s="31">
        <v>20890</v>
      </c>
      <c r="QCC876" s="30">
        <v>1472014</v>
      </c>
      <c r="QCD876" s="30">
        <f ca="1">YEAR(TODAY())-YEAR(QCB876)</f>
        <v>69</v>
      </c>
      <c r="QCE876" s="245"/>
      <c r="QCF876" s="7" t="s">
        <v>23</v>
      </c>
      <c r="QCG876" s="29"/>
      <c r="QCH876" s="44">
        <v>44198</v>
      </c>
      <c r="QCI876" s="30" t="s">
        <v>22</v>
      </c>
      <c r="QCJ876" s="31">
        <v>20890</v>
      </c>
      <c r="QCK876" s="30">
        <v>1472014</v>
      </c>
      <c r="QCL876" s="30">
        <f ca="1">YEAR(TODAY())-YEAR(QCJ876)</f>
        <v>69</v>
      </c>
      <c r="QCM876" s="245"/>
      <c r="QCN876" s="7" t="s">
        <v>23</v>
      </c>
      <c r="QCO876" s="29"/>
      <c r="QCP876" s="44">
        <v>44198</v>
      </c>
      <c r="QCQ876" s="30" t="s">
        <v>22</v>
      </c>
      <c r="QCR876" s="31">
        <v>20890</v>
      </c>
      <c r="QCS876" s="30">
        <v>1472014</v>
      </c>
      <c r="QCT876" s="30">
        <f ca="1">YEAR(TODAY())-YEAR(QCR876)</f>
        <v>69</v>
      </c>
      <c r="QCU876" s="245"/>
      <c r="QCV876" s="7" t="s">
        <v>23</v>
      </c>
      <c r="QCW876" s="29"/>
      <c r="QCX876" s="44">
        <v>44198</v>
      </c>
      <c r="QCY876" s="30" t="s">
        <v>22</v>
      </c>
      <c r="QCZ876" s="31">
        <v>20890</v>
      </c>
      <c r="QDA876" s="30">
        <v>1472014</v>
      </c>
      <c r="QDB876" s="30">
        <f ca="1">YEAR(TODAY())-YEAR(QCZ876)</f>
        <v>69</v>
      </c>
      <c r="QDC876" s="245"/>
      <c r="QDD876" s="7" t="s">
        <v>23</v>
      </c>
      <c r="QDE876" s="29"/>
      <c r="QDF876" s="44">
        <v>44198</v>
      </c>
      <c r="QDG876" s="30" t="s">
        <v>22</v>
      </c>
      <c r="QDH876" s="31">
        <v>20890</v>
      </c>
      <c r="QDI876" s="30">
        <v>1472014</v>
      </c>
      <c r="QDJ876" s="30">
        <f ca="1">YEAR(TODAY())-YEAR(QDH876)</f>
        <v>69</v>
      </c>
      <c r="QDK876" s="245"/>
      <c r="QDL876" s="7" t="s">
        <v>23</v>
      </c>
      <c r="QDM876" s="29"/>
      <c r="QDN876" s="44">
        <v>44198</v>
      </c>
      <c r="QDO876" s="30" t="s">
        <v>22</v>
      </c>
      <c r="QDP876" s="31">
        <v>20890</v>
      </c>
      <c r="QDQ876" s="30">
        <v>1472014</v>
      </c>
      <c r="QDR876" s="30">
        <f ca="1">YEAR(TODAY())-YEAR(QDP876)</f>
        <v>69</v>
      </c>
      <c r="QDS876" s="245"/>
      <c r="QDT876" s="7" t="s">
        <v>23</v>
      </c>
      <c r="QDU876" s="29"/>
      <c r="QDV876" s="44">
        <v>44198</v>
      </c>
      <c r="QDW876" s="30" t="s">
        <v>22</v>
      </c>
      <c r="QDX876" s="31">
        <v>20890</v>
      </c>
      <c r="QDY876" s="30">
        <v>1472014</v>
      </c>
      <c r="QDZ876" s="30">
        <f ca="1">YEAR(TODAY())-YEAR(QDX876)</f>
        <v>69</v>
      </c>
      <c r="QEA876" s="245"/>
      <c r="QEB876" s="7" t="s">
        <v>23</v>
      </c>
      <c r="QEC876" s="29"/>
      <c r="QED876" s="44">
        <v>44198</v>
      </c>
      <c r="QEE876" s="30" t="s">
        <v>22</v>
      </c>
      <c r="QEF876" s="31">
        <v>20890</v>
      </c>
      <c r="QEG876" s="30">
        <v>1472014</v>
      </c>
      <c r="QEH876" s="30">
        <f ca="1">YEAR(TODAY())-YEAR(QEF876)</f>
        <v>69</v>
      </c>
      <c r="QEI876" s="245"/>
      <c r="QEJ876" s="7" t="s">
        <v>23</v>
      </c>
      <c r="QEK876" s="29"/>
      <c r="QEL876" s="44">
        <v>44198</v>
      </c>
      <c r="QEM876" s="30" t="s">
        <v>22</v>
      </c>
      <c r="QEN876" s="31">
        <v>20890</v>
      </c>
      <c r="QEO876" s="30">
        <v>1472014</v>
      </c>
      <c r="QEP876" s="30">
        <f ca="1">YEAR(TODAY())-YEAR(QEN876)</f>
        <v>69</v>
      </c>
      <c r="QEQ876" s="245"/>
      <c r="QER876" s="7" t="s">
        <v>23</v>
      </c>
      <c r="QES876" s="29"/>
      <c r="QET876" s="44">
        <v>44198</v>
      </c>
      <c r="QEU876" s="30" t="s">
        <v>22</v>
      </c>
      <c r="QEV876" s="31">
        <v>20890</v>
      </c>
      <c r="QEW876" s="30">
        <v>1472014</v>
      </c>
      <c r="QEX876" s="30">
        <f ca="1">YEAR(TODAY())-YEAR(QEV876)</f>
        <v>69</v>
      </c>
      <c r="QEY876" s="245"/>
      <c r="QEZ876" s="7" t="s">
        <v>23</v>
      </c>
      <c r="QFA876" s="29"/>
      <c r="QFB876" s="44">
        <v>44198</v>
      </c>
      <c r="QFC876" s="30" t="s">
        <v>22</v>
      </c>
      <c r="QFD876" s="31">
        <v>20890</v>
      </c>
      <c r="QFE876" s="30">
        <v>1472014</v>
      </c>
      <c r="QFF876" s="30">
        <f ca="1">YEAR(TODAY())-YEAR(QFD876)</f>
        <v>69</v>
      </c>
      <c r="QFG876" s="245"/>
      <c r="QFH876" s="7" t="s">
        <v>23</v>
      </c>
      <c r="QFI876" s="29"/>
      <c r="QFJ876" s="44">
        <v>44198</v>
      </c>
      <c r="QFK876" s="30" t="s">
        <v>22</v>
      </c>
      <c r="QFL876" s="31">
        <v>20890</v>
      </c>
      <c r="QFM876" s="30">
        <v>1472014</v>
      </c>
      <c r="QFN876" s="30">
        <f ca="1">YEAR(TODAY())-YEAR(QFL876)</f>
        <v>69</v>
      </c>
      <c r="QFO876" s="245"/>
      <c r="QFP876" s="7" t="s">
        <v>23</v>
      </c>
      <c r="QFQ876" s="29"/>
      <c r="QFR876" s="44">
        <v>44198</v>
      </c>
      <c r="QFS876" s="30" t="s">
        <v>22</v>
      </c>
      <c r="QFT876" s="31">
        <v>20890</v>
      </c>
      <c r="QFU876" s="30">
        <v>1472014</v>
      </c>
      <c r="QFV876" s="30">
        <f ca="1">YEAR(TODAY())-YEAR(QFT876)</f>
        <v>69</v>
      </c>
      <c r="QFW876" s="245"/>
      <c r="QFX876" s="7" t="s">
        <v>23</v>
      </c>
      <c r="QFY876" s="29"/>
      <c r="QFZ876" s="44">
        <v>44198</v>
      </c>
      <c r="QGA876" s="30" t="s">
        <v>22</v>
      </c>
      <c r="QGB876" s="31">
        <v>20890</v>
      </c>
      <c r="QGC876" s="30">
        <v>1472014</v>
      </c>
      <c r="QGD876" s="30">
        <f ca="1">YEAR(TODAY())-YEAR(QGB876)</f>
        <v>69</v>
      </c>
      <c r="QGE876" s="245"/>
      <c r="QGF876" s="7" t="s">
        <v>23</v>
      </c>
      <c r="QGG876" s="29"/>
      <c r="QGH876" s="44">
        <v>44198</v>
      </c>
      <c r="QGI876" s="30" t="s">
        <v>22</v>
      </c>
      <c r="QGJ876" s="31">
        <v>20890</v>
      </c>
      <c r="QGK876" s="30">
        <v>1472014</v>
      </c>
      <c r="QGL876" s="30">
        <f ca="1">YEAR(TODAY())-YEAR(QGJ876)</f>
        <v>69</v>
      </c>
      <c r="QGM876" s="245"/>
      <c r="QGN876" s="7" t="s">
        <v>23</v>
      </c>
      <c r="QGO876" s="29"/>
      <c r="QGP876" s="44">
        <v>44198</v>
      </c>
      <c r="QGQ876" s="30" t="s">
        <v>22</v>
      </c>
      <c r="QGR876" s="31">
        <v>20890</v>
      </c>
      <c r="QGS876" s="30">
        <v>1472014</v>
      </c>
      <c r="QGT876" s="30">
        <f ca="1">YEAR(TODAY())-YEAR(QGR876)</f>
        <v>69</v>
      </c>
      <c r="QGU876" s="245"/>
      <c r="QGV876" s="7" t="s">
        <v>23</v>
      </c>
      <c r="QGW876" s="29"/>
      <c r="QGX876" s="44">
        <v>44198</v>
      </c>
      <c r="QGY876" s="30" t="s">
        <v>22</v>
      </c>
      <c r="QGZ876" s="31">
        <v>20890</v>
      </c>
      <c r="QHA876" s="30">
        <v>1472014</v>
      </c>
      <c r="QHB876" s="30">
        <f ca="1">YEAR(TODAY())-YEAR(QGZ876)</f>
        <v>69</v>
      </c>
      <c r="QHC876" s="245"/>
      <c r="QHD876" s="7" t="s">
        <v>23</v>
      </c>
      <c r="QHE876" s="29"/>
      <c r="QHF876" s="44">
        <v>44198</v>
      </c>
      <c r="QHG876" s="30" t="s">
        <v>22</v>
      </c>
      <c r="QHH876" s="31">
        <v>20890</v>
      </c>
      <c r="QHI876" s="30">
        <v>1472014</v>
      </c>
      <c r="QHJ876" s="30">
        <f ca="1">YEAR(TODAY())-YEAR(QHH876)</f>
        <v>69</v>
      </c>
      <c r="QHK876" s="245"/>
      <c r="QHL876" s="7" t="s">
        <v>23</v>
      </c>
      <c r="QHM876" s="29"/>
      <c r="QHN876" s="44">
        <v>44198</v>
      </c>
      <c r="QHO876" s="30" t="s">
        <v>22</v>
      </c>
      <c r="QHP876" s="31">
        <v>20890</v>
      </c>
      <c r="QHQ876" s="30">
        <v>1472014</v>
      </c>
      <c r="QHR876" s="30">
        <f ca="1">YEAR(TODAY())-YEAR(QHP876)</f>
        <v>69</v>
      </c>
      <c r="QHS876" s="245"/>
      <c r="QHT876" s="7" t="s">
        <v>23</v>
      </c>
      <c r="QHU876" s="29"/>
      <c r="QHV876" s="44">
        <v>44198</v>
      </c>
      <c r="QHW876" s="30" t="s">
        <v>22</v>
      </c>
      <c r="QHX876" s="31">
        <v>20890</v>
      </c>
      <c r="QHY876" s="30">
        <v>1472014</v>
      </c>
      <c r="QHZ876" s="30">
        <f ca="1">YEAR(TODAY())-YEAR(QHX876)</f>
        <v>69</v>
      </c>
      <c r="QIA876" s="245"/>
      <c r="QIB876" s="7" t="s">
        <v>23</v>
      </c>
      <c r="QIC876" s="29"/>
      <c r="QID876" s="44">
        <v>44198</v>
      </c>
      <c r="QIE876" s="30" t="s">
        <v>22</v>
      </c>
      <c r="QIF876" s="31">
        <v>20890</v>
      </c>
      <c r="QIG876" s="30">
        <v>1472014</v>
      </c>
      <c r="QIH876" s="30">
        <f ca="1">YEAR(TODAY())-YEAR(QIF876)</f>
        <v>69</v>
      </c>
      <c r="QII876" s="245"/>
      <c r="QIJ876" s="7" t="s">
        <v>23</v>
      </c>
      <c r="QIK876" s="29"/>
      <c r="QIL876" s="44">
        <v>44198</v>
      </c>
      <c r="QIM876" s="30" t="s">
        <v>22</v>
      </c>
      <c r="QIN876" s="31">
        <v>20890</v>
      </c>
      <c r="QIO876" s="30">
        <v>1472014</v>
      </c>
      <c r="QIP876" s="30">
        <f ca="1">YEAR(TODAY())-YEAR(QIN876)</f>
        <v>69</v>
      </c>
      <c r="QIQ876" s="245"/>
      <c r="QIR876" s="7" t="s">
        <v>23</v>
      </c>
      <c r="QIS876" s="29"/>
      <c r="QIT876" s="44">
        <v>44198</v>
      </c>
      <c r="QIU876" s="30" t="s">
        <v>22</v>
      </c>
      <c r="QIV876" s="31">
        <v>20890</v>
      </c>
      <c r="QIW876" s="30">
        <v>1472014</v>
      </c>
      <c r="QIX876" s="30">
        <f ca="1">YEAR(TODAY())-YEAR(QIV876)</f>
        <v>69</v>
      </c>
      <c r="QIY876" s="245"/>
      <c r="QIZ876" s="7" t="s">
        <v>23</v>
      </c>
      <c r="QJA876" s="29"/>
      <c r="QJB876" s="44">
        <v>44198</v>
      </c>
      <c r="QJC876" s="30" t="s">
        <v>22</v>
      </c>
      <c r="QJD876" s="31">
        <v>20890</v>
      </c>
      <c r="QJE876" s="30">
        <v>1472014</v>
      </c>
      <c r="QJF876" s="30">
        <f ca="1">YEAR(TODAY())-YEAR(QJD876)</f>
        <v>69</v>
      </c>
      <c r="QJG876" s="245"/>
      <c r="QJH876" s="7" t="s">
        <v>23</v>
      </c>
      <c r="QJI876" s="29"/>
      <c r="QJJ876" s="44">
        <v>44198</v>
      </c>
      <c r="QJK876" s="30" t="s">
        <v>22</v>
      </c>
      <c r="QJL876" s="31">
        <v>20890</v>
      </c>
      <c r="QJM876" s="30">
        <v>1472014</v>
      </c>
      <c r="QJN876" s="30">
        <f ca="1">YEAR(TODAY())-YEAR(QJL876)</f>
        <v>69</v>
      </c>
      <c r="QJO876" s="245"/>
      <c r="QJP876" s="7" t="s">
        <v>23</v>
      </c>
      <c r="QJQ876" s="29"/>
      <c r="QJR876" s="44">
        <v>44198</v>
      </c>
      <c r="QJS876" s="30" t="s">
        <v>22</v>
      </c>
      <c r="QJT876" s="31">
        <v>20890</v>
      </c>
      <c r="QJU876" s="30">
        <v>1472014</v>
      </c>
      <c r="QJV876" s="30">
        <f ca="1">YEAR(TODAY())-YEAR(QJT876)</f>
        <v>69</v>
      </c>
      <c r="QJW876" s="245"/>
      <c r="QJX876" s="7" t="s">
        <v>23</v>
      </c>
      <c r="QJY876" s="29"/>
      <c r="QJZ876" s="44">
        <v>44198</v>
      </c>
      <c r="QKA876" s="30" t="s">
        <v>22</v>
      </c>
      <c r="QKB876" s="31">
        <v>20890</v>
      </c>
      <c r="QKC876" s="30">
        <v>1472014</v>
      </c>
      <c r="QKD876" s="30">
        <f ca="1">YEAR(TODAY())-YEAR(QKB876)</f>
        <v>69</v>
      </c>
      <c r="QKE876" s="245"/>
      <c r="QKF876" s="7" t="s">
        <v>23</v>
      </c>
      <c r="QKG876" s="29"/>
      <c r="QKH876" s="44">
        <v>44198</v>
      </c>
      <c r="QKI876" s="30" t="s">
        <v>22</v>
      </c>
      <c r="QKJ876" s="31">
        <v>20890</v>
      </c>
      <c r="QKK876" s="30">
        <v>1472014</v>
      </c>
      <c r="QKL876" s="30">
        <f ca="1">YEAR(TODAY())-YEAR(QKJ876)</f>
        <v>69</v>
      </c>
      <c r="QKM876" s="245"/>
      <c r="QKN876" s="7" t="s">
        <v>23</v>
      </c>
      <c r="QKO876" s="29"/>
      <c r="QKP876" s="44">
        <v>44198</v>
      </c>
      <c r="QKQ876" s="30" t="s">
        <v>22</v>
      </c>
      <c r="QKR876" s="31">
        <v>20890</v>
      </c>
      <c r="QKS876" s="30">
        <v>1472014</v>
      </c>
      <c r="QKT876" s="30">
        <f ca="1">YEAR(TODAY())-YEAR(QKR876)</f>
        <v>69</v>
      </c>
      <c r="QKU876" s="245"/>
      <c r="QKV876" s="7" t="s">
        <v>23</v>
      </c>
      <c r="QKW876" s="29"/>
      <c r="QKX876" s="44">
        <v>44198</v>
      </c>
      <c r="QKY876" s="30" t="s">
        <v>22</v>
      </c>
      <c r="QKZ876" s="31">
        <v>20890</v>
      </c>
      <c r="QLA876" s="30">
        <v>1472014</v>
      </c>
      <c r="QLB876" s="30">
        <f ca="1">YEAR(TODAY())-YEAR(QKZ876)</f>
        <v>69</v>
      </c>
      <c r="QLC876" s="245"/>
      <c r="QLD876" s="7" t="s">
        <v>23</v>
      </c>
      <c r="QLE876" s="29"/>
      <c r="QLF876" s="44">
        <v>44198</v>
      </c>
      <c r="QLG876" s="30" t="s">
        <v>22</v>
      </c>
      <c r="QLH876" s="31">
        <v>20890</v>
      </c>
      <c r="QLI876" s="30">
        <v>1472014</v>
      </c>
      <c r="QLJ876" s="30">
        <f ca="1">YEAR(TODAY())-YEAR(QLH876)</f>
        <v>69</v>
      </c>
      <c r="QLK876" s="245"/>
      <c r="QLL876" s="7" t="s">
        <v>23</v>
      </c>
      <c r="QLM876" s="29"/>
      <c r="QLN876" s="44">
        <v>44198</v>
      </c>
      <c r="QLO876" s="30" t="s">
        <v>22</v>
      </c>
      <c r="QLP876" s="31">
        <v>20890</v>
      </c>
      <c r="QLQ876" s="30">
        <v>1472014</v>
      </c>
      <c r="QLR876" s="30">
        <f ca="1">YEAR(TODAY())-YEAR(QLP876)</f>
        <v>69</v>
      </c>
      <c r="QLS876" s="245"/>
      <c r="QLT876" s="7" t="s">
        <v>23</v>
      </c>
      <c r="QLU876" s="29"/>
      <c r="QLV876" s="44">
        <v>44198</v>
      </c>
      <c r="QLW876" s="30" t="s">
        <v>22</v>
      </c>
      <c r="QLX876" s="31">
        <v>20890</v>
      </c>
      <c r="QLY876" s="30">
        <v>1472014</v>
      </c>
      <c r="QLZ876" s="30">
        <f ca="1">YEAR(TODAY())-YEAR(QLX876)</f>
        <v>69</v>
      </c>
      <c r="QMA876" s="245"/>
      <c r="QMB876" s="7" t="s">
        <v>23</v>
      </c>
      <c r="QMC876" s="29"/>
      <c r="QMD876" s="44">
        <v>44198</v>
      </c>
      <c r="QME876" s="30" t="s">
        <v>22</v>
      </c>
      <c r="QMF876" s="31">
        <v>20890</v>
      </c>
      <c r="QMG876" s="30">
        <v>1472014</v>
      </c>
      <c r="QMH876" s="30">
        <f ca="1">YEAR(TODAY())-YEAR(QMF876)</f>
        <v>69</v>
      </c>
      <c r="QMI876" s="245"/>
      <c r="QMJ876" s="7" t="s">
        <v>23</v>
      </c>
      <c r="QMK876" s="29"/>
      <c r="QML876" s="44">
        <v>44198</v>
      </c>
      <c r="QMM876" s="30" t="s">
        <v>22</v>
      </c>
      <c r="QMN876" s="31">
        <v>20890</v>
      </c>
      <c r="QMO876" s="30">
        <v>1472014</v>
      </c>
      <c r="QMP876" s="30">
        <f ca="1">YEAR(TODAY())-YEAR(QMN876)</f>
        <v>69</v>
      </c>
      <c r="QMQ876" s="245"/>
      <c r="QMR876" s="7" t="s">
        <v>23</v>
      </c>
      <c r="QMS876" s="29"/>
      <c r="QMT876" s="44">
        <v>44198</v>
      </c>
      <c r="QMU876" s="30" t="s">
        <v>22</v>
      </c>
      <c r="QMV876" s="31">
        <v>20890</v>
      </c>
      <c r="QMW876" s="30">
        <v>1472014</v>
      </c>
      <c r="QMX876" s="30">
        <f ca="1">YEAR(TODAY())-YEAR(QMV876)</f>
        <v>69</v>
      </c>
      <c r="QMY876" s="245"/>
      <c r="QMZ876" s="7" t="s">
        <v>23</v>
      </c>
      <c r="QNA876" s="29"/>
      <c r="QNB876" s="44">
        <v>44198</v>
      </c>
      <c r="QNC876" s="30" t="s">
        <v>22</v>
      </c>
      <c r="QND876" s="31">
        <v>20890</v>
      </c>
      <c r="QNE876" s="30">
        <v>1472014</v>
      </c>
      <c r="QNF876" s="30">
        <f ca="1">YEAR(TODAY())-YEAR(QND876)</f>
        <v>69</v>
      </c>
      <c r="QNG876" s="245"/>
      <c r="QNH876" s="7" t="s">
        <v>23</v>
      </c>
      <c r="QNI876" s="29"/>
      <c r="QNJ876" s="44">
        <v>44198</v>
      </c>
      <c r="QNK876" s="30" t="s">
        <v>22</v>
      </c>
      <c r="QNL876" s="31">
        <v>20890</v>
      </c>
      <c r="QNM876" s="30">
        <v>1472014</v>
      </c>
      <c r="QNN876" s="30">
        <f ca="1">YEAR(TODAY())-YEAR(QNL876)</f>
        <v>69</v>
      </c>
      <c r="QNO876" s="245"/>
      <c r="QNP876" s="7" t="s">
        <v>23</v>
      </c>
      <c r="QNQ876" s="29"/>
      <c r="QNR876" s="44">
        <v>44198</v>
      </c>
      <c r="QNS876" s="30" t="s">
        <v>22</v>
      </c>
      <c r="QNT876" s="31">
        <v>20890</v>
      </c>
      <c r="QNU876" s="30">
        <v>1472014</v>
      </c>
      <c r="QNV876" s="30">
        <f ca="1">YEAR(TODAY())-YEAR(QNT876)</f>
        <v>69</v>
      </c>
      <c r="QNW876" s="245"/>
      <c r="QNX876" s="7" t="s">
        <v>23</v>
      </c>
      <c r="QNY876" s="29"/>
      <c r="QNZ876" s="44">
        <v>44198</v>
      </c>
      <c r="QOA876" s="30" t="s">
        <v>22</v>
      </c>
      <c r="QOB876" s="31">
        <v>20890</v>
      </c>
      <c r="QOC876" s="30">
        <v>1472014</v>
      </c>
      <c r="QOD876" s="30">
        <f ca="1">YEAR(TODAY())-YEAR(QOB876)</f>
        <v>69</v>
      </c>
      <c r="QOE876" s="245"/>
      <c r="QOF876" s="7" t="s">
        <v>23</v>
      </c>
      <c r="QOG876" s="29"/>
      <c r="QOH876" s="44">
        <v>44198</v>
      </c>
      <c r="QOI876" s="30" t="s">
        <v>22</v>
      </c>
      <c r="QOJ876" s="31">
        <v>20890</v>
      </c>
      <c r="QOK876" s="30">
        <v>1472014</v>
      </c>
      <c r="QOL876" s="30">
        <f ca="1">YEAR(TODAY())-YEAR(QOJ876)</f>
        <v>69</v>
      </c>
      <c r="QOM876" s="245"/>
      <c r="QON876" s="7" t="s">
        <v>23</v>
      </c>
      <c r="QOO876" s="29"/>
      <c r="QOP876" s="44">
        <v>44198</v>
      </c>
      <c r="QOQ876" s="30" t="s">
        <v>22</v>
      </c>
      <c r="QOR876" s="31">
        <v>20890</v>
      </c>
      <c r="QOS876" s="30">
        <v>1472014</v>
      </c>
      <c r="QOT876" s="30">
        <f ca="1">YEAR(TODAY())-YEAR(QOR876)</f>
        <v>69</v>
      </c>
      <c r="QOU876" s="245"/>
      <c r="QOV876" s="7" t="s">
        <v>23</v>
      </c>
      <c r="QOW876" s="29"/>
      <c r="QOX876" s="44">
        <v>44198</v>
      </c>
      <c r="QOY876" s="30" t="s">
        <v>22</v>
      </c>
      <c r="QOZ876" s="31">
        <v>20890</v>
      </c>
      <c r="QPA876" s="30">
        <v>1472014</v>
      </c>
      <c r="QPB876" s="30">
        <f ca="1">YEAR(TODAY())-YEAR(QOZ876)</f>
        <v>69</v>
      </c>
      <c r="QPC876" s="245"/>
      <c r="QPD876" s="7" t="s">
        <v>23</v>
      </c>
      <c r="QPE876" s="29"/>
      <c r="QPF876" s="44">
        <v>44198</v>
      </c>
      <c r="QPG876" s="30" t="s">
        <v>22</v>
      </c>
      <c r="QPH876" s="31">
        <v>20890</v>
      </c>
      <c r="QPI876" s="30">
        <v>1472014</v>
      </c>
      <c r="QPJ876" s="30">
        <f ca="1">YEAR(TODAY())-YEAR(QPH876)</f>
        <v>69</v>
      </c>
      <c r="QPK876" s="245"/>
      <c r="QPL876" s="7" t="s">
        <v>23</v>
      </c>
      <c r="QPM876" s="29"/>
      <c r="QPN876" s="44">
        <v>44198</v>
      </c>
      <c r="QPO876" s="30" t="s">
        <v>22</v>
      </c>
      <c r="QPP876" s="31">
        <v>20890</v>
      </c>
      <c r="QPQ876" s="30">
        <v>1472014</v>
      </c>
      <c r="QPR876" s="30">
        <f ca="1">YEAR(TODAY())-YEAR(QPP876)</f>
        <v>69</v>
      </c>
      <c r="QPS876" s="245"/>
      <c r="QPT876" s="7" t="s">
        <v>23</v>
      </c>
      <c r="QPU876" s="29"/>
      <c r="QPV876" s="44">
        <v>44198</v>
      </c>
      <c r="QPW876" s="30" t="s">
        <v>22</v>
      </c>
      <c r="QPX876" s="31">
        <v>20890</v>
      </c>
      <c r="QPY876" s="30">
        <v>1472014</v>
      </c>
      <c r="QPZ876" s="30">
        <f ca="1">YEAR(TODAY())-YEAR(QPX876)</f>
        <v>69</v>
      </c>
      <c r="QQA876" s="245"/>
      <c r="QQB876" s="7" t="s">
        <v>23</v>
      </c>
      <c r="QQC876" s="29"/>
      <c r="QQD876" s="44">
        <v>44198</v>
      </c>
      <c r="QQE876" s="30" t="s">
        <v>22</v>
      </c>
      <c r="QQF876" s="31">
        <v>20890</v>
      </c>
      <c r="QQG876" s="30">
        <v>1472014</v>
      </c>
      <c r="QQH876" s="30">
        <f ca="1">YEAR(TODAY())-YEAR(QQF876)</f>
        <v>69</v>
      </c>
      <c r="QQI876" s="245"/>
      <c r="QQJ876" s="7" t="s">
        <v>23</v>
      </c>
      <c r="QQK876" s="29"/>
      <c r="QQL876" s="44">
        <v>44198</v>
      </c>
      <c r="QQM876" s="30" t="s">
        <v>22</v>
      </c>
      <c r="QQN876" s="31">
        <v>20890</v>
      </c>
      <c r="QQO876" s="30">
        <v>1472014</v>
      </c>
      <c r="QQP876" s="30">
        <f ca="1">YEAR(TODAY())-YEAR(QQN876)</f>
        <v>69</v>
      </c>
      <c r="QQQ876" s="245"/>
      <c r="QQR876" s="7" t="s">
        <v>23</v>
      </c>
      <c r="QQS876" s="29"/>
      <c r="QQT876" s="44">
        <v>44198</v>
      </c>
      <c r="QQU876" s="30" t="s">
        <v>22</v>
      </c>
      <c r="QQV876" s="31">
        <v>20890</v>
      </c>
      <c r="QQW876" s="30">
        <v>1472014</v>
      </c>
      <c r="QQX876" s="30">
        <f ca="1">YEAR(TODAY())-YEAR(QQV876)</f>
        <v>69</v>
      </c>
      <c r="QQY876" s="245"/>
      <c r="QQZ876" s="7" t="s">
        <v>23</v>
      </c>
      <c r="QRA876" s="29"/>
      <c r="QRB876" s="44">
        <v>44198</v>
      </c>
      <c r="QRC876" s="30" t="s">
        <v>22</v>
      </c>
      <c r="QRD876" s="31">
        <v>20890</v>
      </c>
      <c r="QRE876" s="30">
        <v>1472014</v>
      </c>
      <c r="QRF876" s="30">
        <f ca="1">YEAR(TODAY())-YEAR(QRD876)</f>
        <v>69</v>
      </c>
      <c r="QRG876" s="245"/>
      <c r="QRH876" s="7" t="s">
        <v>23</v>
      </c>
      <c r="QRI876" s="29"/>
      <c r="QRJ876" s="44">
        <v>44198</v>
      </c>
      <c r="QRK876" s="30" t="s">
        <v>22</v>
      </c>
      <c r="QRL876" s="31">
        <v>20890</v>
      </c>
      <c r="QRM876" s="30">
        <v>1472014</v>
      </c>
      <c r="QRN876" s="30">
        <f ca="1">YEAR(TODAY())-YEAR(QRL876)</f>
        <v>69</v>
      </c>
      <c r="QRO876" s="245"/>
      <c r="QRP876" s="7" t="s">
        <v>23</v>
      </c>
      <c r="QRQ876" s="29"/>
      <c r="QRR876" s="44">
        <v>44198</v>
      </c>
      <c r="QRS876" s="30" t="s">
        <v>22</v>
      </c>
      <c r="QRT876" s="31">
        <v>20890</v>
      </c>
      <c r="QRU876" s="30">
        <v>1472014</v>
      </c>
      <c r="QRV876" s="30">
        <f ca="1">YEAR(TODAY())-YEAR(QRT876)</f>
        <v>69</v>
      </c>
      <c r="QRW876" s="245"/>
      <c r="QRX876" s="7" t="s">
        <v>23</v>
      </c>
      <c r="QRY876" s="29"/>
      <c r="QRZ876" s="44">
        <v>44198</v>
      </c>
      <c r="QSA876" s="30" t="s">
        <v>22</v>
      </c>
      <c r="QSB876" s="31">
        <v>20890</v>
      </c>
      <c r="QSC876" s="30">
        <v>1472014</v>
      </c>
      <c r="QSD876" s="30">
        <f ca="1">YEAR(TODAY())-YEAR(QSB876)</f>
        <v>69</v>
      </c>
      <c r="QSE876" s="245"/>
      <c r="QSF876" s="7" t="s">
        <v>23</v>
      </c>
      <c r="QSG876" s="29"/>
      <c r="QSH876" s="44">
        <v>44198</v>
      </c>
      <c r="QSI876" s="30" t="s">
        <v>22</v>
      </c>
      <c r="QSJ876" s="31">
        <v>20890</v>
      </c>
      <c r="QSK876" s="30">
        <v>1472014</v>
      </c>
      <c r="QSL876" s="30">
        <f ca="1">YEAR(TODAY())-YEAR(QSJ876)</f>
        <v>69</v>
      </c>
      <c r="QSM876" s="245"/>
      <c r="QSN876" s="7" t="s">
        <v>23</v>
      </c>
      <c r="QSO876" s="29"/>
      <c r="QSP876" s="44">
        <v>44198</v>
      </c>
      <c r="QSQ876" s="30" t="s">
        <v>22</v>
      </c>
      <c r="QSR876" s="31">
        <v>20890</v>
      </c>
      <c r="QSS876" s="30">
        <v>1472014</v>
      </c>
      <c r="QST876" s="30">
        <f ca="1">YEAR(TODAY())-YEAR(QSR876)</f>
        <v>69</v>
      </c>
      <c r="QSU876" s="245"/>
      <c r="QSV876" s="7" t="s">
        <v>23</v>
      </c>
      <c r="QSW876" s="29"/>
      <c r="QSX876" s="44">
        <v>44198</v>
      </c>
      <c r="QSY876" s="30" t="s">
        <v>22</v>
      </c>
      <c r="QSZ876" s="31">
        <v>20890</v>
      </c>
      <c r="QTA876" s="30">
        <v>1472014</v>
      </c>
      <c r="QTB876" s="30">
        <f ca="1">YEAR(TODAY())-YEAR(QSZ876)</f>
        <v>69</v>
      </c>
      <c r="QTC876" s="245"/>
      <c r="QTD876" s="7" t="s">
        <v>23</v>
      </c>
      <c r="QTE876" s="29"/>
      <c r="QTF876" s="44">
        <v>44198</v>
      </c>
      <c r="QTG876" s="30" t="s">
        <v>22</v>
      </c>
      <c r="QTH876" s="31">
        <v>20890</v>
      </c>
      <c r="QTI876" s="30">
        <v>1472014</v>
      </c>
      <c r="QTJ876" s="30">
        <f ca="1">YEAR(TODAY())-YEAR(QTH876)</f>
        <v>69</v>
      </c>
      <c r="QTK876" s="245"/>
      <c r="QTL876" s="7" t="s">
        <v>23</v>
      </c>
      <c r="QTM876" s="29"/>
      <c r="QTN876" s="44">
        <v>44198</v>
      </c>
      <c r="QTO876" s="30" t="s">
        <v>22</v>
      </c>
      <c r="QTP876" s="31">
        <v>20890</v>
      </c>
      <c r="QTQ876" s="30">
        <v>1472014</v>
      </c>
      <c r="QTR876" s="30">
        <f ca="1">YEAR(TODAY())-YEAR(QTP876)</f>
        <v>69</v>
      </c>
      <c r="QTS876" s="245"/>
      <c r="QTT876" s="7" t="s">
        <v>23</v>
      </c>
      <c r="QTU876" s="29"/>
      <c r="QTV876" s="44">
        <v>44198</v>
      </c>
      <c r="QTW876" s="30" t="s">
        <v>22</v>
      </c>
      <c r="QTX876" s="31">
        <v>20890</v>
      </c>
      <c r="QTY876" s="30">
        <v>1472014</v>
      </c>
      <c r="QTZ876" s="30">
        <f ca="1">YEAR(TODAY())-YEAR(QTX876)</f>
        <v>69</v>
      </c>
      <c r="QUA876" s="245"/>
      <c r="QUB876" s="7" t="s">
        <v>23</v>
      </c>
      <c r="QUC876" s="29"/>
      <c r="QUD876" s="44">
        <v>44198</v>
      </c>
      <c r="QUE876" s="30" t="s">
        <v>22</v>
      </c>
      <c r="QUF876" s="31">
        <v>20890</v>
      </c>
      <c r="QUG876" s="30">
        <v>1472014</v>
      </c>
      <c r="QUH876" s="30">
        <f ca="1">YEAR(TODAY())-YEAR(QUF876)</f>
        <v>69</v>
      </c>
      <c r="QUI876" s="245"/>
      <c r="QUJ876" s="7" t="s">
        <v>23</v>
      </c>
      <c r="QUK876" s="29"/>
      <c r="QUL876" s="44">
        <v>44198</v>
      </c>
      <c r="QUM876" s="30" t="s">
        <v>22</v>
      </c>
      <c r="QUN876" s="31">
        <v>20890</v>
      </c>
      <c r="QUO876" s="30">
        <v>1472014</v>
      </c>
      <c r="QUP876" s="30">
        <f ca="1">YEAR(TODAY())-YEAR(QUN876)</f>
        <v>69</v>
      </c>
      <c r="QUQ876" s="245"/>
      <c r="QUR876" s="7" t="s">
        <v>23</v>
      </c>
      <c r="QUS876" s="29"/>
      <c r="QUT876" s="44">
        <v>44198</v>
      </c>
      <c r="QUU876" s="30" t="s">
        <v>22</v>
      </c>
      <c r="QUV876" s="31">
        <v>20890</v>
      </c>
      <c r="QUW876" s="30">
        <v>1472014</v>
      </c>
      <c r="QUX876" s="30">
        <f ca="1">YEAR(TODAY())-YEAR(QUV876)</f>
        <v>69</v>
      </c>
      <c r="QUY876" s="245"/>
      <c r="QUZ876" s="7" t="s">
        <v>23</v>
      </c>
      <c r="QVA876" s="29"/>
      <c r="QVB876" s="44">
        <v>44198</v>
      </c>
      <c r="QVC876" s="30" t="s">
        <v>22</v>
      </c>
      <c r="QVD876" s="31">
        <v>20890</v>
      </c>
      <c r="QVE876" s="30">
        <v>1472014</v>
      </c>
      <c r="QVF876" s="30">
        <f ca="1">YEAR(TODAY())-YEAR(QVD876)</f>
        <v>69</v>
      </c>
      <c r="QVG876" s="245"/>
      <c r="QVH876" s="7" t="s">
        <v>23</v>
      </c>
      <c r="QVI876" s="29"/>
      <c r="QVJ876" s="44">
        <v>44198</v>
      </c>
      <c r="QVK876" s="30" t="s">
        <v>22</v>
      </c>
      <c r="QVL876" s="31">
        <v>20890</v>
      </c>
      <c r="QVM876" s="30">
        <v>1472014</v>
      </c>
      <c r="QVN876" s="30">
        <f ca="1">YEAR(TODAY())-YEAR(QVL876)</f>
        <v>69</v>
      </c>
      <c r="QVO876" s="245"/>
      <c r="QVP876" s="7" t="s">
        <v>23</v>
      </c>
      <c r="QVQ876" s="29"/>
      <c r="QVR876" s="44">
        <v>44198</v>
      </c>
      <c r="QVS876" s="30" t="s">
        <v>22</v>
      </c>
      <c r="QVT876" s="31">
        <v>20890</v>
      </c>
      <c r="QVU876" s="30">
        <v>1472014</v>
      </c>
      <c r="QVV876" s="30">
        <f ca="1">YEAR(TODAY())-YEAR(QVT876)</f>
        <v>69</v>
      </c>
      <c r="QVW876" s="245"/>
      <c r="QVX876" s="7" t="s">
        <v>23</v>
      </c>
      <c r="QVY876" s="29"/>
      <c r="QVZ876" s="44">
        <v>44198</v>
      </c>
      <c r="QWA876" s="30" t="s">
        <v>22</v>
      </c>
      <c r="QWB876" s="31">
        <v>20890</v>
      </c>
      <c r="QWC876" s="30">
        <v>1472014</v>
      </c>
      <c r="QWD876" s="30">
        <f ca="1">YEAR(TODAY())-YEAR(QWB876)</f>
        <v>69</v>
      </c>
      <c r="QWE876" s="245"/>
      <c r="QWF876" s="7" t="s">
        <v>23</v>
      </c>
      <c r="QWG876" s="29"/>
      <c r="QWH876" s="44">
        <v>44198</v>
      </c>
      <c r="QWI876" s="30" t="s">
        <v>22</v>
      </c>
      <c r="QWJ876" s="31">
        <v>20890</v>
      </c>
      <c r="QWK876" s="30">
        <v>1472014</v>
      </c>
      <c r="QWL876" s="30">
        <f ca="1">YEAR(TODAY())-YEAR(QWJ876)</f>
        <v>69</v>
      </c>
      <c r="QWM876" s="245"/>
      <c r="QWN876" s="7" t="s">
        <v>23</v>
      </c>
      <c r="QWO876" s="29"/>
      <c r="QWP876" s="44">
        <v>44198</v>
      </c>
      <c r="QWQ876" s="30" t="s">
        <v>22</v>
      </c>
      <c r="QWR876" s="31">
        <v>20890</v>
      </c>
      <c r="QWS876" s="30">
        <v>1472014</v>
      </c>
      <c r="QWT876" s="30">
        <f ca="1">YEAR(TODAY())-YEAR(QWR876)</f>
        <v>69</v>
      </c>
      <c r="QWU876" s="245"/>
      <c r="QWV876" s="7" t="s">
        <v>23</v>
      </c>
      <c r="QWW876" s="29"/>
      <c r="QWX876" s="44">
        <v>44198</v>
      </c>
      <c r="QWY876" s="30" t="s">
        <v>22</v>
      </c>
      <c r="QWZ876" s="31">
        <v>20890</v>
      </c>
      <c r="QXA876" s="30">
        <v>1472014</v>
      </c>
      <c r="QXB876" s="30">
        <f ca="1">YEAR(TODAY())-YEAR(QWZ876)</f>
        <v>69</v>
      </c>
      <c r="QXC876" s="245"/>
      <c r="QXD876" s="7" t="s">
        <v>23</v>
      </c>
      <c r="QXE876" s="29"/>
      <c r="QXF876" s="44">
        <v>44198</v>
      </c>
      <c r="QXG876" s="30" t="s">
        <v>22</v>
      </c>
      <c r="QXH876" s="31">
        <v>20890</v>
      </c>
      <c r="QXI876" s="30">
        <v>1472014</v>
      </c>
      <c r="QXJ876" s="30">
        <f ca="1">YEAR(TODAY())-YEAR(QXH876)</f>
        <v>69</v>
      </c>
      <c r="QXK876" s="245"/>
      <c r="QXL876" s="7" t="s">
        <v>23</v>
      </c>
      <c r="QXM876" s="29"/>
      <c r="QXN876" s="44">
        <v>44198</v>
      </c>
      <c r="QXO876" s="30" t="s">
        <v>22</v>
      </c>
      <c r="QXP876" s="31">
        <v>20890</v>
      </c>
      <c r="QXQ876" s="30">
        <v>1472014</v>
      </c>
      <c r="QXR876" s="30">
        <f ca="1">YEAR(TODAY())-YEAR(QXP876)</f>
        <v>69</v>
      </c>
      <c r="QXS876" s="245"/>
      <c r="QXT876" s="7" t="s">
        <v>23</v>
      </c>
      <c r="QXU876" s="29"/>
      <c r="QXV876" s="44">
        <v>44198</v>
      </c>
      <c r="QXW876" s="30" t="s">
        <v>22</v>
      </c>
      <c r="QXX876" s="31">
        <v>20890</v>
      </c>
      <c r="QXY876" s="30">
        <v>1472014</v>
      </c>
      <c r="QXZ876" s="30">
        <f ca="1">YEAR(TODAY())-YEAR(QXX876)</f>
        <v>69</v>
      </c>
      <c r="QYA876" s="245"/>
      <c r="QYB876" s="7" t="s">
        <v>23</v>
      </c>
      <c r="QYC876" s="29"/>
      <c r="QYD876" s="44">
        <v>44198</v>
      </c>
      <c r="QYE876" s="30" t="s">
        <v>22</v>
      </c>
      <c r="QYF876" s="31">
        <v>20890</v>
      </c>
      <c r="QYG876" s="30">
        <v>1472014</v>
      </c>
      <c r="QYH876" s="30">
        <f ca="1">YEAR(TODAY())-YEAR(QYF876)</f>
        <v>69</v>
      </c>
      <c r="QYI876" s="245"/>
      <c r="QYJ876" s="7" t="s">
        <v>23</v>
      </c>
      <c r="QYK876" s="29"/>
      <c r="QYL876" s="44">
        <v>44198</v>
      </c>
      <c r="QYM876" s="30" t="s">
        <v>22</v>
      </c>
      <c r="QYN876" s="31">
        <v>20890</v>
      </c>
      <c r="QYO876" s="30">
        <v>1472014</v>
      </c>
      <c r="QYP876" s="30">
        <f ca="1">YEAR(TODAY())-YEAR(QYN876)</f>
        <v>69</v>
      </c>
      <c r="QYQ876" s="245"/>
      <c r="QYR876" s="7" t="s">
        <v>23</v>
      </c>
      <c r="QYS876" s="29"/>
      <c r="QYT876" s="44">
        <v>44198</v>
      </c>
      <c r="QYU876" s="30" t="s">
        <v>22</v>
      </c>
      <c r="QYV876" s="31">
        <v>20890</v>
      </c>
      <c r="QYW876" s="30">
        <v>1472014</v>
      </c>
      <c r="QYX876" s="30">
        <f ca="1">YEAR(TODAY())-YEAR(QYV876)</f>
        <v>69</v>
      </c>
      <c r="QYY876" s="245"/>
      <c r="QYZ876" s="7" t="s">
        <v>23</v>
      </c>
      <c r="QZA876" s="29"/>
      <c r="QZB876" s="44">
        <v>44198</v>
      </c>
      <c r="QZC876" s="30" t="s">
        <v>22</v>
      </c>
      <c r="QZD876" s="31">
        <v>20890</v>
      </c>
      <c r="QZE876" s="30">
        <v>1472014</v>
      </c>
      <c r="QZF876" s="30">
        <f ca="1">YEAR(TODAY())-YEAR(QZD876)</f>
        <v>69</v>
      </c>
      <c r="QZG876" s="245"/>
      <c r="QZH876" s="7" t="s">
        <v>23</v>
      </c>
      <c r="QZI876" s="29"/>
      <c r="QZJ876" s="44">
        <v>44198</v>
      </c>
      <c r="QZK876" s="30" t="s">
        <v>22</v>
      </c>
      <c r="QZL876" s="31">
        <v>20890</v>
      </c>
      <c r="QZM876" s="30">
        <v>1472014</v>
      </c>
      <c r="QZN876" s="30">
        <f ca="1">YEAR(TODAY())-YEAR(QZL876)</f>
        <v>69</v>
      </c>
      <c r="QZO876" s="245"/>
      <c r="QZP876" s="7" t="s">
        <v>23</v>
      </c>
      <c r="QZQ876" s="29"/>
      <c r="QZR876" s="44">
        <v>44198</v>
      </c>
      <c r="QZS876" s="30" t="s">
        <v>22</v>
      </c>
      <c r="QZT876" s="31">
        <v>20890</v>
      </c>
      <c r="QZU876" s="30">
        <v>1472014</v>
      </c>
      <c r="QZV876" s="30">
        <f ca="1">YEAR(TODAY())-YEAR(QZT876)</f>
        <v>69</v>
      </c>
      <c r="QZW876" s="245"/>
      <c r="QZX876" s="7" t="s">
        <v>23</v>
      </c>
      <c r="QZY876" s="29"/>
      <c r="QZZ876" s="44">
        <v>44198</v>
      </c>
      <c r="RAA876" s="30" t="s">
        <v>22</v>
      </c>
      <c r="RAB876" s="31">
        <v>20890</v>
      </c>
      <c r="RAC876" s="30">
        <v>1472014</v>
      </c>
      <c r="RAD876" s="30">
        <f ca="1">YEAR(TODAY())-YEAR(RAB876)</f>
        <v>69</v>
      </c>
      <c r="RAE876" s="245"/>
      <c r="RAF876" s="7" t="s">
        <v>23</v>
      </c>
      <c r="RAG876" s="29"/>
      <c r="RAH876" s="44">
        <v>44198</v>
      </c>
      <c r="RAI876" s="30" t="s">
        <v>22</v>
      </c>
      <c r="RAJ876" s="31">
        <v>20890</v>
      </c>
      <c r="RAK876" s="30">
        <v>1472014</v>
      </c>
      <c r="RAL876" s="30">
        <f ca="1">YEAR(TODAY())-YEAR(RAJ876)</f>
        <v>69</v>
      </c>
      <c r="RAM876" s="245"/>
      <c r="RAN876" s="7" t="s">
        <v>23</v>
      </c>
      <c r="RAO876" s="29"/>
      <c r="RAP876" s="44">
        <v>44198</v>
      </c>
      <c r="RAQ876" s="30" t="s">
        <v>22</v>
      </c>
      <c r="RAR876" s="31">
        <v>20890</v>
      </c>
      <c r="RAS876" s="30">
        <v>1472014</v>
      </c>
      <c r="RAT876" s="30">
        <f ca="1">YEAR(TODAY())-YEAR(RAR876)</f>
        <v>69</v>
      </c>
      <c r="RAU876" s="245"/>
      <c r="RAV876" s="7" t="s">
        <v>23</v>
      </c>
      <c r="RAW876" s="29"/>
      <c r="RAX876" s="44">
        <v>44198</v>
      </c>
      <c r="RAY876" s="30" t="s">
        <v>22</v>
      </c>
      <c r="RAZ876" s="31">
        <v>20890</v>
      </c>
      <c r="RBA876" s="30">
        <v>1472014</v>
      </c>
      <c r="RBB876" s="30">
        <f ca="1">YEAR(TODAY())-YEAR(RAZ876)</f>
        <v>69</v>
      </c>
      <c r="RBC876" s="245"/>
      <c r="RBD876" s="7" t="s">
        <v>23</v>
      </c>
      <c r="RBE876" s="29"/>
      <c r="RBF876" s="44">
        <v>44198</v>
      </c>
      <c r="RBG876" s="30" t="s">
        <v>22</v>
      </c>
      <c r="RBH876" s="31">
        <v>20890</v>
      </c>
      <c r="RBI876" s="30">
        <v>1472014</v>
      </c>
      <c r="RBJ876" s="30">
        <f ca="1">YEAR(TODAY())-YEAR(RBH876)</f>
        <v>69</v>
      </c>
      <c r="RBK876" s="245"/>
      <c r="RBL876" s="7" t="s">
        <v>23</v>
      </c>
      <c r="RBM876" s="29"/>
      <c r="RBN876" s="44">
        <v>44198</v>
      </c>
      <c r="RBO876" s="30" t="s">
        <v>22</v>
      </c>
      <c r="RBP876" s="31">
        <v>20890</v>
      </c>
      <c r="RBQ876" s="30">
        <v>1472014</v>
      </c>
      <c r="RBR876" s="30">
        <f ca="1">YEAR(TODAY())-YEAR(RBP876)</f>
        <v>69</v>
      </c>
      <c r="RBS876" s="245"/>
      <c r="RBT876" s="7" t="s">
        <v>23</v>
      </c>
      <c r="RBU876" s="29"/>
      <c r="RBV876" s="44">
        <v>44198</v>
      </c>
      <c r="RBW876" s="30" t="s">
        <v>22</v>
      </c>
      <c r="RBX876" s="31">
        <v>20890</v>
      </c>
      <c r="RBY876" s="30">
        <v>1472014</v>
      </c>
      <c r="RBZ876" s="30">
        <f ca="1">YEAR(TODAY())-YEAR(RBX876)</f>
        <v>69</v>
      </c>
      <c r="RCA876" s="245"/>
      <c r="RCB876" s="7" t="s">
        <v>23</v>
      </c>
      <c r="RCC876" s="29"/>
      <c r="RCD876" s="44">
        <v>44198</v>
      </c>
      <c r="RCE876" s="30" t="s">
        <v>22</v>
      </c>
      <c r="RCF876" s="31">
        <v>20890</v>
      </c>
      <c r="RCG876" s="30">
        <v>1472014</v>
      </c>
      <c r="RCH876" s="30">
        <f ca="1">YEAR(TODAY())-YEAR(RCF876)</f>
        <v>69</v>
      </c>
      <c r="RCI876" s="245"/>
      <c r="RCJ876" s="7" t="s">
        <v>23</v>
      </c>
      <c r="RCK876" s="29"/>
      <c r="RCL876" s="44">
        <v>44198</v>
      </c>
      <c r="RCM876" s="30" t="s">
        <v>22</v>
      </c>
      <c r="RCN876" s="31">
        <v>20890</v>
      </c>
      <c r="RCO876" s="30">
        <v>1472014</v>
      </c>
      <c r="RCP876" s="30">
        <f ca="1">YEAR(TODAY())-YEAR(RCN876)</f>
        <v>69</v>
      </c>
      <c r="RCQ876" s="245"/>
      <c r="RCR876" s="7" t="s">
        <v>23</v>
      </c>
      <c r="RCS876" s="29"/>
      <c r="RCT876" s="44">
        <v>44198</v>
      </c>
      <c r="RCU876" s="30" t="s">
        <v>22</v>
      </c>
      <c r="RCV876" s="31">
        <v>20890</v>
      </c>
      <c r="RCW876" s="30">
        <v>1472014</v>
      </c>
      <c r="RCX876" s="30">
        <f ca="1">YEAR(TODAY())-YEAR(RCV876)</f>
        <v>69</v>
      </c>
      <c r="RCY876" s="245"/>
      <c r="RCZ876" s="7" t="s">
        <v>23</v>
      </c>
      <c r="RDA876" s="29"/>
      <c r="RDB876" s="44">
        <v>44198</v>
      </c>
      <c r="RDC876" s="30" t="s">
        <v>22</v>
      </c>
      <c r="RDD876" s="31">
        <v>20890</v>
      </c>
      <c r="RDE876" s="30">
        <v>1472014</v>
      </c>
      <c r="RDF876" s="30">
        <f ca="1">YEAR(TODAY())-YEAR(RDD876)</f>
        <v>69</v>
      </c>
      <c r="RDG876" s="245"/>
      <c r="RDH876" s="7" t="s">
        <v>23</v>
      </c>
      <c r="RDI876" s="29"/>
      <c r="RDJ876" s="44">
        <v>44198</v>
      </c>
      <c r="RDK876" s="30" t="s">
        <v>22</v>
      </c>
      <c r="RDL876" s="31">
        <v>20890</v>
      </c>
      <c r="RDM876" s="30">
        <v>1472014</v>
      </c>
      <c r="RDN876" s="30">
        <f ca="1">YEAR(TODAY())-YEAR(RDL876)</f>
        <v>69</v>
      </c>
      <c r="RDO876" s="245"/>
      <c r="RDP876" s="7" t="s">
        <v>23</v>
      </c>
      <c r="RDQ876" s="29"/>
      <c r="RDR876" s="44">
        <v>44198</v>
      </c>
      <c r="RDS876" s="30" t="s">
        <v>22</v>
      </c>
      <c r="RDT876" s="31">
        <v>20890</v>
      </c>
      <c r="RDU876" s="30">
        <v>1472014</v>
      </c>
      <c r="RDV876" s="30">
        <f ca="1">YEAR(TODAY())-YEAR(RDT876)</f>
        <v>69</v>
      </c>
      <c r="RDW876" s="245"/>
      <c r="RDX876" s="7" t="s">
        <v>23</v>
      </c>
      <c r="RDY876" s="29"/>
      <c r="RDZ876" s="44">
        <v>44198</v>
      </c>
      <c r="REA876" s="30" t="s">
        <v>22</v>
      </c>
      <c r="REB876" s="31">
        <v>20890</v>
      </c>
      <c r="REC876" s="30">
        <v>1472014</v>
      </c>
      <c r="RED876" s="30">
        <f ca="1">YEAR(TODAY())-YEAR(REB876)</f>
        <v>69</v>
      </c>
      <c r="REE876" s="245"/>
      <c r="REF876" s="7" t="s">
        <v>23</v>
      </c>
      <c r="REG876" s="29"/>
      <c r="REH876" s="44">
        <v>44198</v>
      </c>
      <c r="REI876" s="30" t="s">
        <v>22</v>
      </c>
      <c r="REJ876" s="31">
        <v>20890</v>
      </c>
      <c r="REK876" s="30">
        <v>1472014</v>
      </c>
      <c r="REL876" s="30">
        <f ca="1">YEAR(TODAY())-YEAR(REJ876)</f>
        <v>69</v>
      </c>
      <c r="REM876" s="245"/>
      <c r="REN876" s="7" t="s">
        <v>23</v>
      </c>
      <c r="REO876" s="29"/>
      <c r="REP876" s="44">
        <v>44198</v>
      </c>
      <c r="REQ876" s="30" t="s">
        <v>22</v>
      </c>
      <c r="RER876" s="31">
        <v>20890</v>
      </c>
      <c r="RES876" s="30">
        <v>1472014</v>
      </c>
      <c r="RET876" s="30">
        <f ca="1">YEAR(TODAY())-YEAR(RER876)</f>
        <v>69</v>
      </c>
      <c r="REU876" s="245"/>
      <c r="REV876" s="7" t="s">
        <v>23</v>
      </c>
      <c r="REW876" s="29"/>
      <c r="REX876" s="44">
        <v>44198</v>
      </c>
      <c r="REY876" s="30" t="s">
        <v>22</v>
      </c>
      <c r="REZ876" s="31">
        <v>20890</v>
      </c>
      <c r="RFA876" s="30">
        <v>1472014</v>
      </c>
      <c r="RFB876" s="30">
        <f ca="1">YEAR(TODAY())-YEAR(REZ876)</f>
        <v>69</v>
      </c>
      <c r="RFC876" s="245"/>
      <c r="RFD876" s="7" t="s">
        <v>23</v>
      </c>
      <c r="RFE876" s="29"/>
      <c r="RFF876" s="44">
        <v>44198</v>
      </c>
      <c r="RFG876" s="30" t="s">
        <v>22</v>
      </c>
      <c r="RFH876" s="31">
        <v>20890</v>
      </c>
      <c r="RFI876" s="30">
        <v>1472014</v>
      </c>
      <c r="RFJ876" s="30">
        <f ca="1">YEAR(TODAY())-YEAR(RFH876)</f>
        <v>69</v>
      </c>
      <c r="RFK876" s="245"/>
      <c r="RFL876" s="7" t="s">
        <v>23</v>
      </c>
      <c r="RFM876" s="29"/>
      <c r="RFN876" s="44">
        <v>44198</v>
      </c>
      <c r="RFO876" s="30" t="s">
        <v>22</v>
      </c>
      <c r="RFP876" s="31">
        <v>20890</v>
      </c>
      <c r="RFQ876" s="30">
        <v>1472014</v>
      </c>
      <c r="RFR876" s="30">
        <f ca="1">YEAR(TODAY())-YEAR(RFP876)</f>
        <v>69</v>
      </c>
      <c r="RFS876" s="245"/>
      <c r="RFT876" s="7" t="s">
        <v>23</v>
      </c>
      <c r="RFU876" s="29"/>
      <c r="RFV876" s="44">
        <v>44198</v>
      </c>
      <c r="RFW876" s="30" t="s">
        <v>22</v>
      </c>
      <c r="RFX876" s="31">
        <v>20890</v>
      </c>
      <c r="RFY876" s="30">
        <v>1472014</v>
      </c>
      <c r="RFZ876" s="30">
        <f ca="1">YEAR(TODAY())-YEAR(RFX876)</f>
        <v>69</v>
      </c>
      <c r="RGA876" s="245"/>
      <c r="RGB876" s="7" t="s">
        <v>23</v>
      </c>
      <c r="RGC876" s="29"/>
      <c r="RGD876" s="44">
        <v>44198</v>
      </c>
      <c r="RGE876" s="30" t="s">
        <v>22</v>
      </c>
      <c r="RGF876" s="31">
        <v>20890</v>
      </c>
      <c r="RGG876" s="30">
        <v>1472014</v>
      </c>
      <c r="RGH876" s="30">
        <f ca="1">YEAR(TODAY())-YEAR(RGF876)</f>
        <v>69</v>
      </c>
      <c r="RGI876" s="245"/>
      <c r="RGJ876" s="7" t="s">
        <v>23</v>
      </c>
      <c r="RGK876" s="29"/>
      <c r="RGL876" s="44">
        <v>44198</v>
      </c>
      <c r="RGM876" s="30" t="s">
        <v>22</v>
      </c>
      <c r="RGN876" s="31">
        <v>20890</v>
      </c>
      <c r="RGO876" s="30">
        <v>1472014</v>
      </c>
      <c r="RGP876" s="30">
        <f ca="1">YEAR(TODAY())-YEAR(RGN876)</f>
        <v>69</v>
      </c>
      <c r="RGQ876" s="245"/>
      <c r="RGR876" s="7" t="s">
        <v>23</v>
      </c>
      <c r="RGS876" s="29"/>
      <c r="RGT876" s="44">
        <v>44198</v>
      </c>
      <c r="RGU876" s="30" t="s">
        <v>22</v>
      </c>
      <c r="RGV876" s="31">
        <v>20890</v>
      </c>
      <c r="RGW876" s="30">
        <v>1472014</v>
      </c>
      <c r="RGX876" s="30">
        <f ca="1">YEAR(TODAY())-YEAR(RGV876)</f>
        <v>69</v>
      </c>
      <c r="RGY876" s="245"/>
      <c r="RGZ876" s="7" t="s">
        <v>23</v>
      </c>
      <c r="RHA876" s="29"/>
      <c r="RHB876" s="44">
        <v>44198</v>
      </c>
      <c r="RHC876" s="30" t="s">
        <v>22</v>
      </c>
      <c r="RHD876" s="31">
        <v>20890</v>
      </c>
      <c r="RHE876" s="30">
        <v>1472014</v>
      </c>
      <c r="RHF876" s="30">
        <f ca="1">YEAR(TODAY())-YEAR(RHD876)</f>
        <v>69</v>
      </c>
      <c r="RHG876" s="245"/>
      <c r="RHH876" s="7" t="s">
        <v>23</v>
      </c>
      <c r="RHI876" s="29"/>
      <c r="RHJ876" s="44">
        <v>44198</v>
      </c>
      <c r="RHK876" s="30" t="s">
        <v>22</v>
      </c>
      <c r="RHL876" s="31">
        <v>20890</v>
      </c>
      <c r="RHM876" s="30">
        <v>1472014</v>
      </c>
      <c r="RHN876" s="30">
        <f ca="1">YEAR(TODAY())-YEAR(RHL876)</f>
        <v>69</v>
      </c>
      <c r="RHO876" s="245"/>
      <c r="RHP876" s="7" t="s">
        <v>23</v>
      </c>
      <c r="RHQ876" s="29"/>
      <c r="RHR876" s="44">
        <v>44198</v>
      </c>
      <c r="RHS876" s="30" t="s">
        <v>22</v>
      </c>
      <c r="RHT876" s="31">
        <v>20890</v>
      </c>
      <c r="RHU876" s="30">
        <v>1472014</v>
      </c>
      <c r="RHV876" s="30">
        <f ca="1">YEAR(TODAY())-YEAR(RHT876)</f>
        <v>69</v>
      </c>
      <c r="RHW876" s="245"/>
      <c r="RHX876" s="7" t="s">
        <v>23</v>
      </c>
      <c r="RHY876" s="29"/>
      <c r="RHZ876" s="44">
        <v>44198</v>
      </c>
      <c r="RIA876" s="30" t="s">
        <v>22</v>
      </c>
      <c r="RIB876" s="31">
        <v>20890</v>
      </c>
      <c r="RIC876" s="30">
        <v>1472014</v>
      </c>
      <c r="RID876" s="30">
        <f ca="1">YEAR(TODAY())-YEAR(RIB876)</f>
        <v>69</v>
      </c>
      <c r="RIE876" s="245"/>
      <c r="RIF876" s="7" t="s">
        <v>23</v>
      </c>
      <c r="RIG876" s="29"/>
      <c r="RIH876" s="44">
        <v>44198</v>
      </c>
      <c r="RII876" s="30" t="s">
        <v>22</v>
      </c>
      <c r="RIJ876" s="31">
        <v>20890</v>
      </c>
      <c r="RIK876" s="30">
        <v>1472014</v>
      </c>
      <c r="RIL876" s="30">
        <f ca="1">YEAR(TODAY())-YEAR(RIJ876)</f>
        <v>69</v>
      </c>
      <c r="RIM876" s="245"/>
      <c r="RIN876" s="7" t="s">
        <v>23</v>
      </c>
      <c r="RIO876" s="29"/>
      <c r="RIP876" s="44">
        <v>44198</v>
      </c>
      <c r="RIQ876" s="30" t="s">
        <v>22</v>
      </c>
      <c r="RIR876" s="31">
        <v>20890</v>
      </c>
      <c r="RIS876" s="30">
        <v>1472014</v>
      </c>
      <c r="RIT876" s="30">
        <f ca="1">YEAR(TODAY())-YEAR(RIR876)</f>
        <v>69</v>
      </c>
      <c r="RIU876" s="245"/>
      <c r="RIV876" s="7" t="s">
        <v>23</v>
      </c>
      <c r="RIW876" s="29"/>
      <c r="RIX876" s="44">
        <v>44198</v>
      </c>
      <c r="RIY876" s="30" t="s">
        <v>22</v>
      </c>
      <c r="RIZ876" s="31">
        <v>20890</v>
      </c>
      <c r="RJA876" s="30">
        <v>1472014</v>
      </c>
      <c r="RJB876" s="30">
        <f ca="1">YEAR(TODAY())-YEAR(RIZ876)</f>
        <v>69</v>
      </c>
      <c r="RJC876" s="245"/>
      <c r="RJD876" s="7" t="s">
        <v>23</v>
      </c>
      <c r="RJE876" s="29"/>
      <c r="RJF876" s="44">
        <v>44198</v>
      </c>
      <c r="RJG876" s="30" t="s">
        <v>22</v>
      </c>
      <c r="RJH876" s="31">
        <v>20890</v>
      </c>
      <c r="RJI876" s="30">
        <v>1472014</v>
      </c>
      <c r="RJJ876" s="30">
        <f ca="1">YEAR(TODAY())-YEAR(RJH876)</f>
        <v>69</v>
      </c>
      <c r="RJK876" s="245"/>
      <c r="RJL876" s="7" t="s">
        <v>23</v>
      </c>
      <c r="RJM876" s="29"/>
      <c r="RJN876" s="44">
        <v>44198</v>
      </c>
      <c r="RJO876" s="30" t="s">
        <v>22</v>
      </c>
      <c r="RJP876" s="31">
        <v>20890</v>
      </c>
      <c r="RJQ876" s="30">
        <v>1472014</v>
      </c>
      <c r="RJR876" s="30">
        <f ca="1">YEAR(TODAY())-YEAR(RJP876)</f>
        <v>69</v>
      </c>
      <c r="RJS876" s="245"/>
      <c r="RJT876" s="7" t="s">
        <v>23</v>
      </c>
      <c r="RJU876" s="29"/>
      <c r="RJV876" s="44">
        <v>44198</v>
      </c>
      <c r="RJW876" s="30" t="s">
        <v>22</v>
      </c>
      <c r="RJX876" s="31">
        <v>20890</v>
      </c>
      <c r="RJY876" s="30">
        <v>1472014</v>
      </c>
      <c r="RJZ876" s="30">
        <f ca="1">YEAR(TODAY())-YEAR(RJX876)</f>
        <v>69</v>
      </c>
      <c r="RKA876" s="245"/>
      <c r="RKB876" s="7" t="s">
        <v>23</v>
      </c>
      <c r="RKC876" s="29"/>
      <c r="RKD876" s="44">
        <v>44198</v>
      </c>
      <c r="RKE876" s="30" t="s">
        <v>22</v>
      </c>
      <c r="RKF876" s="31">
        <v>20890</v>
      </c>
      <c r="RKG876" s="30">
        <v>1472014</v>
      </c>
      <c r="RKH876" s="30">
        <f ca="1">YEAR(TODAY())-YEAR(RKF876)</f>
        <v>69</v>
      </c>
      <c r="RKI876" s="245"/>
      <c r="RKJ876" s="7" t="s">
        <v>23</v>
      </c>
      <c r="RKK876" s="29"/>
      <c r="RKL876" s="44">
        <v>44198</v>
      </c>
      <c r="RKM876" s="30" t="s">
        <v>22</v>
      </c>
      <c r="RKN876" s="31">
        <v>20890</v>
      </c>
      <c r="RKO876" s="30">
        <v>1472014</v>
      </c>
      <c r="RKP876" s="30">
        <f ca="1">YEAR(TODAY())-YEAR(RKN876)</f>
        <v>69</v>
      </c>
      <c r="RKQ876" s="245"/>
      <c r="RKR876" s="7" t="s">
        <v>23</v>
      </c>
      <c r="RKS876" s="29"/>
      <c r="RKT876" s="44">
        <v>44198</v>
      </c>
      <c r="RKU876" s="30" t="s">
        <v>22</v>
      </c>
      <c r="RKV876" s="31">
        <v>20890</v>
      </c>
      <c r="RKW876" s="30">
        <v>1472014</v>
      </c>
      <c r="RKX876" s="30">
        <f ca="1">YEAR(TODAY())-YEAR(RKV876)</f>
        <v>69</v>
      </c>
      <c r="RKY876" s="245"/>
      <c r="RKZ876" s="7" t="s">
        <v>23</v>
      </c>
      <c r="RLA876" s="29"/>
      <c r="RLB876" s="44">
        <v>44198</v>
      </c>
      <c r="RLC876" s="30" t="s">
        <v>22</v>
      </c>
      <c r="RLD876" s="31">
        <v>20890</v>
      </c>
      <c r="RLE876" s="30">
        <v>1472014</v>
      </c>
      <c r="RLF876" s="30">
        <f ca="1">YEAR(TODAY())-YEAR(RLD876)</f>
        <v>69</v>
      </c>
      <c r="RLG876" s="245"/>
      <c r="RLH876" s="7" t="s">
        <v>23</v>
      </c>
      <c r="RLI876" s="29"/>
      <c r="RLJ876" s="44">
        <v>44198</v>
      </c>
      <c r="RLK876" s="30" t="s">
        <v>22</v>
      </c>
      <c r="RLL876" s="31">
        <v>20890</v>
      </c>
      <c r="RLM876" s="30">
        <v>1472014</v>
      </c>
      <c r="RLN876" s="30">
        <f ca="1">YEAR(TODAY())-YEAR(RLL876)</f>
        <v>69</v>
      </c>
      <c r="RLO876" s="245"/>
      <c r="RLP876" s="7" t="s">
        <v>23</v>
      </c>
      <c r="RLQ876" s="29"/>
      <c r="RLR876" s="44">
        <v>44198</v>
      </c>
      <c r="RLS876" s="30" t="s">
        <v>22</v>
      </c>
      <c r="RLT876" s="31">
        <v>20890</v>
      </c>
      <c r="RLU876" s="30">
        <v>1472014</v>
      </c>
      <c r="RLV876" s="30">
        <f ca="1">YEAR(TODAY())-YEAR(RLT876)</f>
        <v>69</v>
      </c>
      <c r="RLW876" s="245"/>
      <c r="RLX876" s="7" t="s">
        <v>23</v>
      </c>
      <c r="RLY876" s="29"/>
      <c r="RLZ876" s="44">
        <v>44198</v>
      </c>
      <c r="RMA876" s="30" t="s">
        <v>22</v>
      </c>
      <c r="RMB876" s="31">
        <v>20890</v>
      </c>
      <c r="RMC876" s="30">
        <v>1472014</v>
      </c>
      <c r="RMD876" s="30">
        <f ca="1">YEAR(TODAY())-YEAR(RMB876)</f>
        <v>69</v>
      </c>
      <c r="RME876" s="245"/>
      <c r="RMF876" s="7" t="s">
        <v>23</v>
      </c>
      <c r="RMG876" s="29"/>
      <c r="RMH876" s="44">
        <v>44198</v>
      </c>
      <c r="RMI876" s="30" t="s">
        <v>22</v>
      </c>
      <c r="RMJ876" s="31">
        <v>20890</v>
      </c>
      <c r="RMK876" s="30">
        <v>1472014</v>
      </c>
      <c r="RML876" s="30">
        <f ca="1">YEAR(TODAY())-YEAR(RMJ876)</f>
        <v>69</v>
      </c>
      <c r="RMM876" s="245"/>
      <c r="RMN876" s="7" t="s">
        <v>23</v>
      </c>
      <c r="RMO876" s="29"/>
      <c r="RMP876" s="44">
        <v>44198</v>
      </c>
      <c r="RMQ876" s="30" t="s">
        <v>22</v>
      </c>
      <c r="RMR876" s="31">
        <v>20890</v>
      </c>
      <c r="RMS876" s="30">
        <v>1472014</v>
      </c>
      <c r="RMT876" s="30">
        <f ca="1">YEAR(TODAY())-YEAR(RMR876)</f>
        <v>69</v>
      </c>
      <c r="RMU876" s="245"/>
      <c r="RMV876" s="7" t="s">
        <v>23</v>
      </c>
      <c r="RMW876" s="29"/>
      <c r="RMX876" s="44">
        <v>44198</v>
      </c>
      <c r="RMY876" s="30" t="s">
        <v>22</v>
      </c>
      <c r="RMZ876" s="31">
        <v>20890</v>
      </c>
      <c r="RNA876" s="30">
        <v>1472014</v>
      </c>
      <c r="RNB876" s="30">
        <f ca="1">YEAR(TODAY())-YEAR(RMZ876)</f>
        <v>69</v>
      </c>
      <c r="RNC876" s="245"/>
      <c r="RND876" s="7" t="s">
        <v>23</v>
      </c>
      <c r="RNE876" s="29"/>
      <c r="RNF876" s="44">
        <v>44198</v>
      </c>
      <c r="RNG876" s="30" t="s">
        <v>22</v>
      </c>
      <c r="RNH876" s="31">
        <v>20890</v>
      </c>
      <c r="RNI876" s="30">
        <v>1472014</v>
      </c>
      <c r="RNJ876" s="30">
        <f ca="1">YEAR(TODAY())-YEAR(RNH876)</f>
        <v>69</v>
      </c>
      <c r="RNK876" s="245"/>
      <c r="RNL876" s="7" t="s">
        <v>23</v>
      </c>
      <c r="RNM876" s="29"/>
      <c r="RNN876" s="44">
        <v>44198</v>
      </c>
      <c r="RNO876" s="30" t="s">
        <v>22</v>
      </c>
      <c r="RNP876" s="31">
        <v>20890</v>
      </c>
      <c r="RNQ876" s="30">
        <v>1472014</v>
      </c>
      <c r="RNR876" s="30">
        <f ca="1">YEAR(TODAY())-YEAR(RNP876)</f>
        <v>69</v>
      </c>
      <c r="RNS876" s="245"/>
      <c r="RNT876" s="7" t="s">
        <v>23</v>
      </c>
      <c r="RNU876" s="29"/>
      <c r="RNV876" s="44">
        <v>44198</v>
      </c>
      <c r="RNW876" s="30" t="s">
        <v>22</v>
      </c>
      <c r="RNX876" s="31">
        <v>20890</v>
      </c>
      <c r="RNY876" s="30">
        <v>1472014</v>
      </c>
      <c r="RNZ876" s="30">
        <f ca="1">YEAR(TODAY())-YEAR(RNX876)</f>
        <v>69</v>
      </c>
      <c r="ROA876" s="245"/>
      <c r="ROB876" s="7" t="s">
        <v>23</v>
      </c>
      <c r="ROC876" s="29"/>
      <c r="ROD876" s="44">
        <v>44198</v>
      </c>
      <c r="ROE876" s="30" t="s">
        <v>22</v>
      </c>
      <c r="ROF876" s="31">
        <v>20890</v>
      </c>
      <c r="ROG876" s="30">
        <v>1472014</v>
      </c>
      <c r="ROH876" s="30">
        <f ca="1">YEAR(TODAY())-YEAR(ROF876)</f>
        <v>69</v>
      </c>
      <c r="ROI876" s="245"/>
      <c r="ROJ876" s="7" t="s">
        <v>23</v>
      </c>
      <c r="ROK876" s="29"/>
      <c r="ROL876" s="44">
        <v>44198</v>
      </c>
      <c r="ROM876" s="30" t="s">
        <v>22</v>
      </c>
      <c r="RON876" s="31">
        <v>20890</v>
      </c>
      <c r="ROO876" s="30">
        <v>1472014</v>
      </c>
      <c r="ROP876" s="30">
        <f ca="1">YEAR(TODAY())-YEAR(RON876)</f>
        <v>69</v>
      </c>
      <c r="ROQ876" s="245"/>
      <c r="ROR876" s="7" t="s">
        <v>23</v>
      </c>
      <c r="ROS876" s="29"/>
      <c r="ROT876" s="44">
        <v>44198</v>
      </c>
      <c r="ROU876" s="30" t="s">
        <v>22</v>
      </c>
      <c r="ROV876" s="31">
        <v>20890</v>
      </c>
      <c r="ROW876" s="30">
        <v>1472014</v>
      </c>
      <c r="ROX876" s="30">
        <f ca="1">YEAR(TODAY())-YEAR(ROV876)</f>
        <v>69</v>
      </c>
      <c r="ROY876" s="245"/>
      <c r="ROZ876" s="7" t="s">
        <v>23</v>
      </c>
      <c r="RPA876" s="29"/>
      <c r="RPB876" s="44">
        <v>44198</v>
      </c>
      <c r="RPC876" s="30" t="s">
        <v>22</v>
      </c>
      <c r="RPD876" s="31">
        <v>20890</v>
      </c>
      <c r="RPE876" s="30">
        <v>1472014</v>
      </c>
      <c r="RPF876" s="30">
        <f ca="1">YEAR(TODAY())-YEAR(RPD876)</f>
        <v>69</v>
      </c>
      <c r="RPG876" s="245"/>
      <c r="RPH876" s="7" t="s">
        <v>23</v>
      </c>
      <c r="RPI876" s="29"/>
      <c r="RPJ876" s="44">
        <v>44198</v>
      </c>
      <c r="RPK876" s="30" t="s">
        <v>22</v>
      </c>
      <c r="RPL876" s="31">
        <v>20890</v>
      </c>
      <c r="RPM876" s="30">
        <v>1472014</v>
      </c>
      <c r="RPN876" s="30">
        <f ca="1">YEAR(TODAY())-YEAR(RPL876)</f>
        <v>69</v>
      </c>
      <c r="RPO876" s="245"/>
      <c r="RPP876" s="7" t="s">
        <v>23</v>
      </c>
      <c r="RPQ876" s="29"/>
      <c r="RPR876" s="44">
        <v>44198</v>
      </c>
      <c r="RPS876" s="30" t="s">
        <v>22</v>
      </c>
      <c r="RPT876" s="31">
        <v>20890</v>
      </c>
      <c r="RPU876" s="30">
        <v>1472014</v>
      </c>
      <c r="RPV876" s="30">
        <f ca="1">YEAR(TODAY())-YEAR(RPT876)</f>
        <v>69</v>
      </c>
      <c r="RPW876" s="245"/>
      <c r="RPX876" s="7" t="s">
        <v>23</v>
      </c>
      <c r="RPY876" s="29"/>
      <c r="RPZ876" s="44">
        <v>44198</v>
      </c>
      <c r="RQA876" s="30" t="s">
        <v>22</v>
      </c>
      <c r="RQB876" s="31">
        <v>20890</v>
      </c>
      <c r="RQC876" s="30">
        <v>1472014</v>
      </c>
      <c r="RQD876" s="30">
        <f ca="1">YEAR(TODAY())-YEAR(RQB876)</f>
        <v>69</v>
      </c>
      <c r="RQE876" s="245"/>
      <c r="RQF876" s="7" t="s">
        <v>23</v>
      </c>
      <c r="RQG876" s="29"/>
      <c r="RQH876" s="44">
        <v>44198</v>
      </c>
      <c r="RQI876" s="30" t="s">
        <v>22</v>
      </c>
      <c r="RQJ876" s="31">
        <v>20890</v>
      </c>
      <c r="RQK876" s="30">
        <v>1472014</v>
      </c>
      <c r="RQL876" s="30">
        <f ca="1">YEAR(TODAY())-YEAR(RQJ876)</f>
        <v>69</v>
      </c>
      <c r="RQM876" s="245"/>
      <c r="RQN876" s="7" t="s">
        <v>23</v>
      </c>
      <c r="RQO876" s="29"/>
      <c r="RQP876" s="44">
        <v>44198</v>
      </c>
      <c r="RQQ876" s="30" t="s">
        <v>22</v>
      </c>
      <c r="RQR876" s="31">
        <v>20890</v>
      </c>
      <c r="RQS876" s="30">
        <v>1472014</v>
      </c>
      <c r="RQT876" s="30">
        <f ca="1">YEAR(TODAY())-YEAR(RQR876)</f>
        <v>69</v>
      </c>
      <c r="RQU876" s="245"/>
      <c r="RQV876" s="7" t="s">
        <v>23</v>
      </c>
      <c r="RQW876" s="29"/>
      <c r="RQX876" s="44">
        <v>44198</v>
      </c>
      <c r="RQY876" s="30" t="s">
        <v>22</v>
      </c>
      <c r="RQZ876" s="31">
        <v>20890</v>
      </c>
      <c r="RRA876" s="30">
        <v>1472014</v>
      </c>
      <c r="RRB876" s="30">
        <f ca="1">YEAR(TODAY())-YEAR(RQZ876)</f>
        <v>69</v>
      </c>
      <c r="RRC876" s="245"/>
      <c r="RRD876" s="7" t="s">
        <v>23</v>
      </c>
      <c r="RRE876" s="29"/>
      <c r="RRF876" s="44">
        <v>44198</v>
      </c>
      <c r="RRG876" s="30" t="s">
        <v>22</v>
      </c>
      <c r="RRH876" s="31">
        <v>20890</v>
      </c>
      <c r="RRI876" s="30">
        <v>1472014</v>
      </c>
      <c r="RRJ876" s="30">
        <f ca="1">YEAR(TODAY())-YEAR(RRH876)</f>
        <v>69</v>
      </c>
      <c r="RRK876" s="245"/>
      <c r="RRL876" s="7" t="s">
        <v>23</v>
      </c>
      <c r="RRM876" s="29"/>
      <c r="RRN876" s="44">
        <v>44198</v>
      </c>
      <c r="RRO876" s="30" t="s">
        <v>22</v>
      </c>
      <c r="RRP876" s="31">
        <v>20890</v>
      </c>
      <c r="RRQ876" s="30">
        <v>1472014</v>
      </c>
      <c r="RRR876" s="30">
        <f ca="1">YEAR(TODAY())-YEAR(RRP876)</f>
        <v>69</v>
      </c>
      <c r="RRS876" s="245"/>
      <c r="RRT876" s="7" t="s">
        <v>23</v>
      </c>
      <c r="RRU876" s="29"/>
      <c r="RRV876" s="44">
        <v>44198</v>
      </c>
      <c r="RRW876" s="30" t="s">
        <v>22</v>
      </c>
      <c r="RRX876" s="31">
        <v>20890</v>
      </c>
      <c r="RRY876" s="30">
        <v>1472014</v>
      </c>
      <c r="RRZ876" s="30">
        <f ca="1">YEAR(TODAY())-YEAR(RRX876)</f>
        <v>69</v>
      </c>
      <c r="RSA876" s="245"/>
      <c r="RSB876" s="7" t="s">
        <v>23</v>
      </c>
      <c r="RSC876" s="29"/>
      <c r="RSD876" s="44">
        <v>44198</v>
      </c>
      <c r="RSE876" s="30" t="s">
        <v>22</v>
      </c>
      <c r="RSF876" s="31">
        <v>20890</v>
      </c>
      <c r="RSG876" s="30">
        <v>1472014</v>
      </c>
      <c r="RSH876" s="30">
        <f ca="1">YEAR(TODAY())-YEAR(RSF876)</f>
        <v>69</v>
      </c>
      <c r="RSI876" s="245"/>
      <c r="RSJ876" s="7" t="s">
        <v>23</v>
      </c>
      <c r="RSK876" s="29"/>
      <c r="RSL876" s="44">
        <v>44198</v>
      </c>
      <c r="RSM876" s="30" t="s">
        <v>22</v>
      </c>
      <c r="RSN876" s="31">
        <v>20890</v>
      </c>
      <c r="RSO876" s="30">
        <v>1472014</v>
      </c>
      <c r="RSP876" s="30">
        <f ca="1">YEAR(TODAY())-YEAR(RSN876)</f>
        <v>69</v>
      </c>
      <c r="RSQ876" s="245"/>
      <c r="RSR876" s="7" t="s">
        <v>23</v>
      </c>
      <c r="RSS876" s="29"/>
      <c r="RST876" s="44">
        <v>44198</v>
      </c>
      <c r="RSU876" s="30" t="s">
        <v>22</v>
      </c>
      <c r="RSV876" s="31">
        <v>20890</v>
      </c>
      <c r="RSW876" s="30">
        <v>1472014</v>
      </c>
      <c r="RSX876" s="30">
        <f ca="1">YEAR(TODAY())-YEAR(RSV876)</f>
        <v>69</v>
      </c>
      <c r="RSY876" s="245"/>
      <c r="RSZ876" s="7" t="s">
        <v>23</v>
      </c>
      <c r="RTA876" s="29"/>
      <c r="RTB876" s="44">
        <v>44198</v>
      </c>
      <c r="RTC876" s="30" t="s">
        <v>22</v>
      </c>
      <c r="RTD876" s="31">
        <v>20890</v>
      </c>
      <c r="RTE876" s="30">
        <v>1472014</v>
      </c>
      <c r="RTF876" s="30">
        <f ca="1">YEAR(TODAY())-YEAR(RTD876)</f>
        <v>69</v>
      </c>
      <c r="RTG876" s="245"/>
      <c r="RTH876" s="7" t="s">
        <v>23</v>
      </c>
      <c r="RTI876" s="29"/>
      <c r="RTJ876" s="44">
        <v>44198</v>
      </c>
      <c r="RTK876" s="30" t="s">
        <v>22</v>
      </c>
      <c r="RTL876" s="31">
        <v>20890</v>
      </c>
      <c r="RTM876" s="30">
        <v>1472014</v>
      </c>
      <c r="RTN876" s="30">
        <f ca="1">YEAR(TODAY())-YEAR(RTL876)</f>
        <v>69</v>
      </c>
      <c r="RTO876" s="245"/>
      <c r="RTP876" s="7" t="s">
        <v>23</v>
      </c>
      <c r="RTQ876" s="29"/>
      <c r="RTR876" s="44">
        <v>44198</v>
      </c>
      <c r="RTS876" s="30" t="s">
        <v>22</v>
      </c>
      <c r="RTT876" s="31">
        <v>20890</v>
      </c>
      <c r="RTU876" s="30">
        <v>1472014</v>
      </c>
      <c r="RTV876" s="30">
        <f ca="1">YEAR(TODAY())-YEAR(RTT876)</f>
        <v>69</v>
      </c>
      <c r="RTW876" s="245"/>
      <c r="RTX876" s="7" t="s">
        <v>23</v>
      </c>
      <c r="RTY876" s="29"/>
      <c r="RTZ876" s="44">
        <v>44198</v>
      </c>
      <c r="RUA876" s="30" t="s">
        <v>22</v>
      </c>
      <c r="RUB876" s="31">
        <v>20890</v>
      </c>
      <c r="RUC876" s="30">
        <v>1472014</v>
      </c>
      <c r="RUD876" s="30">
        <f ca="1">YEAR(TODAY())-YEAR(RUB876)</f>
        <v>69</v>
      </c>
      <c r="RUE876" s="245"/>
      <c r="RUF876" s="7" t="s">
        <v>23</v>
      </c>
      <c r="RUG876" s="29"/>
      <c r="RUH876" s="44">
        <v>44198</v>
      </c>
      <c r="RUI876" s="30" t="s">
        <v>22</v>
      </c>
      <c r="RUJ876" s="31">
        <v>20890</v>
      </c>
      <c r="RUK876" s="30">
        <v>1472014</v>
      </c>
      <c r="RUL876" s="30">
        <f ca="1">YEAR(TODAY())-YEAR(RUJ876)</f>
        <v>69</v>
      </c>
      <c r="RUM876" s="245"/>
      <c r="RUN876" s="7" t="s">
        <v>23</v>
      </c>
      <c r="RUO876" s="29"/>
      <c r="RUP876" s="44">
        <v>44198</v>
      </c>
      <c r="RUQ876" s="30" t="s">
        <v>22</v>
      </c>
      <c r="RUR876" s="31">
        <v>20890</v>
      </c>
      <c r="RUS876" s="30">
        <v>1472014</v>
      </c>
      <c r="RUT876" s="30">
        <f ca="1">YEAR(TODAY())-YEAR(RUR876)</f>
        <v>69</v>
      </c>
      <c r="RUU876" s="245"/>
      <c r="RUV876" s="7" t="s">
        <v>23</v>
      </c>
      <c r="RUW876" s="29"/>
      <c r="RUX876" s="44">
        <v>44198</v>
      </c>
      <c r="RUY876" s="30" t="s">
        <v>22</v>
      </c>
      <c r="RUZ876" s="31">
        <v>20890</v>
      </c>
      <c r="RVA876" s="30">
        <v>1472014</v>
      </c>
      <c r="RVB876" s="30">
        <f ca="1">YEAR(TODAY())-YEAR(RUZ876)</f>
        <v>69</v>
      </c>
      <c r="RVC876" s="245"/>
      <c r="RVD876" s="7" t="s">
        <v>23</v>
      </c>
      <c r="RVE876" s="29"/>
      <c r="RVF876" s="44">
        <v>44198</v>
      </c>
      <c r="RVG876" s="30" t="s">
        <v>22</v>
      </c>
      <c r="RVH876" s="31">
        <v>20890</v>
      </c>
      <c r="RVI876" s="30">
        <v>1472014</v>
      </c>
      <c r="RVJ876" s="30">
        <f ca="1">YEAR(TODAY())-YEAR(RVH876)</f>
        <v>69</v>
      </c>
      <c r="RVK876" s="245"/>
      <c r="RVL876" s="7" t="s">
        <v>23</v>
      </c>
      <c r="RVM876" s="29"/>
      <c r="RVN876" s="44">
        <v>44198</v>
      </c>
      <c r="RVO876" s="30" t="s">
        <v>22</v>
      </c>
      <c r="RVP876" s="31">
        <v>20890</v>
      </c>
      <c r="RVQ876" s="30">
        <v>1472014</v>
      </c>
      <c r="RVR876" s="30">
        <f ca="1">YEAR(TODAY())-YEAR(RVP876)</f>
        <v>69</v>
      </c>
      <c r="RVS876" s="245"/>
      <c r="RVT876" s="7" t="s">
        <v>23</v>
      </c>
      <c r="RVU876" s="29"/>
      <c r="RVV876" s="44">
        <v>44198</v>
      </c>
      <c r="RVW876" s="30" t="s">
        <v>22</v>
      </c>
      <c r="RVX876" s="31">
        <v>20890</v>
      </c>
      <c r="RVY876" s="30">
        <v>1472014</v>
      </c>
      <c r="RVZ876" s="30">
        <f ca="1">YEAR(TODAY())-YEAR(RVX876)</f>
        <v>69</v>
      </c>
      <c r="RWA876" s="245"/>
      <c r="RWB876" s="7" t="s">
        <v>23</v>
      </c>
      <c r="RWC876" s="29"/>
      <c r="RWD876" s="44">
        <v>44198</v>
      </c>
      <c r="RWE876" s="30" t="s">
        <v>22</v>
      </c>
      <c r="RWF876" s="31">
        <v>20890</v>
      </c>
      <c r="RWG876" s="30">
        <v>1472014</v>
      </c>
      <c r="RWH876" s="30">
        <f ca="1">YEAR(TODAY())-YEAR(RWF876)</f>
        <v>69</v>
      </c>
      <c r="RWI876" s="245"/>
      <c r="RWJ876" s="7" t="s">
        <v>23</v>
      </c>
      <c r="RWK876" s="29"/>
      <c r="RWL876" s="44">
        <v>44198</v>
      </c>
      <c r="RWM876" s="30" t="s">
        <v>22</v>
      </c>
      <c r="RWN876" s="31">
        <v>20890</v>
      </c>
      <c r="RWO876" s="30">
        <v>1472014</v>
      </c>
      <c r="RWP876" s="30">
        <f ca="1">YEAR(TODAY())-YEAR(RWN876)</f>
        <v>69</v>
      </c>
      <c r="RWQ876" s="245"/>
      <c r="RWR876" s="7" t="s">
        <v>23</v>
      </c>
      <c r="RWS876" s="29"/>
      <c r="RWT876" s="44">
        <v>44198</v>
      </c>
      <c r="RWU876" s="30" t="s">
        <v>22</v>
      </c>
      <c r="RWV876" s="31">
        <v>20890</v>
      </c>
      <c r="RWW876" s="30">
        <v>1472014</v>
      </c>
      <c r="RWX876" s="30">
        <f ca="1">YEAR(TODAY())-YEAR(RWV876)</f>
        <v>69</v>
      </c>
      <c r="RWY876" s="245"/>
      <c r="RWZ876" s="7" t="s">
        <v>23</v>
      </c>
      <c r="RXA876" s="29"/>
      <c r="RXB876" s="44">
        <v>44198</v>
      </c>
      <c r="RXC876" s="30" t="s">
        <v>22</v>
      </c>
      <c r="RXD876" s="31">
        <v>20890</v>
      </c>
      <c r="RXE876" s="30">
        <v>1472014</v>
      </c>
      <c r="RXF876" s="30">
        <f ca="1">YEAR(TODAY())-YEAR(RXD876)</f>
        <v>69</v>
      </c>
      <c r="RXG876" s="245"/>
      <c r="RXH876" s="7" t="s">
        <v>23</v>
      </c>
      <c r="RXI876" s="29"/>
      <c r="RXJ876" s="44">
        <v>44198</v>
      </c>
      <c r="RXK876" s="30" t="s">
        <v>22</v>
      </c>
      <c r="RXL876" s="31">
        <v>20890</v>
      </c>
      <c r="RXM876" s="30">
        <v>1472014</v>
      </c>
      <c r="RXN876" s="30">
        <f ca="1">YEAR(TODAY())-YEAR(RXL876)</f>
        <v>69</v>
      </c>
      <c r="RXO876" s="245"/>
      <c r="RXP876" s="7" t="s">
        <v>23</v>
      </c>
      <c r="RXQ876" s="29"/>
      <c r="RXR876" s="44">
        <v>44198</v>
      </c>
      <c r="RXS876" s="30" t="s">
        <v>22</v>
      </c>
      <c r="RXT876" s="31">
        <v>20890</v>
      </c>
      <c r="RXU876" s="30">
        <v>1472014</v>
      </c>
      <c r="RXV876" s="30">
        <f ca="1">YEAR(TODAY())-YEAR(RXT876)</f>
        <v>69</v>
      </c>
      <c r="RXW876" s="245"/>
      <c r="RXX876" s="7" t="s">
        <v>23</v>
      </c>
      <c r="RXY876" s="29"/>
      <c r="RXZ876" s="44">
        <v>44198</v>
      </c>
      <c r="RYA876" s="30" t="s">
        <v>22</v>
      </c>
      <c r="RYB876" s="31">
        <v>20890</v>
      </c>
      <c r="RYC876" s="30">
        <v>1472014</v>
      </c>
      <c r="RYD876" s="30">
        <f ca="1">YEAR(TODAY())-YEAR(RYB876)</f>
        <v>69</v>
      </c>
      <c r="RYE876" s="245"/>
      <c r="RYF876" s="7" t="s">
        <v>23</v>
      </c>
      <c r="RYG876" s="29"/>
      <c r="RYH876" s="44">
        <v>44198</v>
      </c>
      <c r="RYI876" s="30" t="s">
        <v>22</v>
      </c>
      <c r="RYJ876" s="31">
        <v>20890</v>
      </c>
      <c r="RYK876" s="30">
        <v>1472014</v>
      </c>
      <c r="RYL876" s="30">
        <f ca="1">YEAR(TODAY())-YEAR(RYJ876)</f>
        <v>69</v>
      </c>
      <c r="RYM876" s="245"/>
      <c r="RYN876" s="7" t="s">
        <v>23</v>
      </c>
      <c r="RYO876" s="29"/>
      <c r="RYP876" s="44">
        <v>44198</v>
      </c>
      <c r="RYQ876" s="30" t="s">
        <v>22</v>
      </c>
      <c r="RYR876" s="31">
        <v>20890</v>
      </c>
      <c r="RYS876" s="30">
        <v>1472014</v>
      </c>
      <c r="RYT876" s="30">
        <f ca="1">YEAR(TODAY())-YEAR(RYR876)</f>
        <v>69</v>
      </c>
      <c r="RYU876" s="245"/>
      <c r="RYV876" s="7" t="s">
        <v>23</v>
      </c>
      <c r="RYW876" s="29"/>
      <c r="RYX876" s="44">
        <v>44198</v>
      </c>
      <c r="RYY876" s="30" t="s">
        <v>22</v>
      </c>
      <c r="RYZ876" s="31">
        <v>20890</v>
      </c>
      <c r="RZA876" s="30">
        <v>1472014</v>
      </c>
      <c r="RZB876" s="30">
        <f ca="1">YEAR(TODAY())-YEAR(RYZ876)</f>
        <v>69</v>
      </c>
      <c r="RZC876" s="245"/>
      <c r="RZD876" s="7" t="s">
        <v>23</v>
      </c>
      <c r="RZE876" s="29"/>
      <c r="RZF876" s="44">
        <v>44198</v>
      </c>
      <c r="RZG876" s="30" t="s">
        <v>22</v>
      </c>
      <c r="RZH876" s="31">
        <v>20890</v>
      </c>
      <c r="RZI876" s="30">
        <v>1472014</v>
      </c>
      <c r="RZJ876" s="30">
        <f ca="1">YEAR(TODAY())-YEAR(RZH876)</f>
        <v>69</v>
      </c>
      <c r="RZK876" s="245"/>
      <c r="RZL876" s="7" t="s">
        <v>23</v>
      </c>
      <c r="RZM876" s="29"/>
      <c r="RZN876" s="44">
        <v>44198</v>
      </c>
      <c r="RZO876" s="30" t="s">
        <v>22</v>
      </c>
      <c r="RZP876" s="31">
        <v>20890</v>
      </c>
      <c r="RZQ876" s="30">
        <v>1472014</v>
      </c>
      <c r="RZR876" s="30">
        <f ca="1">YEAR(TODAY())-YEAR(RZP876)</f>
        <v>69</v>
      </c>
      <c r="RZS876" s="245"/>
      <c r="RZT876" s="7" t="s">
        <v>23</v>
      </c>
      <c r="RZU876" s="29"/>
      <c r="RZV876" s="44">
        <v>44198</v>
      </c>
      <c r="RZW876" s="30" t="s">
        <v>22</v>
      </c>
      <c r="RZX876" s="31">
        <v>20890</v>
      </c>
      <c r="RZY876" s="30">
        <v>1472014</v>
      </c>
      <c r="RZZ876" s="30">
        <f ca="1">YEAR(TODAY())-YEAR(RZX876)</f>
        <v>69</v>
      </c>
      <c r="SAA876" s="245"/>
      <c r="SAB876" s="7" t="s">
        <v>23</v>
      </c>
      <c r="SAC876" s="29"/>
      <c r="SAD876" s="44">
        <v>44198</v>
      </c>
      <c r="SAE876" s="30" t="s">
        <v>22</v>
      </c>
      <c r="SAF876" s="31">
        <v>20890</v>
      </c>
      <c r="SAG876" s="30">
        <v>1472014</v>
      </c>
      <c r="SAH876" s="30">
        <f ca="1">YEAR(TODAY())-YEAR(SAF876)</f>
        <v>69</v>
      </c>
      <c r="SAI876" s="245"/>
      <c r="SAJ876" s="7" t="s">
        <v>23</v>
      </c>
      <c r="SAK876" s="29"/>
      <c r="SAL876" s="44">
        <v>44198</v>
      </c>
      <c r="SAM876" s="30" t="s">
        <v>22</v>
      </c>
      <c r="SAN876" s="31">
        <v>20890</v>
      </c>
      <c r="SAO876" s="30">
        <v>1472014</v>
      </c>
      <c r="SAP876" s="30">
        <f ca="1">YEAR(TODAY())-YEAR(SAN876)</f>
        <v>69</v>
      </c>
      <c r="SAQ876" s="245"/>
      <c r="SAR876" s="7" t="s">
        <v>23</v>
      </c>
      <c r="SAS876" s="29"/>
      <c r="SAT876" s="44">
        <v>44198</v>
      </c>
      <c r="SAU876" s="30" t="s">
        <v>22</v>
      </c>
      <c r="SAV876" s="31">
        <v>20890</v>
      </c>
      <c r="SAW876" s="30">
        <v>1472014</v>
      </c>
      <c r="SAX876" s="30">
        <f ca="1">YEAR(TODAY())-YEAR(SAV876)</f>
        <v>69</v>
      </c>
      <c r="SAY876" s="245"/>
      <c r="SAZ876" s="7" t="s">
        <v>23</v>
      </c>
      <c r="SBA876" s="29"/>
      <c r="SBB876" s="44">
        <v>44198</v>
      </c>
      <c r="SBC876" s="30" t="s">
        <v>22</v>
      </c>
      <c r="SBD876" s="31">
        <v>20890</v>
      </c>
      <c r="SBE876" s="30">
        <v>1472014</v>
      </c>
      <c r="SBF876" s="30">
        <f ca="1">YEAR(TODAY())-YEAR(SBD876)</f>
        <v>69</v>
      </c>
      <c r="SBG876" s="245"/>
      <c r="SBH876" s="7" t="s">
        <v>23</v>
      </c>
      <c r="SBI876" s="29"/>
      <c r="SBJ876" s="44">
        <v>44198</v>
      </c>
      <c r="SBK876" s="30" t="s">
        <v>22</v>
      </c>
      <c r="SBL876" s="31">
        <v>20890</v>
      </c>
      <c r="SBM876" s="30">
        <v>1472014</v>
      </c>
      <c r="SBN876" s="30">
        <f ca="1">YEAR(TODAY())-YEAR(SBL876)</f>
        <v>69</v>
      </c>
      <c r="SBO876" s="245"/>
      <c r="SBP876" s="7" t="s">
        <v>23</v>
      </c>
      <c r="SBQ876" s="29"/>
      <c r="SBR876" s="44">
        <v>44198</v>
      </c>
      <c r="SBS876" s="30" t="s">
        <v>22</v>
      </c>
      <c r="SBT876" s="31">
        <v>20890</v>
      </c>
      <c r="SBU876" s="30">
        <v>1472014</v>
      </c>
      <c r="SBV876" s="30">
        <f ca="1">YEAR(TODAY())-YEAR(SBT876)</f>
        <v>69</v>
      </c>
      <c r="SBW876" s="245"/>
      <c r="SBX876" s="7" t="s">
        <v>23</v>
      </c>
      <c r="SBY876" s="29"/>
      <c r="SBZ876" s="44">
        <v>44198</v>
      </c>
      <c r="SCA876" s="30" t="s">
        <v>22</v>
      </c>
      <c r="SCB876" s="31">
        <v>20890</v>
      </c>
      <c r="SCC876" s="30">
        <v>1472014</v>
      </c>
      <c r="SCD876" s="30">
        <f ca="1">YEAR(TODAY())-YEAR(SCB876)</f>
        <v>69</v>
      </c>
      <c r="SCE876" s="245"/>
      <c r="SCF876" s="7" t="s">
        <v>23</v>
      </c>
      <c r="SCG876" s="29"/>
      <c r="SCH876" s="44">
        <v>44198</v>
      </c>
      <c r="SCI876" s="30" t="s">
        <v>22</v>
      </c>
      <c r="SCJ876" s="31">
        <v>20890</v>
      </c>
      <c r="SCK876" s="30">
        <v>1472014</v>
      </c>
      <c r="SCL876" s="30">
        <f ca="1">YEAR(TODAY())-YEAR(SCJ876)</f>
        <v>69</v>
      </c>
      <c r="SCM876" s="245"/>
      <c r="SCN876" s="7" t="s">
        <v>23</v>
      </c>
      <c r="SCO876" s="29"/>
      <c r="SCP876" s="44">
        <v>44198</v>
      </c>
      <c r="SCQ876" s="30" t="s">
        <v>22</v>
      </c>
      <c r="SCR876" s="31">
        <v>20890</v>
      </c>
      <c r="SCS876" s="30">
        <v>1472014</v>
      </c>
      <c r="SCT876" s="30">
        <f ca="1">YEAR(TODAY())-YEAR(SCR876)</f>
        <v>69</v>
      </c>
      <c r="SCU876" s="245"/>
      <c r="SCV876" s="7" t="s">
        <v>23</v>
      </c>
      <c r="SCW876" s="29"/>
      <c r="SCX876" s="44">
        <v>44198</v>
      </c>
      <c r="SCY876" s="30" t="s">
        <v>22</v>
      </c>
      <c r="SCZ876" s="31">
        <v>20890</v>
      </c>
      <c r="SDA876" s="30">
        <v>1472014</v>
      </c>
      <c r="SDB876" s="30">
        <f ca="1">YEAR(TODAY())-YEAR(SCZ876)</f>
        <v>69</v>
      </c>
      <c r="SDC876" s="245"/>
      <c r="SDD876" s="7" t="s">
        <v>23</v>
      </c>
      <c r="SDE876" s="29"/>
      <c r="SDF876" s="44">
        <v>44198</v>
      </c>
      <c r="SDG876" s="30" t="s">
        <v>22</v>
      </c>
      <c r="SDH876" s="31">
        <v>20890</v>
      </c>
      <c r="SDI876" s="30">
        <v>1472014</v>
      </c>
      <c r="SDJ876" s="30">
        <f ca="1">YEAR(TODAY())-YEAR(SDH876)</f>
        <v>69</v>
      </c>
      <c r="SDK876" s="245"/>
      <c r="SDL876" s="7" t="s">
        <v>23</v>
      </c>
      <c r="SDM876" s="29"/>
      <c r="SDN876" s="44">
        <v>44198</v>
      </c>
      <c r="SDO876" s="30" t="s">
        <v>22</v>
      </c>
      <c r="SDP876" s="31">
        <v>20890</v>
      </c>
      <c r="SDQ876" s="30">
        <v>1472014</v>
      </c>
      <c r="SDR876" s="30">
        <f ca="1">YEAR(TODAY())-YEAR(SDP876)</f>
        <v>69</v>
      </c>
      <c r="SDS876" s="245"/>
      <c r="SDT876" s="7" t="s">
        <v>23</v>
      </c>
      <c r="SDU876" s="29"/>
      <c r="SDV876" s="44">
        <v>44198</v>
      </c>
      <c r="SDW876" s="30" t="s">
        <v>22</v>
      </c>
      <c r="SDX876" s="31">
        <v>20890</v>
      </c>
      <c r="SDY876" s="30">
        <v>1472014</v>
      </c>
      <c r="SDZ876" s="30">
        <f ca="1">YEAR(TODAY())-YEAR(SDX876)</f>
        <v>69</v>
      </c>
      <c r="SEA876" s="245"/>
      <c r="SEB876" s="7" t="s">
        <v>23</v>
      </c>
      <c r="SEC876" s="29"/>
      <c r="SED876" s="44">
        <v>44198</v>
      </c>
      <c r="SEE876" s="30" t="s">
        <v>22</v>
      </c>
      <c r="SEF876" s="31">
        <v>20890</v>
      </c>
      <c r="SEG876" s="30">
        <v>1472014</v>
      </c>
      <c r="SEH876" s="30">
        <f ca="1">YEAR(TODAY())-YEAR(SEF876)</f>
        <v>69</v>
      </c>
      <c r="SEI876" s="245"/>
      <c r="SEJ876" s="7" t="s">
        <v>23</v>
      </c>
      <c r="SEK876" s="29"/>
      <c r="SEL876" s="44">
        <v>44198</v>
      </c>
      <c r="SEM876" s="30" t="s">
        <v>22</v>
      </c>
      <c r="SEN876" s="31">
        <v>20890</v>
      </c>
      <c r="SEO876" s="30">
        <v>1472014</v>
      </c>
      <c r="SEP876" s="30">
        <f ca="1">YEAR(TODAY())-YEAR(SEN876)</f>
        <v>69</v>
      </c>
      <c r="SEQ876" s="245"/>
      <c r="SER876" s="7" t="s">
        <v>23</v>
      </c>
      <c r="SES876" s="29"/>
      <c r="SET876" s="44">
        <v>44198</v>
      </c>
      <c r="SEU876" s="30" t="s">
        <v>22</v>
      </c>
      <c r="SEV876" s="31">
        <v>20890</v>
      </c>
      <c r="SEW876" s="30">
        <v>1472014</v>
      </c>
      <c r="SEX876" s="30">
        <f ca="1">YEAR(TODAY())-YEAR(SEV876)</f>
        <v>69</v>
      </c>
      <c r="SEY876" s="245"/>
      <c r="SEZ876" s="7" t="s">
        <v>23</v>
      </c>
      <c r="SFA876" s="29"/>
      <c r="SFB876" s="44">
        <v>44198</v>
      </c>
      <c r="SFC876" s="30" t="s">
        <v>22</v>
      </c>
      <c r="SFD876" s="31">
        <v>20890</v>
      </c>
      <c r="SFE876" s="30">
        <v>1472014</v>
      </c>
      <c r="SFF876" s="30">
        <f ca="1">YEAR(TODAY())-YEAR(SFD876)</f>
        <v>69</v>
      </c>
      <c r="SFG876" s="245"/>
      <c r="SFH876" s="7" t="s">
        <v>23</v>
      </c>
      <c r="SFI876" s="29"/>
      <c r="SFJ876" s="44">
        <v>44198</v>
      </c>
      <c r="SFK876" s="30" t="s">
        <v>22</v>
      </c>
      <c r="SFL876" s="31">
        <v>20890</v>
      </c>
      <c r="SFM876" s="30">
        <v>1472014</v>
      </c>
      <c r="SFN876" s="30">
        <f ca="1">YEAR(TODAY())-YEAR(SFL876)</f>
        <v>69</v>
      </c>
      <c r="SFO876" s="245"/>
      <c r="SFP876" s="7" t="s">
        <v>23</v>
      </c>
      <c r="SFQ876" s="29"/>
      <c r="SFR876" s="44">
        <v>44198</v>
      </c>
      <c r="SFS876" s="30" t="s">
        <v>22</v>
      </c>
      <c r="SFT876" s="31">
        <v>20890</v>
      </c>
      <c r="SFU876" s="30">
        <v>1472014</v>
      </c>
      <c r="SFV876" s="30">
        <f ca="1">YEAR(TODAY())-YEAR(SFT876)</f>
        <v>69</v>
      </c>
      <c r="SFW876" s="245"/>
      <c r="SFX876" s="7" t="s">
        <v>23</v>
      </c>
      <c r="SFY876" s="29"/>
      <c r="SFZ876" s="44">
        <v>44198</v>
      </c>
      <c r="SGA876" s="30" t="s">
        <v>22</v>
      </c>
      <c r="SGB876" s="31">
        <v>20890</v>
      </c>
      <c r="SGC876" s="30">
        <v>1472014</v>
      </c>
      <c r="SGD876" s="30">
        <f ca="1">YEAR(TODAY())-YEAR(SGB876)</f>
        <v>69</v>
      </c>
      <c r="SGE876" s="245"/>
      <c r="SGF876" s="7" t="s">
        <v>23</v>
      </c>
      <c r="SGG876" s="29"/>
      <c r="SGH876" s="44">
        <v>44198</v>
      </c>
      <c r="SGI876" s="30" t="s">
        <v>22</v>
      </c>
      <c r="SGJ876" s="31">
        <v>20890</v>
      </c>
      <c r="SGK876" s="30">
        <v>1472014</v>
      </c>
      <c r="SGL876" s="30">
        <f ca="1">YEAR(TODAY())-YEAR(SGJ876)</f>
        <v>69</v>
      </c>
      <c r="SGM876" s="245"/>
      <c r="SGN876" s="7" t="s">
        <v>23</v>
      </c>
      <c r="SGO876" s="29"/>
      <c r="SGP876" s="44">
        <v>44198</v>
      </c>
      <c r="SGQ876" s="30" t="s">
        <v>22</v>
      </c>
      <c r="SGR876" s="31">
        <v>20890</v>
      </c>
      <c r="SGS876" s="30">
        <v>1472014</v>
      </c>
      <c r="SGT876" s="30">
        <f ca="1">YEAR(TODAY())-YEAR(SGR876)</f>
        <v>69</v>
      </c>
      <c r="SGU876" s="245"/>
      <c r="SGV876" s="7" t="s">
        <v>23</v>
      </c>
      <c r="SGW876" s="29"/>
      <c r="SGX876" s="44">
        <v>44198</v>
      </c>
      <c r="SGY876" s="30" t="s">
        <v>22</v>
      </c>
      <c r="SGZ876" s="31">
        <v>20890</v>
      </c>
      <c r="SHA876" s="30">
        <v>1472014</v>
      </c>
      <c r="SHB876" s="30">
        <f ca="1">YEAR(TODAY())-YEAR(SGZ876)</f>
        <v>69</v>
      </c>
      <c r="SHC876" s="245"/>
      <c r="SHD876" s="7" t="s">
        <v>23</v>
      </c>
      <c r="SHE876" s="29"/>
      <c r="SHF876" s="44">
        <v>44198</v>
      </c>
      <c r="SHG876" s="30" t="s">
        <v>22</v>
      </c>
      <c r="SHH876" s="31">
        <v>20890</v>
      </c>
      <c r="SHI876" s="30">
        <v>1472014</v>
      </c>
      <c r="SHJ876" s="30">
        <f ca="1">YEAR(TODAY())-YEAR(SHH876)</f>
        <v>69</v>
      </c>
      <c r="SHK876" s="245"/>
      <c r="SHL876" s="7" t="s">
        <v>23</v>
      </c>
      <c r="SHM876" s="29"/>
      <c r="SHN876" s="44">
        <v>44198</v>
      </c>
      <c r="SHO876" s="30" t="s">
        <v>22</v>
      </c>
      <c r="SHP876" s="31">
        <v>20890</v>
      </c>
      <c r="SHQ876" s="30">
        <v>1472014</v>
      </c>
      <c r="SHR876" s="30">
        <f ca="1">YEAR(TODAY())-YEAR(SHP876)</f>
        <v>69</v>
      </c>
      <c r="SHS876" s="245"/>
      <c r="SHT876" s="7" t="s">
        <v>23</v>
      </c>
      <c r="SHU876" s="29"/>
      <c r="SHV876" s="44">
        <v>44198</v>
      </c>
      <c r="SHW876" s="30" t="s">
        <v>22</v>
      </c>
      <c r="SHX876" s="31">
        <v>20890</v>
      </c>
      <c r="SHY876" s="30">
        <v>1472014</v>
      </c>
      <c r="SHZ876" s="30">
        <f ca="1">YEAR(TODAY())-YEAR(SHX876)</f>
        <v>69</v>
      </c>
      <c r="SIA876" s="245"/>
      <c r="SIB876" s="7" t="s">
        <v>23</v>
      </c>
      <c r="SIC876" s="29"/>
      <c r="SID876" s="44">
        <v>44198</v>
      </c>
      <c r="SIE876" s="30" t="s">
        <v>22</v>
      </c>
      <c r="SIF876" s="31">
        <v>20890</v>
      </c>
      <c r="SIG876" s="30">
        <v>1472014</v>
      </c>
      <c r="SIH876" s="30">
        <f ca="1">YEAR(TODAY())-YEAR(SIF876)</f>
        <v>69</v>
      </c>
      <c r="SII876" s="245"/>
      <c r="SIJ876" s="7" t="s">
        <v>23</v>
      </c>
      <c r="SIK876" s="29"/>
      <c r="SIL876" s="44">
        <v>44198</v>
      </c>
      <c r="SIM876" s="30" t="s">
        <v>22</v>
      </c>
      <c r="SIN876" s="31">
        <v>20890</v>
      </c>
      <c r="SIO876" s="30">
        <v>1472014</v>
      </c>
      <c r="SIP876" s="30">
        <f ca="1">YEAR(TODAY())-YEAR(SIN876)</f>
        <v>69</v>
      </c>
      <c r="SIQ876" s="245"/>
      <c r="SIR876" s="7" t="s">
        <v>23</v>
      </c>
      <c r="SIS876" s="29"/>
      <c r="SIT876" s="44">
        <v>44198</v>
      </c>
      <c r="SIU876" s="30" t="s">
        <v>22</v>
      </c>
      <c r="SIV876" s="31">
        <v>20890</v>
      </c>
      <c r="SIW876" s="30">
        <v>1472014</v>
      </c>
      <c r="SIX876" s="30">
        <f ca="1">YEAR(TODAY())-YEAR(SIV876)</f>
        <v>69</v>
      </c>
      <c r="SIY876" s="245"/>
      <c r="SIZ876" s="7" t="s">
        <v>23</v>
      </c>
      <c r="SJA876" s="29"/>
      <c r="SJB876" s="44">
        <v>44198</v>
      </c>
      <c r="SJC876" s="30" t="s">
        <v>22</v>
      </c>
      <c r="SJD876" s="31">
        <v>20890</v>
      </c>
      <c r="SJE876" s="30">
        <v>1472014</v>
      </c>
      <c r="SJF876" s="30">
        <f ca="1">YEAR(TODAY())-YEAR(SJD876)</f>
        <v>69</v>
      </c>
      <c r="SJG876" s="245"/>
      <c r="SJH876" s="7" t="s">
        <v>23</v>
      </c>
      <c r="SJI876" s="29"/>
      <c r="SJJ876" s="44">
        <v>44198</v>
      </c>
      <c r="SJK876" s="30" t="s">
        <v>22</v>
      </c>
      <c r="SJL876" s="31">
        <v>20890</v>
      </c>
      <c r="SJM876" s="30">
        <v>1472014</v>
      </c>
      <c r="SJN876" s="30">
        <f ca="1">YEAR(TODAY())-YEAR(SJL876)</f>
        <v>69</v>
      </c>
      <c r="SJO876" s="245"/>
      <c r="SJP876" s="7" t="s">
        <v>23</v>
      </c>
      <c r="SJQ876" s="29"/>
      <c r="SJR876" s="44">
        <v>44198</v>
      </c>
      <c r="SJS876" s="30" t="s">
        <v>22</v>
      </c>
      <c r="SJT876" s="31">
        <v>20890</v>
      </c>
      <c r="SJU876" s="30">
        <v>1472014</v>
      </c>
      <c r="SJV876" s="30">
        <f ca="1">YEAR(TODAY())-YEAR(SJT876)</f>
        <v>69</v>
      </c>
      <c r="SJW876" s="245"/>
      <c r="SJX876" s="7" t="s">
        <v>23</v>
      </c>
      <c r="SJY876" s="29"/>
      <c r="SJZ876" s="44">
        <v>44198</v>
      </c>
      <c r="SKA876" s="30" t="s">
        <v>22</v>
      </c>
      <c r="SKB876" s="31">
        <v>20890</v>
      </c>
      <c r="SKC876" s="30">
        <v>1472014</v>
      </c>
      <c r="SKD876" s="30">
        <f ca="1">YEAR(TODAY())-YEAR(SKB876)</f>
        <v>69</v>
      </c>
      <c r="SKE876" s="245"/>
      <c r="SKF876" s="7" t="s">
        <v>23</v>
      </c>
      <c r="SKG876" s="29"/>
      <c r="SKH876" s="44">
        <v>44198</v>
      </c>
      <c r="SKI876" s="30" t="s">
        <v>22</v>
      </c>
      <c r="SKJ876" s="31">
        <v>20890</v>
      </c>
      <c r="SKK876" s="30">
        <v>1472014</v>
      </c>
      <c r="SKL876" s="30">
        <f ca="1">YEAR(TODAY())-YEAR(SKJ876)</f>
        <v>69</v>
      </c>
      <c r="SKM876" s="245"/>
      <c r="SKN876" s="7" t="s">
        <v>23</v>
      </c>
      <c r="SKO876" s="29"/>
      <c r="SKP876" s="44">
        <v>44198</v>
      </c>
      <c r="SKQ876" s="30" t="s">
        <v>22</v>
      </c>
      <c r="SKR876" s="31">
        <v>20890</v>
      </c>
      <c r="SKS876" s="30">
        <v>1472014</v>
      </c>
      <c r="SKT876" s="30">
        <f ca="1">YEAR(TODAY())-YEAR(SKR876)</f>
        <v>69</v>
      </c>
      <c r="SKU876" s="245"/>
      <c r="SKV876" s="7" t="s">
        <v>23</v>
      </c>
      <c r="SKW876" s="29"/>
      <c r="SKX876" s="44">
        <v>44198</v>
      </c>
      <c r="SKY876" s="30" t="s">
        <v>22</v>
      </c>
      <c r="SKZ876" s="31">
        <v>20890</v>
      </c>
      <c r="SLA876" s="30">
        <v>1472014</v>
      </c>
      <c r="SLB876" s="30">
        <f ca="1">YEAR(TODAY())-YEAR(SKZ876)</f>
        <v>69</v>
      </c>
      <c r="SLC876" s="245"/>
      <c r="SLD876" s="7" t="s">
        <v>23</v>
      </c>
      <c r="SLE876" s="29"/>
      <c r="SLF876" s="44">
        <v>44198</v>
      </c>
      <c r="SLG876" s="30" t="s">
        <v>22</v>
      </c>
      <c r="SLH876" s="31">
        <v>20890</v>
      </c>
      <c r="SLI876" s="30">
        <v>1472014</v>
      </c>
      <c r="SLJ876" s="30">
        <f ca="1">YEAR(TODAY())-YEAR(SLH876)</f>
        <v>69</v>
      </c>
      <c r="SLK876" s="245"/>
      <c r="SLL876" s="7" t="s">
        <v>23</v>
      </c>
      <c r="SLM876" s="29"/>
      <c r="SLN876" s="44">
        <v>44198</v>
      </c>
      <c r="SLO876" s="30" t="s">
        <v>22</v>
      </c>
      <c r="SLP876" s="31">
        <v>20890</v>
      </c>
      <c r="SLQ876" s="30">
        <v>1472014</v>
      </c>
      <c r="SLR876" s="30">
        <f ca="1">YEAR(TODAY())-YEAR(SLP876)</f>
        <v>69</v>
      </c>
      <c r="SLS876" s="245"/>
      <c r="SLT876" s="7" t="s">
        <v>23</v>
      </c>
      <c r="SLU876" s="29"/>
      <c r="SLV876" s="44">
        <v>44198</v>
      </c>
      <c r="SLW876" s="30" t="s">
        <v>22</v>
      </c>
      <c r="SLX876" s="31">
        <v>20890</v>
      </c>
      <c r="SLY876" s="30">
        <v>1472014</v>
      </c>
      <c r="SLZ876" s="30">
        <f ca="1">YEAR(TODAY())-YEAR(SLX876)</f>
        <v>69</v>
      </c>
      <c r="SMA876" s="245"/>
      <c r="SMB876" s="7" t="s">
        <v>23</v>
      </c>
      <c r="SMC876" s="29"/>
      <c r="SMD876" s="44">
        <v>44198</v>
      </c>
      <c r="SME876" s="30" t="s">
        <v>22</v>
      </c>
      <c r="SMF876" s="31">
        <v>20890</v>
      </c>
      <c r="SMG876" s="30">
        <v>1472014</v>
      </c>
      <c r="SMH876" s="30">
        <f ca="1">YEAR(TODAY())-YEAR(SMF876)</f>
        <v>69</v>
      </c>
      <c r="SMI876" s="245"/>
      <c r="SMJ876" s="7" t="s">
        <v>23</v>
      </c>
      <c r="SMK876" s="29"/>
      <c r="SML876" s="44">
        <v>44198</v>
      </c>
      <c r="SMM876" s="30" t="s">
        <v>22</v>
      </c>
      <c r="SMN876" s="31">
        <v>20890</v>
      </c>
      <c r="SMO876" s="30">
        <v>1472014</v>
      </c>
      <c r="SMP876" s="30">
        <f ca="1">YEAR(TODAY())-YEAR(SMN876)</f>
        <v>69</v>
      </c>
      <c r="SMQ876" s="245"/>
      <c r="SMR876" s="7" t="s">
        <v>23</v>
      </c>
      <c r="SMS876" s="29"/>
      <c r="SMT876" s="44">
        <v>44198</v>
      </c>
      <c r="SMU876" s="30" t="s">
        <v>22</v>
      </c>
      <c r="SMV876" s="31">
        <v>20890</v>
      </c>
      <c r="SMW876" s="30">
        <v>1472014</v>
      </c>
      <c r="SMX876" s="30">
        <f ca="1">YEAR(TODAY())-YEAR(SMV876)</f>
        <v>69</v>
      </c>
      <c r="SMY876" s="245"/>
      <c r="SMZ876" s="7" t="s">
        <v>23</v>
      </c>
      <c r="SNA876" s="29"/>
      <c r="SNB876" s="44">
        <v>44198</v>
      </c>
      <c r="SNC876" s="30" t="s">
        <v>22</v>
      </c>
      <c r="SND876" s="31">
        <v>20890</v>
      </c>
      <c r="SNE876" s="30">
        <v>1472014</v>
      </c>
      <c r="SNF876" s="30">
        <f ca="1">YEAR(TODAY())-YEAR(SND876)</f>
        <v>69</v>
      </c>
      <c r="SNG876" s="245"/>
      <c r="SNH876" s="7" t="s">
        <v>23</v>
      </c>
      <c r="SNI876" s="29"/>
      <c r="SNJ876" s="44">
        <v>44198</v>
      </c>
      <c r="SNK876" s="30" t="s">
        <v>22</v>
      </c>
      <c r="SNL876" s="31">
        <v>20890</v>
      </c>
      <c r="SNM876" s="30">
        <v>1472014</v>
      </c>
      <c r="SNN876" s="30">
        <f ca="1">YEAR(TODAY())-YEAR(SNL876)</f>
        <v>69</v>
      </c>
      <c r="SNO876" s="245"/>
      <c r="SNP876" s="7" t="s">
        <v>23</v>
      </c>
      <c r="SNQ876" s="29"/>
      <c r="SNR876" s="44">
        <v>44198</v>
      </c>
      <c r="SNS876" s="30" t="s">
        <v>22</v>
      </c>
      <c r="SNT876" s="31">
        <v>20890</v>
      </c>
      <c r="SNU876" s="30">
        <v>1472014</v>
      </c>
      <c r="SNV876" s="30">
        <f ca="1">YEAR(TODAY())-YEAR(SNT876)</f>
        <v>69</v>
      </c>
      <c r="SNW876" s="245"/>
      <c r="SNX876" s="7" t="s">
        <v>23</v>
      </c>
      <c r="SNY876" s="29"/>
      <c r="SNZ876" s="44">
        <v>44198</v>
      </c>
      <c r="SOA876" s="30" t="s">
        <v>22</v>
      </c>
      <c r="SOB876" s="31">
        <v>20890</v>
      </c>
      <c r="SOC876" s="30">
        <v>1472014</v>
      </c>
      <c r="SOD876" s="30">
        <f ca="1">YEAR(TODAY())-YEAR(SOB876)</f>
        <v>69</v>
      </c>
      <c r="SOE876" s="245"/>
      <c r="SOF876" s="7" t="s">
        <v>23</v>
      </c>
      <c r="SOG876" s="29"/>
      <c r="SOH876" s="44">
        <v>44198</v>
      </c>
      <c r="SOI876" s="30" t="s">
        <v>22</v>
      </c>
      <c r="SOJ876" s="31">
        <v>20890</v>
      </c>
      <c r="SOK876" s="30">
        <v>1472014</v>
      </c>
      <c r="SOL876" s="30">
        <f ca="1">YEAR(TODAY())-YEAR(SOJ876)</f>
        <v>69</v>
      </c>
      <c r="SOM876" s="245"/>
      <c r="SON876" s="7" t="s">
        <v>23</v>
      </c>
      <c r="SOO876" s="29"/>
      <c r="SOP876" s="44">
        <v>44198</v>
      </c>
      <c r="SOQ876" s="30" t="s">
        <v>22</v>
      </c>
      <c r="SOR876" s="31">
        <v>20890</v>
      </c>
      <c r="SOS876" s="30">
        <v>1472014</v>
      </c>
      <c r="SOT876" s="30">
        <f ca="1">YEAR(TODAY())-YEAR(SOR876)</f>
        <v>69</v>
      </c>
      <c r="SOU876" s="245"/>
      <c r="SOV876" s="7" t="s">
        <v>23</v>
      </c>
      <c r="SOW876" s="29"/>
      <c r="SOX876" s="44">
        <v>44198</v>
      </c>
      <c r="SOY876" s="30" t="s">
        <v>22</v>
      </c>
      <c r="SOZ876" s="31">
        <v>20890</v>
      </c>
      <c r="SPA876" s="30">
        <v>1472014</v>
      </c>
      <c r="SPB876" s="30">
        <f ca="1">YEAR(TODAY())-YEAR(SOZ876)</f>
        <v>69</v>
      </c>
      <c r="SPC876" s="245"/>
      <c r="SPD876" s="7" t="s">
        <v>23</v>
      </c>
      <c r="SPE876" s="29"/>
      <c r="SPF876" s="44">
        <v>44198</v>
      </c>
      <c r="SPG876" s="30" t="s">
        <v>22</v>
      </c>
      <c r="SPH876" s="31">
        <v>20890</v>
      </c>
      <c r="SPI876" s="30">
        <v>1472014</v>
      </c>
      <c r="SPJ876" s="30">
        <f ca="1">YEAR(TODAY())-YEAR(SPH876)</f>
        <v>69</v>
      </c>
      <c r="SPK876" s="245"/>
      <c r="SPL876" s="7" t="s">
        <v>23</v>
      </c>
      <c r="SPM876" s="29"/>
      <c r="SPN876" s="44">
        <v>44198</v>
      </c>
      <c r="SPO876" s="30" t="s">
        <v>22</v>
      </c>
      <c r="SPP876" s="31">
        <v>20890</v>
      </c>
      <c r="SPQ876" s="30">
        <v>1472014</v>
      </c>
      <c r="SPR876" s="30">
        <f ca="1">YEAR(TODAY())-YEAR(SPP876)</f>
        <v>69</v>
      </c>
      <c r="SPS876" s="245"/>
      <c r="SPT876" s="7" t="s">
        <v>23</v>
      </c>
      <c r="SPU876" s="29"/>
      <c r="SPV876" s="44">
        <v>44198</v>
      </c>
      <c r="SPW876" s="30" t="s">
        <v>22</v>
      </c>
      <c r="SPX876" s="31">
        <v>20890</v>
      </c>
      <c r="SPY876" s="30">
        <v>1472014</v>
      </c>
      <c r="SPZ876" s="30">
        <f ca="1">YEAR(TODAY())-YEAR(SPX876)</f>
        <v>69</v>
      </c>
      <c r="SQA876" s="245"/>
      <c r="SQB876" s="7" t="s">
        <v>23</v>
      </c>
      <c r="SQC876" s="29"/>
      <c r="SQD876" s="44">
        <v>44198</v>
      </c>
      <c r="SQE876" s="30" t="s">
        <v>22</v>
      </c>
      <c r="SQF876" s="31">
        <v>20890</v>
      </c>
      <c r="SQG876" s="30">
        <v>1472014</v>
      </c>
      <c r="SQH876" s="30">
        <f ca="1">YEAR(TODAY())-YEAR(SQF876)</f>
        <v>69</v>
      </c>
      <c r="SQI876" s="245"/>
      <c r="SQJ876" s="7" t="s">
        <v>23</v>
      </c>
      <c r="SQK876" s="29"/>
      <c r="SQL876" s="44">
        <v>44198</v>
      </c>
      <c r="SQM876" s="30" t="s">
        <v>22</v>
      </c>
      <c r="SQN876" s="31">
        <v>20890</v>
      </c>
      <c r="SQO876" s="30">
        <v>1472014</v>
      </c>
      <c r="SQP876" s="30">
        <f ca="1">YEAR(TODAY())-YEAR(SQN876)</f>
        <v>69</v>
      </c>
      <c r="SQQ876" s="245"/>
      <c r="SQR876" s="7" t="s">
        <v>23</v>
      </c>
      <c r="SQS876" s="29"/>
      <c r="SQT876" s="44">
        <v>44198</v>
      </c>
      <c r="SQU876" s="30" t="s">
        <v>22</v>
      </c>
      <c r="SQV876" s="31">
        <v>20890</v>
      </c>
      <c r="SQW876" s="30">
        <v>1472014</v>
      </c>
      <c r="SQX876" s="30">
        <f ca="1">YEAR(TODAY())-YEAR(SQV876)</f>
        <v>69</v>
      </c>
      <c r="SQY876" s="245"/>
      <c r="SQZ876" s="7" t="s">
        <v>23</v>
      </c>
      <c r="SRA876" s="29"/>
      <c r="SRB876" s="44">
        <v>44198</v>
      </c>
      <c r="SRC876" s="30" t="s">
        <v>22</v>
      </c>
      <c r="SRD876" s="31">
        <v>20890</v>
      </c>
      <c r="SRE876" s="30">
        <v>1472014</v>
      </c>
      <c r="SRF876" s="30">
        <f ca="1">YEAR(TODAY())-YEAR(SRD876)</f>
        <v>69</v>
      </c>
      <c r="SRG876" s="245"/>
      <c r="SRH876" s="7" t="s">
        <v>23</v>
      </c>
      <c r="SRI876" s="29"/>
      <c r="SRJ876" s="44">
        <v>44198</v>
      </c>
      <c r="SRK876" s="30" t="s">
        <v>22</v>
      </c>
      <c r="SRL876" s="31">
        <v>20890</v>
      </c>
      <c r="SRM876" s="30">
        <v>1472014</v>
      </c>
      <c r="SRN876" s="30">
        <f ca="1">YEAR(TODAY())-YEAR(SRL876)</f>
        <v>69</v>
      </c>
      <c r="SRO876" s="245"/>
      <c r="SRP876" s="7" t="s">
        <v>23</v>
      </c>
      <c r="SRQ876" s="29"/>
      <c r="SRR876" s="44">
        <v>44198</v>
      </c>
      <c r="SRS876" s="30" t="s">
        <v>22</v>
      </c>
      <c r="SRT876" s="31">
        <v>20890</v>
      </c>
      <c r="SRU876" s="30">
        <v>1472014</v>
      </c>
      <c r="SRV876" s="30">
        <f ca="1">YEAR(TODAY())-YEAR(SRT876)</f>
        <v>69</v>
      </c>
      <c r="SRW876" s="245"/>
      <c r="SRX876" s="7" t="s">
        <v>23</v>
      </c>
      <c r="SRY876" s="29"/>
      <c r="SRZ876" s="44">
        <v>44198</v>
      </c>
      <c r="SSA876" s="30" t="s">
        <v>22</v>
      </c>
      <c r="SSB876" s="31">
        <v>20890</v>
      </c>
      <c r="SSC876" s="30">
        <v>1472014</v>
      </c>
      <c r="SSD876" s="30">
        <f ca="1">YEAR(TODAY())-YEAR(SSB876)</f>
        <v>69</v>
      </c>
      <c r="SSE876" s="245"/>
      <c r="SSF876" s="7" t="s">
        <v>23</v>
      </c>
      <c r="SSG876" s="29"/>
      <c r="SSH876" s="44">
        <v>44198</v>
      </c>
      <c r="SSI876" s="30" t="s">
        <v>22</v>
      </c>
      <c r="SSJ876" s="31">
        <v>20890</v>
      </c>
      <c r="SSK876" s="30">
        <v>1472014</v>
      </c>
      <c r="SSL876" s="30">
        <f ca="1">YEAR(TODAY())-YEAR(SSJ876)</f>
        <v>69</v>
      </c>
      <c r="SSM876" s="245"/>
      <c r="SSN876" s="7" t="s">
        <v>23</v>
      </c>
      <c r="SSO876" s="29"/>
      <c r="SSP876" s="44">
        <v>44198</v>
      </c>
      <c r="SSQ876" s="30" t="s">
        <v>22</v>
      </c>
      <c r="SSR876" s="31">
        <v>20890</v>
      </c>
      <c r="SSS876" s="30">
        <v>1472014</v>
      </c>
      <c r="SST876" s="30">
        <f ca="1">YEAR(TODAY())-YEAR(SSR876)</f>
        <v>69</v>
      </c>
      <c r="SSU876" s="245"/>
      <c r="SSV876" s="7" t="s">
        <v>23</v>
      </c>
      <c r="SSW876" s="29"/>
      <c r="SSX876" s="44">
        <v>44198</v>
      </c>
      <c r="SSY876" s="30" t="s">
        <v>22</v>
      </c>
      <c r="SSZ876" s="31">
        <v>20890</v>
      </c>
      <c r="STA876" s="30">
        <v>1472014</v>
      </c>
      <c r="STB876" s="30">
        <f ca="1">YEAR(TODAY())-YEAR(SSZ876)</f>
        <v>69</v>
      </c>
      <c r="STC876" s="245"/>
      <c r="STD876" s="7" t="s">
        <v>23</v>
      </c>
      <c r="STE876" s="29"/>
      <c r="STF876" s="44">
        <v>44198</v>
      </c>
      <c r="STG876" s="30" t="s">
        <v>22</v>
      </c>
      <c r="STH876" s="31">
        <v>20890</v>
      </c>
      <c r="STI876" s="30">
        <v>1472014</v>
      </c>
      <c r="STJ876" s="30">
        <f ca="1">YEAR(TODAY())-YEAR(STH876)</f>
        <v>69</v>
      </c>
      <c r="STK876" s="245"/>
      <c r="STL876" s="7" t="s">
        <v>23</v>
      </c>
      <c r="STM876" s="29"/>
      <c r="STN876" s="44">
        <v>44198</v>
      </c>
      <c r="STO876" s="30" t="s">
        <v>22</v>
      </c>
      <c r="STP876" s="31">
        <v>20890</v>
      </c>
      <c r="STQ876" s="30">
        <v>1472014</v>
      </c>
      <c r="STR876" s="30">
        <f ca="1">YEAR(TODAY())-YEAR(STP876)</f>
        <v>69</v>
      </c>
      <c r="STS876" s="245"/>
      <c r="STT876" s="7" t="s">
        <v>23</v>
      </c>
      <c r="STU876" s="29"/>
      <c r="STV876" s="44">
        <v>44198</v>
      </c>
      <c r="STW876" s="30" t="s">
        <v>22</v>
      </c>
      <c r="STX876" s="31">
        <v>20890</v>
      </c>
      <c r="STY876" s="30">
        <v>1472014</v>
      </c>
      <c r="STZ876" s="30">
        <f ca="1">YEAR(TODAY())-YEAR(STX876)</f>
        <v>69</v>
      </c>
      <c r="SUA876" s="245"/>
      <c r="SUB876" s="7" t="s">
        <v>23</v>
      </c>
      <c r="SUC876" s="29"/>
      <c r="SUD876" s="44">
        <v>44198</v>
      </c>
      <c r="SUE876" s="30" t="s">
        <v>22</v>
      </c>
      <c r="SUF876" s="31">
        <v>20890</v>
      </c>
      <c r="SUG876" s="30">
        <v>1472014</v>
      </c>
      <c r="SUH876" s="30">
        <f ca="1">YEAR(TODAY())-YEAR(SUF876)</f>
        <v>69</v>
      </c>
      <c r="SUI876" s="245"/>
      <c r="SUJ876" s="7" t="s">
        <v>23</v>
      </c>
      <c r="SUK876" s="29"/>
      <c r="SUL876" s="44">
        <v>44198</v>
      </c>
      <c r="SUM876" s="30" t="s">
        <v>22</v>
      </c>
      <c r="SUN876" s="31">
        <v>20890</v>
      </c>
      <c r="SUO876" s="30">
        <v>1472014</v>
      </c>
      <c r="SUP876" s="30">
        <f ca="1">YEAR(TODAY())-YEAR(SUN876)</f>
        <v>69</v>
      </c>
      <c r="SUQ876" s="245"/>
      <c r="SUR876" s="7" t="s">
        <v>23</v>
      </c>
      <c r="SUS876" s="29"/>
      <c r="SUT876" s="44">
        <v>44198</v>
      </c>
      <c r="SUU876" s="30" t="s">
        <v>22</v>
      </c>
      <c r="SUV876" s="31">
        <v>20890</v>
      </c>
      <c r="SUW876" s="30">
        <v>1472014</v>
      </c>
      <c r="SUX876" s="30">
        <f ca="1">YEAR(TODAY())-YEAR(SUV876)</f>
        <v>69</v>
      </c>
      <c r="SUY876" s="245"/>
      <c r="SUZ876" s="7" t="s">
        <v>23</v>
      </c>
      <c r="SVA876" s="29"/>
      <c r="SVB876" s="44">
        <v>44198</v>
      </c>
      <c r="SVC876" s="30" t="s">
        <v>22</v>
      </c>
      <c r="SVD876" s="31">
        <v>20890</v>
      </c>
      <c r="SVE876" s="30">
        <v>1472014</v>
      </c>
      <c r="SVF876" s="30">
        <f ca="1">YEAR(TODAY())-YEAR(SVD876)</f>
        <v>69</v>
      </c>
      <c r="SVG876" s="245"/>
      <c r="SVH876" s="7" t="s">
        <v>23</v>
      </c>
      <c r="SVI876" s="29"/>
      <c r="SVJ876" s="44">
        <v>44198</v>
      </c>
      <c r="SVK876" s="30" t="s">
        <v>22</v>
      </c>
      <c r="SVL876" s="31">
        <v>20890</v>
      </c>
      <c r="SVM876" s="30">
        <v>1472014</v>
      </c>
      <c r="SVN876" s="30">
        <f ca="1">YEAR(TODAY())-YEAR(SVL876)</f>
        <v>69</v>
      </c>
      <c r="SVO876" s="245"/>
      <c r="SVP876" s="7" t="s">
        <v>23</v>
      </c>
      <c r="SVQ876" s="29"/>
      <c r="SVR876" s="44">
        <v>44198</v>
      </c>
      <c r="SVS876" s="30" t="s">
        <v>22</v>
      </c>
      <c r="SVT876" s="31">
        <v>20890</v>
      </c>
      <c r="SVU876" s="30">
        <v>1472014</v>
      </c>
      <c r="SVV876" s="30">
        <f ca="1">YEAR(TODAY())-YEAR(SVT876)</f>
        <v>69</v>
      </c>
      <c r="SVW876" s="245"/>
      <c r="SVX876" s="7" t="s">
        <v>23</v>
      </c>
      <c r="SVY876" s="29"/>
      <c r="SVZ876" s="44">
        <v>44198</v>
      </c>
      <c r="SWA876" s="30" t="s">
        <v>22</v>
      </c>
      <c r="SWB876" s="31">
        <v>20890</v>
      </c>
      <c r="SWC876" s="30">
        <v>1472014</v>
      </c>
      <c r="SWD876" s="30">
        <f ca="1">YEAR(TODAY())-YEAR(SWB876)</f>
        <v>69</v>
      </c>
      <c r="SWE876" s="245"/>
      <c r="SWF876" s="7" t="s">
        <v>23</v>
      </c>
      <c r="SWG876" s="29"/>
      <c r="SWH876" s="44">
        <v>44198</v>
      </c>
      <c r="SWI876" s="30" t="s">
        <v>22</v>
      </c>
      <c r="SWJ876" s="31">
        <v>20890</v>
      </c>
      <c r="SWK876" s="30">
        <v>1472014</v>
      </c>
      <c r="SWL876" s="30">
        <f ca="1">YEAR(TODAY())-YEAR(SWJ876)</f>
        <v>69</v>
      </c>
      <c r="SWM876" s="245"/>
      <c r="SWN876" s="7" t="s">
        <v>23</v>
      </c>
      <c r="SWO876" s="29"/>
      <c r="SWP876" s="44">
        <v>44198</v>
      </c>
      <c r="SWQ876" s="30" t="s">
        <v>22</v>
      </c>
      <c r="SWR876" s="31">
        <v>20890</v>
      </c>
      <c r="SWS876" s="30">
        <v>1472014</v>
      </c>
      <c r="SWT876" s="30">
        <f ca="1">YEAR(TODAY())-YEAR(SWR876)</f>
        <v>69</v>
      </c>
      <c r="SWU876" s="245"/>
      <c r="SWV876" s="7" t="s">
        <v>23</v>
      </c>
      <c r="SWW876" s="29"/>
      <c r="SWX876" s="44">
        <v>44198</v>
      </c>
      <c r="SWY876" s="30" t="s">
        <v>22</v>
      </c>
      <c r="SWZ876" s="31">
        <v>20890</v>
      </c>
      <c r="SXA876" s="30">
        <v>1472014</v>
      </c>
      <c r="SXB876" s="30">
        <f ca="1">YEAR(TODAY())-YEAR(SWZ876)</f>
        <v>69</v>
      </c>
      <c r="SXC876" s="245"/>
      <c r="SXD876" s="7" t="s">
        <v>23</v>
      </c>
      <c r="SXE876" s="29"/>
      <c r="SXF876" s="44">
        <v>44198</v>
      </c>
      <c r="SXG876" s="30" t="s">
        <v>22</v>
      </c>
      <c r="SXH876" s="31">
        <v>20890</v>
      </c>
      <c r="SXI876" s="30">
        <v>1472014</v>
      </c>
      <c r="SXJ876" s="30">
        <f ca="1">YEAR(TODAY())-YEAR(SXH876)</f>
        <v>69</v>
      </c>
      <c r="SXK876" s="245"/>
      <c r="SXL876" s="7" t="s">
        <v>23</v>
      </c>
      <c r="SXM876" s="29"/>
      <c r="SXN876" s="44">
        <v>44198</v>
      </c>
      <c r="SXO876" s="30" t="s">
        <v>22</v>
      </c>
      <c r="SXP876" s="31">
        <v>20890</v>
      </c>
      <c r="SXQ876" s="30">
        <v>1472014</v>
      </c>
      <c r="SXR876" s="30">
        <f ca="1">YEAR(TODAY())-YEAR(SXP876)</f>
        <v>69</v>
      </c>
      <c r="SXS876" s="245"/>
      <c r="SXT876" s="7" t="s">
        <v>23</v>
      </c>
      <c r="SXU876" s="29"/>
      <c r="SXV876" s="44">
        <v>44198</v>
      </c>
      <c r="SXW876" s="30" t="s">
        <v>22</v>
      </c>
      <c r="SXX876" s="31">
        <v>20890</v>
      </c>
      <c r="SXY876" s="30">
        <v>1472014</v>
      </c>
      <c r="SXZ876" s="30">
        <f ca="1">YEAR(TODAY())-YEAR(SXX876)</f>
        <v>69</v>
      </c>
      <c r="SYA876" s="245"/>
      <c r="SYB876" s="7" t="s">
        <v>23</v>
      </c>
      <c r="SYC876" s="29"/>
      <c r="SYD876" s="44">
        <v>44198</v>
      </c>
      <c r="SYE876" s="30" t="s">
        <v>22</v>
      </c>
      <c r="SYF876" s="31">
        <v>20890</v>
      </c>
      <c r="SYG876" s="30">
        <v>1472014</v>
      </c>
      <c r="SYH876" s="30">
        <f ca="1">YEAR(TODAY())-YEAR(SYF876)</f>
        <v>69</v>
      </c>
      <c r="SYI876" s="245"/>
      <c r="SYJ876" s="7" t="s">
        <v>23</v>
      </c>
      <c r="SYK876" s="29"/>
      <c r="SYL876" s="44">
        <v>44198</v>
      </c>
      <c r="SYM876" s="30" t="s">
        <v>22</v>
      </c>
      <c r="SYN876" s="31">
        <v>20890</v>
      </c>
      <c r="SYO876" s="30">
        <v>1472014</v>
      </c>
      <c r="SYP876" s="30">
        <f ca="1">YEAR(TODAY())-YEAR(SYN876)</f>
        <v>69</v>
      </c>
      <c r="SYQ876" s="245"/>
      <c r="SYR876" s="7" t="s">
        <v>23</v>
      </c>
      <c r="SYS876" s="29"/>
      <c r="SYT876" s="44">
        <v>44198</v>
      </c>
      <c r="SYU876" s="30" t="s">
        <v>22</v>
      </c>
      <c r="SYV876" s="31">
        <v>20890</v>
      </c>
      <c r="SYW876" s="30">
        <v>1472014</v>
      </c>
      <c r="SYX876" s="30">
        <f ca="1">YEAR(TODAY())-YEAR(SYV876)</f>
        <v>69</v>
      </c>
      <c r="SYY876" s="245"/>
      <c r="SYZ876" s="7" t="s">
        <v>23</v>
      </c>
      <c r="SZA876" s="29"/>
      <c r="SZB876" s="44">
        <v>44198</v>
      </c>
      <c r="SZC876" s="30" t="s">
        <v>22</v>
      </c>
      <c r="SZD876" s="31">
        <v>20890</v>
      </c>
      <c r="SZE876" s="30">
        <v>1472014</v>
      </c>
      <c r="SZF876" s="30">
        <f ca="1">YEAR(TODAY())-YEAR(SZD876)</f>
        <v>69</v>
      </c>
      <c r="SZG876" s="245"/>
      <c r="SZH876" s="7" t="s">
        <v>23</v>
      </c>
      <c r="SZI876" s="29"/>
      <c r="SZJ876" s="44">
        <v>44198</v>
      </c>
      <c r="SZK876" s="30" t="s">
        <v>22</v>
      </c>
      <c r="SZL876" s="31">
        <v>20890</v>
      </c>
      <c r="SZM876" s="30">
        <v>1472014</v>
      </c>
      <c r="SZN876" s="30">
        <f ca="1">YEAR(TODAY())-YEAR(SZL876)</f>
        <v>69</v>
      </c>
      <c r="SZO876" s="245"/>
      <c r="SZP876" s="7" t="s">
        <v>23</v>
      </c>
      <c r="SZQ876" s="29"/>
      <c r="SZR876" s="44">
        <v>44198</v>
      </c>
      <c r="SZS876" s="30" t="s">
        <v>22</v>
      </c>
      <c r="SZT876" s="31">
        <v>20890</v>
      </c>
      <c r="SZU876" s="30">
        <v>1472014</v>
      </c>
      <c r="SZV876" s="30">
        <f ca="1">YEAR(TODAY())-YEAR(SZT876)</f>
        <v>69</v>
      </c>
      <c r="SZW876" s="245"/>
      <c r="SZX876" s="7" t="s">
        <v>23</v>
      </c>
      <c r="SZY876" s="29"/>
      <c r="SZZ876" s="44">
        <v>44198</v>
      </c>
      <c r="TAA876" s="30" t="s">
        <v>22</v>
      </c>
      <c r="TAB876" s="31">
        <v>20890</v>
      </c>
      <c r="TAC876" s="30">
        <v>1472014</v>
      </c>
      <c r="TAD876" s="30">
        <f ca="1">YEAR(TODAY())-YEAR(TAB876)</f>
        <v>69</v>
      </c>
      <c r="TAE876" s="245"/>
      <c r="TAF876" s="7" t="s">
        <v>23</v>
      </c>
      <c r="TAG876" s="29"/>
      <c r="TAH876" s="44">
        <v>44198</v>
      </c>
      <c r="TAI876" s="30" t="s">
        <v>22</v>
      </c>
      <c r="TAJ876" s="31">
        <v>20890</v>
      </c>
      <c r="TAK876" s="30">
        <v>1472014</v>
      </c>
      <c r="TAL876" s="30">
        <f ca="1">YEAR(TODAY())-YEAR(TAJ876)</f>
        <v>69</v>
      </c>
      <c r="TAM876" s="245"/>
      <c r="TAN876" s="7" t="s">
        <v>23</v>
      </c>
      <c r="TAO876" s="29"/>
      <c r="TAP876" s="44">
        <v>44198</v>
      </c>
      <c r="TAQ876" s="30" t="s">
        <v>22</v>
      </c>
      <c r="TAR876" s="31">
        <v>20890</v>
      </c>
      <c r="TAS876" s="30">
        <v>1472014</v>
      </c>
      <c r="TAT876" s="30">
        <f ca="1">YEAR(TODAY())-YEAR(TAR876)</f>
        <v>69</v>
      </c>
      <c r="TAU876" s="245"/>
      <c r="TAV876" s="7" t="s">
        <v>23</v>
      </c>
      <c r="TAW876" s="29"/>
      <c r="TAX876" s="44">
        <v>44198</v>
      </c>
      <c r="TAY876" s="30" t="s">
        <v>22</v>
      </c>
      <c r="TAZ876" s="31">
        <v>20890</v>
      </c>
      <c r="TBA876" s="30">
        <v>1472014</v>
      </c>
      <c r="TBB876" s="30">
        <f ca="1">YEAR(TODAY())-YEAR(TAZ876)</f>
        <v>69</v>
      </c>
      <c r="TBC876" s="245"/>
      <c r="TBD876" s="7" t="s">
        <v>23</v>
      </c>
      <c r="TBE876" s="29"/>
      <c r="TBF876" s="44">
        <v>44198</v>
      </c>
      <c r="TBG876" s="30" t="s">
        <v>22</v>
      </c>
      <c r="TBH876" s="31">
        <v>20890</v>
      </c>
      <c r="TBI876" s="30">
        <v>1472014</v>
      </c>
      <c r="TBJ876" s="30">
        <f ca="1">YEAR(TODAY())-YEAR(TBH876)</f>
        <v>69</v>
      </c>
      <c r="TBK876" s="245"/>
      <c r="TBL876" s="7" t="s">
        <v>23</v>
      </c>
      <c r="TBM876" s="29"/>
      <c r="TBN876" s="44">
        <v>44198</v>
      </c>
      <c r="TBO876" s="30" t="s">
        <v>22</v>
      </c>
      <c r="TBP876" s="31">
        <v>20890</v>
      </c>
      <c r="TBQ876" s="30">
        <v>1472014</v>
      </c>
      <c r="TBR876" s="30">
        <f ca="1">YEAR(TODAY())-YEAR(TBP876)</f>
        <v>69</v>
      </c>
      <c r="TBS876" s="245"/>
      <c r="TBT876" s="7" t="s">
        <v>23</v>
      </c>
      <c r="TBU876" s="29"/>
      <c r="TBV876" s="44">
        <v>44198</v>
      </c>
      <c r="TBW876" s="30" t="s">
        <v>22</v>
      </c>
      <c r="TBX876" s="31">
        <v>20890</v>
      </c>
      <c r="TBY876" s="30">
        <v>1472014</v>
      </c>
      <c r="TBZ876" s="30">
        <f ca="1">YEAR(TODAY())-YEAR(TBX876)</f>
        <v>69</v>
      </c>
      <c r="TCA876" s="245"/>
      <c r="TCB876" s="7" t="s">
        <v>23</v>
      </c>
      <c r="TCC876" s="29"/>
      <c r="TCD876" s="44">
        <v>44198</v>
      </c>
      <c r="TCE876" s="30" t="s">
        <v>22</v>
      </c>
      <c r="TCF876" s="31">
        <v>20890</v>
      </c>
      <c r="TCG876" s="30">
        <v>1472014</v>
      </c>
      <c r="TCH876" s="30">
        <f ca="1">YEAR(TODAY())-YEAR(TCF876)</f>
        <v>69</v>
      </c>
      <c r="TCI876" s="245"/>
      <c r="TCJ876" s="7" t="s">
        <v>23</v>
      </c>
      <c r="TCK876" s="29"/>
      <c r="TCL876" s="44">
        <v>44198</v>
      </c>
      <c r="TCM876" s="30" t="s">
        <v>22</v>
      </c>
      <c r="TCN876" s="31">
        <v>20890</v>
      </c>
      <c r="TCO876" s="30">
        <v>1472014</v>
      </c>
      <c r="TCP876" s="30">
        <f ca="1">YEAR(TODAY())-YEAR(TCN876)</f>
        <v>69</v>
      </c>
      <c r="TCQ876" s="245"/>
      <c r="TCR876" s="7" t="s">
        <v>23</v>
      </c>
      <c r="TCS876" s="29"/>
      <c r="TCT876" s="44">
        <v>44198</v>
      </c>
      <c r="TCU876" s="30" t="s">
        <v>22</v>
      </c>
      <c r="TCV876" s="31">
        <v>20890</v>
      </c>
      <c r="TCW876" s="30">
        <v>1472014</v>
      </c>
      <c r="TCX876" s="30">
        <f ca="1">YEAR(TODAY())-YEAR(TCV876)</f>
        <v>69</v>
      </c>
      <c r="TCY876" s="245"/>
      <c r="TCZ876" s="7" t="s">
        <v>23</v>
      </c>
      <c r="TDA876" s="29"/>
      <c r="TDB876" s="44">
        <v>44198</v>
      </c>
      <c r="TDC876" s="30" t="s">
        <v>22</v>
      </c>
      <c r="TDD876" s="31">
        <v>20890</v>
      </c>
      <c r="TDE876" s="30">
        <v>1472014</v>
      </c>
      <c r="TDF876" s="30">
        <f ca="1">YEAR(TODAY())-YEAR(TDD876)</f>
        <v>69</v>
      </c>
      <c r="TDG876" s="245"/>
      <c r="TDH876" s="7" t="s">
        <v>23</v>
      </c>
      <c r="TDI876" s="29"/>
      <c r="TDJ876" s="44">
        <v>44198</v>
      </c>
      <c r="TDK876" s="30" t="s">
        <v>22</v>
      </c>
      <c r="TDL876" s="31">
        <v>20890</v>
      </c>
      <c r="TDM876" s="30">
        <v>1472014</v>
      </c>
      <c r="TDN876" s="30">
        <f ca="1">YEAR(TODAY())-YEAR(TDL876)</f>
        <v>69</v>
      </c>
      <c r="TDO876" s="245"/>
      <c r="TDP876" s="7" t="s">
        <v>23</v>
      </c>
      <c r="TDQ876" s="29"/>
      <c r="TDR876" s="44">
        <v>44198</v>
      </c>
      <c r="TDS876" s="30" t="s">
        <v>22</v>
      </c>
      <c r="TDT876" s="31">
        <v>20890</v>
      </c>
      <c r="TDU876" s="30">
        <v>1472014</v>
      </c>
      <c r="TDV876" s="30">
        <f ca="1">YEAR(TODAY())-YEAR(TDT876)</f>
        <v>69</v>
      </c>
      <c r="TDW876" s="245"/>
      <c r="TDX876" s="7" t="s">
        <v>23</v>
      </c>
      <c r="TDY876" s="29"/>
      <c r="TDZ876" s="44">
        <v>44198</v>
      </c>
      <c r="TEA876" s="30" t="s">
        <v>22</v>
      </c>
      <c r="TEB876" s="31">
        <v>20890</v>
      </c>
      <c r="TEC876" s="30">
        <v>1472014</v>
      </c>
      <c r="TED876" s="30">
        <f ca="1">YEAR(TODAY())-YEAR(TEB876)</f>
        <v>69</v>
      </c>
      <c r="TEE876" s="245"/>
      <c r="TEF876" s="7" t="s">
        <v>23</v>
      </c>
      <c r="TEG876" s="29"/>
      <c r="TEH876" s="44">
        <v>44198</v>
      </c>
      <c r="TEI876" s="30" t="s">
        <v>22</v>
      </c>
      <c r="TEJ876" s="31">
        <v>20890</v>
      </c>
      <c r="TEK876" s="30">
        <v>1472014</v>
      </c>
      <c r="TEL876" s="30">
        <f ca="1">YEAR(TODAY())-YEAR(TEJ876)</f>
        <v>69</v>
      </c>
      <c r="TEM876" s="245"/>
      <c r="TEN876" s="7" t="s">
        <v>23</v>
      </c>
      <c r="TEO876" s="29"/>
      <c r="TEP876" s="44">
        <v>44198</v>
      </c>
      <c r="TEQ876" s="30" t="s">
        <v>22</v>
      </c>
      <c r="TER876" s="31">
        <v>20890</v>
      </c>
      <c r="TES876" s="30">
        <v>1472014</v>
      </c>
      <c r="TET876" s="30">
        <f ca="1">YEAR(TODAY())-YEAR(TER876)</f>
        <v>69</v>
      </c>
      <c r="TEU876" s="245"/>
      <c r="TEV876" s="7" t="s">
        <v>23</v>
      </c>
      <c r="TEW876" s="29"/>
      <c r="TEX876" s="44">
        <v>44198</v>
      </c>
      <c r="TEY876" s="30" t="s">
        <v>22</v>
      </c>
      <c r="TEZ876" s="31">
        <v>20890</v>
      </c>
      <c r="TFA876" s="30">
        <v>1472014</v>
      </c>
      <c r="TFB876" s="30">
        <f ca="1">YEAR(TODAY())-YEAR(TEZ876)</f>
        <v>69</v>
      </c>
      <c r="TFC876" s="245"/>
      <c r="TFD876" s="7" t="s">
        <v>23</v>
      </c>
      <c r="TFE876" s="29"/>
      <c r="TFF876" s="44">
        <v>44198</v>
      </c>
      <c r="TFG876" s="30" t="s">
        <v>22</v>
      </c>
      <c r="TFH876" s="31">
        <v>20890</v>
      </c>
      <c r="TFI876" s="30">
        <v>1472014</v>
      </c>
      <c r="TFJ876" s="30">
        <f ca="1">YEAR(TODAY())-YEAR(TFH876)</f>
        <v>69</v>
      </c>
      <c r="TFK876" s="245"/>
      <c r="TFL876" s="7" t="s">
        <v>23</v>
      </c>
      <c r="TFM876" s="29"/>
      <c r="TFN876" s="44">
        <v>44198</v>
      </c>
      <c r="TFO876" s="30" t="s">
        <v>22</v>
      </c>
      <c r="TFP876" s="31">
        <v>20890</v>
      </c>
      <c r="TFQ876" s="30">
        <v>1472014</v>
      </c>
      <c r="TFR876" s="30">
        <f ca="1">YEAR(TODAY())-YEAR(TFP876)</f>
        <v>69</v>
      </c>
      <c r="TFS876" s="245"/>
      <c r="TFT876" s="7" t="s">
        <v>23</v>
      </c>
      <c r="TFU876" s="29"/>
      <c r="TFV876" s="44">
        <v>44198</v>
      </c>
      <c r="TFW876" s="30" t="s">
        <v>22</v>
      </c>
      <c r="TFX876" s="31">
        <v>20890</v>
      </c>
      <c r="TFY876" s="30">
        <v>1472014</v>
      </c>
      <c r="TFZ876" s="30">
        <f ca="1">YEAR(TODAY())-YEAR(TFX876)</f>
        <v>69</v>
      </c>
      <c r="TGA876" s="245"/>
      <c r="TGB876" s="7" t="s">
        <v>23</v>
      </c>
      <c r="TGC876" s="29"/>
      <c r="TGD876" s="44">
        <v>44198</v>
      </c>
      <c r="TGE876" s="30" t="s">
        <v>22</v>
      </c>
      <c r="TGF876" s="31">
        <v>20890</v>
      </c>
      <c r="TGG876" s="30">
        <v>1472014</v>
      </c>
      <c r="TGH876" s="30">
        <f ca="1">YEAR(TODAY())-YEAR(TGF876)</f>
        <v>69</v>
      </c>
      <c r="TGI876" s="245"/>
      <c r="TGJ876" s="7" t="s">
        <v>23</v>
      </c>
      <c r="TGK876" s="29"/>
      <c r="TGL876" s="44">
        <v>44198</v>
      </c>
      <c r="TGM876" s="30" t="s">
        <v>22</v>
      </c>
      <c r="TGN876" s="31">
        <v>20890</v>
      </c>
      <c r="TGO876" s="30">
        <v>1472014</v>
      </c>
      <c r="TGP876" s="30">
        <f ca="1">YEAR(TODAY())-YEAR(TGN876)</f>
        <v>69</v>
      </c>
      <c r="TGQ876" s="245"/>
      <c r="TGR876" s="7" t="s">
        <v>23</v>
      </c>
      <c r="TGS876" s="29"/>
      <c r="TGT876" s="44">
        <v>44198</v>
      </c>
      <c r="TGU876" s="30" t="s">
        <v>22</v>
      </c>
      <c r="TGV876" s="31">
        <v>20890</v>
      </c>
      <c r="TGW876" s="30">
        <v>1472014</v>
      </c>
      <c r="TGX876" s="30">
        <f ca="1">YEAR(TODAY())-YEAR(TGV876)</f>
        <v>69</v>
      </c>
      <c r="TGY876" s="245"/>
      <c r="TGZ876" s="7" t="s">
        <v>23</v>
      </c>
      <c r="THA876" s="29"/>
      <c r="THB876" s="44">
        <v>44198</v>
      </c>
      <c r="THC876" s="30" t="s">
        <v>22</v>
      </c>
      <c r="THD876" s="31">
        <v>20890</v>
      </c>
      <c r="THE876" s="30">
        <v>1472014</v>
      </c>
      <c r="THF876" s="30">
        <f ca="1">YEAR(TODAY())-YEAR(THD876)</f>
        <v>69</v>
      </c>
      <c r="THG876" s="245"/>
      <c r="THH876" s="7" t="s">
        <v>23</v>
      </c>
      <c r="THI876" s="29"/>
      <c r="THJ876" s="44">
        <v>44198</v>
      </c>
      <c r="THK876" s="30" t="s">
        <v>22</v>
      </c>
      <c r="THL876" s="31">
        <v>20890</v>
      </c>
      <c r="THM876" s="30">
        <v>1472014</v>
      </c>
      <c r="THN876" s="30">
        <f ca="1">YEAR(TODAY())-YEAR(THL876)</f>
        <v>69</v>
      </c>
      <c r="THO876" s="245"/>
      <c r="THP876" s="7" t="s">
        <v>23</v>
      </c>
      <c r="THQ876" s="29"/>
      <c r="THR876" s="44">
        <v>44198</v>
      </c>
      <c r="THS876" s="30" t="s">
        <v>22</v>
      </c>
      <c r="THT876" s="31">
        <v>20890</v>
      </c>
      <c r="THU876" s="30">
        <v>1472014</v>
      </c>
      <c r="THV876" s="30">
        <f ca="1">YEAR(TODAY())-YEAR(THT876)</f>
        <v>69</v>
      </c>
      <c r="THW876" s="245"/>
      <c r="THX876" s="7" t="s">
        <v>23</v>
      </c>
      <c r="THY876" s="29"/>
      <c r="THZ876" s="44">
        <v>44198</v>
      </c>
      <c r="TIA876" s="30" t="s">
        <v>22</v>
      </c>
      <c r="TIB876" s="31">
        <v>20890</v>
      </c>
      <c r="TIC876" s="30">
        <v>1472014</v>
      </c>
      <c r="TID876" s="30">
        <f ca="1">YEAR(TODAY())-YEAR(TIB876)</f>
        <v>69</v>
      </c>
      <c r="TIE876" s="245"/>
      <c r="TIF876" s="7" t="s">
        <v>23</v>
      </c>
      <c r="TIG876" s="29"/>
      <c r="TIH876" s="44">
        <v>44198</v>
      </c>
      <c r="TII876" s="30" t="s">
        <v>22</v>
      </c>
      <c r="TIJ876" s="31">
        <v>20890</v>
      </c>
      <c r="TIK876" s="30">
        <v>1472014</v>
      </c>
      <c r="TIL876" s="30">
        <f ca="1">YEAR(TODAY())-YEAR(TIJ876)</f>
        <v>69</v>
      </c>
      <c r="TIM876" s="245"/>
      <c r="TIN876" s="7" t="s">
        <v>23</v>
      </c>
      <c r="TIO876" s="29"/>
      <c r="TIP876" s="44">
        <v>44198</v>
      </c>
      <c r="TIQ876" s="30" t="s">
        <v>22</v>
      </c>
      <c r="TIR876" s="31">
        <v>20890</v>
      </c>
      <c r="TIS876" s="30">
        <v>1472014</v>
      </c>
      <c r="TIT876" s="30">
        <f ca="1">YEAR(TODAY())-YEAR(TIR876)</f>
        <v>69</v>
      </c>
      <c r="TIU876" s="245"/>
      <c r="TIV876" s="7" t="s">
        <v>23</v>
      </c>
      <c r="TIW876" s="29"/>
      <c r="TIX876" s="44">
        <v>44198</v>
      </c>
      <c r="TIY876" s="30" t="s">
        <v>22</v>
      </c>
      <c r="TIZ876" s="31">
        <v>20890</v>
      </c>
      <c r="TJA876" s="30">
        <v>1472014</v>
      </c>
      <c r="TJB876" s="30">
        <f ca="1">YEAR(TODAY())-YEAR(TIZ876)</f>
        <v>69</v>
      </c>
      <c r="TJC876" s="245"/>
      <c r="TJD876" s="7" t="s">
        <v>23</v>
      </c>
      <c r="TJE876" s="29"/>
      <c r="TJF876" s="44">
        <v>44198</v>
      </c>
      <c r="TJG876" s="30" t="s">
        <v>22</v>
      </c>
      <c r="TJH876" s="31">
        <v>20890</v>
      </c>
      <c r="TJI876" s="30">
        <v>1472014</v>
      </c>
      <c r="TJJ876" s="30">
        <f ca="1">YEAR(TODAY())-YEAR(TJH876)</f>
        <v>69</v>
      </c>
      <c r="TJK876" s="245"/>
      <c r="TJL876" s="7" t="s">
        <v>23</v>
      </c>
      <c r="TJM876" s="29"/>
      <c r="TJN876" s="44">
        <v>44198</v>
      </c>
      <c r="TJO876" s="30" t="s">
        <v>22</v>
      </c>
      <c r="TJP876" s="31">
        <v>20890</v>
      </c>
      <c r="TJQ876" s="30">
        <v>1472014</v>
      </c>
      <c r="TJR876" s="30">
        <f ca="1">YEAR(TODAY())-YEAR(TJP876)</f>
        <v>69</v>
      </c>
      <c r="TJS876" s="245"/>
      <c r="TJT876" s="7" t="s">
        <v>23</v>
      </c>
      <c r="TJU876" s="29"/>
      <c r="TJV876" s="44">
        <v>44198</v>
      </c>
      <c r="TJW876" s="30" t="s">
        <v>22</v>
      </c>
      <c r="TJX876" s="31">
        <v>20890</v>
      </c>
      <c r="TJY876" s="30">
        <v>1472014</v>
      </c>
      <c r="TJZ876" s="30">
        <f ca="1">YEAR(TODAY())-YEAR(TJX876)</f>
        <v>69</v>
      </c>
      <c r="TKA876" s="245"/>
      <c r="TKB876" s="7" t="s">
        <v>23</v>
      </c>
      <c r="TKC876" s="29"/>
      <c r="TKD876" s="44">
        <v>44198</v>
      </c>
      <c r="TKE876" s="30" t="s">
        <v>22</v>
      </c>
      <c r="TKF876" s="31">
        <v>20890</v>
      </c>
      <c r="TKG876" s="30">
        <v>1472014</v>
      </c>
      <c r="TKH876" s="30">
        <f ca="1">YEAR(TODAY())-YEAR(TKF876)</f>
        <v>69</v>
      </c>
      <c r="TKI876" s="245"/>
      <c r="TKJ876" s="7" t="s">
        <v>23</v>
      </c>
      <c r="TKK876" s="29"/>
      <c r="TKL876" s="44">
        <v>44198</v>
      </c>
      <c r="TKM876" s="30" t="s">
        <v>22</v>
      </c>
      <c r="TKN876" s="31">
        <v>20890</v>
      </c>
      <c r="TKO876" s="30">
        <v>1472014</v>
      </c>
      <c r="TKP876" s="30">
        <f ca="1">YEAR(TODAY())-YEAR(TKN876)</f>
        <v>69</v>
      </c>
      <c r="TKQ876" s="245"/>
      <c r="TKR876" s="7" t="s">
        <v>23</v>
      </c>
      <c r="TKS876" s="29"/>
      <c r="TKT876" s="44">
        <v>44198</v>
      </c>
      <c r="TKU876" s="30" t="s">
        <v>22</v>
      </c>
      <c r="TKV876" s="31">
        <v>20890</v>
      </c>
      <c r="TKW876" s="30">
        <v>1472014</v>
      </c>
      <c r="TKX876" s="30">
        <f ca="1">YEAR(TODAY())-YEAR(TKV876)</f>
        <v>69</v>
      </c>
      <c r="TKY876" s="245"/>
      <c r="TKZ876" s="7" t="s">
        <v>23</v>
      </c>
      <c r="TLA876" s="29"/>
      <c r="TLB876" s="44">
        <v>44198</v>
      </c>
      <c r="TLC876" s="30" t="s">
        <v>22</v>
      </c>
      <c r="TLD876" s="31">
        <v>20890</v>
      </c>
      <c r="TLE876" s="30">
        <v>1472014</v>
      </c>
      <c r="TLF876" s="30">
        <f ca="1">YEAR(TODAY())-YEAR(TLD876)</f>
        <v>69</v>
      </c>
      <c r="TLG876" s="245"/>
      <c r="TLH876" s="7" t="s">
        <v>23</v>
      </c>
      <c r="TLI876" s="29"/>
      <c r="TLJ876" s="44">
        <v>44198</v>
      </c>
      <c r="TLK876" s="30" t="s">
        <v>22</v>
      </c>
      <c r="TLL876" s="31">
        <v>20890</v>
      </c>
      <c r="TLM876" s="30">
        <v>1472014</v>
      </c>
      <c r="TLN876" s="30">
        <f ca="1">YEAR(TODAY())-YEAR(TLL876)</f>
        <v>69</v>
      </c>
      <c r="TLO876" s="245"/>
      <c r="TLP876" s="7" t="s">
        <v>23</v>
      </c>
      <c r="TLQ876" s="29"/>
      <c r="TLR876" s="44">
        <v>44198</v>
      </c>
      <c r="TLS876" s="30" t="s">
        <v>22</v>
      </c>
      <c r="TLT876" s="31">
        <v>20890</v>
      </c>
      <c r="TLU876" s="30">
        <v>1472014</v>
      </c>
      <c r="TLV876" s="30">
        <f ca="1">YEAR(TODAY())-YEAR(TLT876)</f>
        <v>69</v>
      </c>
      <c r="TLW876" s="245"/>
      <c r="TLX876" s="7" t="s">
        <v>23</v>
      </c>
      <c r="TLY876" s="29"/>
      <c r="TLZ876" s="44">
        <v>44198</v>
      </c>
      <c r="TMA876" s="30" t="s">
        <v>22</v>
      </c>
      <c r="TMB876" s="31">
        <v>20890</v>
      </c>
      <c r="TMC876" s="30">
        <v>1472014</v>
      </c>
      <c r="TMD876" s="30">
        <f ca="1">YEAR(TODAY())-YEAR(TMB876)</f>
        <v>69</v>
      </c>
      <c r="TME876" s="245"/>
      <c r="TMF876" s="7" t="s">
        <v>23</v>
      </c>
      <c r="TMG876" s="29"/>
      <c r="TMH876" s="44">
        <v>44198</v>
      </c>
      <c r="TMI876" s="30" t="s">
        <v>22</v>
      </c>
      <c r="TMJ876" s="31">
        <v>20890</v>
      </c>
      <c r="TMK876" s="30">
        <v>1472014</v>
      </c>
      <c r="TML876" s="30">
        <f ca="1">YEAR(TODAY())-YEAR(TMJ876)</f>
        <v>69</v>
      </c>
      <c r="TMM876" s="245"/>
      <c r="TMN876" s="7" t="s">
        <v>23</v>
      </c>
      <c r="TMO876" s="29"/>
      <c r="TMP876" s="44">
        <v>44198</v>
      </c>
      <c r="TMQ876" s="30" t="s">
        <v>22</v>
      </c>
      <c r="TMR876" s="31">
        <v>20890</v>
      </c>
      <c r="TMS876" s="30">
        <v>1472014</v>
      </c>
      <c r="TMT876" s="30">
        <f ca="1">YEAR(TODAY())-YEAR(TMR876)</f>
        <v>69</v>
      </c>
      <c r="TMU876" s="245"/>
      <c r="TMV876" s="7" t="s">
        <v>23</v>
      </c>
      <c r="TMW876" s="29"/>
      <c r="TMX876" s="44">
        <v>44198</v>
      </c>
      <c r="TMY876" s="30" t="s">
        <v>22</v>
      </c>
      <c r="TMZ876" s="31">
        <v>20890</v>
      </c>
      <c r="TNA876" s="30">
        <v>1472014</v>
      </c>
      <c r="TNB876" s="30">
        <f ca="1">YEAR(TODAY())-YEAR(TMZ876)</f>
        <v>69</v>
      </c>
      <c r="TNC876" s="245"/>
      <c r="TND876" s="7" t="s">
        <v>23</v>
      </c>
      <c r="TNE876" s="29"/>
      <c r="TNF876" s="44">
        <v>44198</v>
      </c>
      <c r="TNG876" s="30" t="s">
        <v>22</v>
      </c>
      <c r="TNH876" s="31">
        <v>20890</v>
      </c>
      <c r="TNI876" s="30">
        <v>1472014</v>
      </c>
      <c r="TNJ876" s="30">
        <f ca="1">YEAR(TODAY())-YEAR(TNH876)</f>
        <v>69</v>
      </c>
      <c r="TNK876" s="245"/>
      <c r="TNL876" s="7" t="s">
        <v>23</v>
      </c>
      <c r="TNM876" s="29"/>
      <c r="TNN876" s="44">
        <v>44198</v>
      </c>
      <c r="TNO876" s="30" t="s">
        <v>22</v>
      </c>
      <c r="TNP876" s="31">
        <v>20890</v>
      </c>
      <c r="TNQ876" s="30">
        <v>1472014</v>
      </c>
      <c r="TNR876" s="30">
        <f ca="1">YEAR(TODAY())-YEAR(TNP876)</f>
        <v>69</v>
      </c>
      <c r="TNS876" s="245"/>
      <c r="TNT876" s="7" t="s">
        <v>23</v>
      </c>
      <c r="TNU876" s="29"/>
      <c r="TNV876" s="44">
        <v>44198</v>
      </c>
      <c r="TNW876" s="30" t="s">
        <v>22</v>
      </c>
      <c r="TNX876" s="31">
        <v>20890</v>
      </c>
      <c r="TNY876" s="30">
        <v>1472014</v>
      </c>
      <c r="TNZ876" s="30">
        <f ca="1">YEAR(TODAY())-YEAR(TNX876)</f>
        <v>69</v>
      </c>
      <c r="TOA876" s="245"/>
      <c r="TOB876" s="7" t="s">
        <v>23</v>
      </c>
      <c r="TOC876" s="29"/>
      <c r="TOD876" s="44">
        <v>44198</v>
      </c>
      <c r="TOE876" s="30" t="s">
        <v>22</v>
      </c>
      <c r="TOF876" s="31">
        <v>20890</v>
      </c>
      <c r="TOG876" s="30">
        <v>1472014</v>
      </c>
      <c r="TOH876" s="30">
        <f ca="1">YEAR(TODAY())-YEAR(TOF876)</f>
        <v>69</v>
      </c>
      <c r="TOI876" s="245"/>
      <c r="TOJ876" s="7" t="s">
        <v>23</v>
      </c>
      <c r="TOK876" s="29"/>
      <c r="TOL876" s="44">
        <v>44198</v>
      </c>
      <c r="TOM876" s="30" t="s">
        <v>22</v>
      </c>
      <c r="TON876" s="31">
        <v>20890</v>
      </c>
      <c r="TOO876" s="30">
        <v>1472014</v>
      </c>
      <c r="TOP876" s="30">
        <f ca="1">YEAR(TODAY())-YEAR(TON876)</f>
        <v>69</v>
      </c>
      <c r="TOQ876" s="245"/>
      <c r="TOR876" s="7" t="s">
        <v>23</v>
      </c>
      <c r="TOS876" s="29"/>
      <c r="TOT876" s="44">
        <v>44198</v>
      </c>
      <c r="TOU876" s="30" t="s">
        <v>22</v>
      </c>
      <c r="TOV876" s="31">
        <v>20890</v>
      </c>
      <c r="TOW876" s="30">
        <v>1472014</v>
      </c>
      <c r="TOX876" s="30">
        <f ca="1">YEAR(TODAY())-YEAR(TOV876)</f>
        <v>69</v>
      </c>
      <c r="TOY876" s="245"/>
      <c r="TOZ876" s="7" t="s">
        <v>23</v>
      </c>
      <c r="TPA876" s="29"/>
      <c r="TPB876" s="44">
        <v>44198</v>
      </c>
      <c r="TPC876" s="30" t="s">
        <v>22</v>
      </c>
      <c r="TPD876" s="31">
        <v>20890</v>
      </c>
      <c r="TPE876" s="30">
        <v>1472014</v>
      </c>
      <c r="TPF876" s="30">
        <f ca="1">YEAR(TODAY())-YEAR(TPD876)</f>
        <v>69</v>
      </c>
      <c r="TPG876" s="245"/>
      <c r="TPH876" s="7" t="s">
        <v>23</v>
      </c>
      <c r="TPI876" s="29"/>
      <c r="TPJ876" s="44">
        <v>44198</v>
      </c>
      <c r="TPK876" s="30" t="s">
        <v>22</v>
      </c>
      <c r="TPL876" s="31">
        <v>20890</v>
      </c>
      <c r="TPM876" s="30">
        <v>1472014</v>
      </c>
      <c r="TPN876" s="30">
        <f ca="1">YEAR(TODAY())-YEAR(TPL876)</f>
        <v>69</v>
      </c>
      <c r="TPO876" s="245"/>
      <c r="TPP876" s="7" t="s">
        <v>23</v>
      </c>
      <c r="TPQ876" s="29"/>
      <c r="TPR876" s="44">
        <v>44198</v>
      </c>
      <c r="TPS876" s="30" t="s">
        <v>22</v>
      </c>
      <c r="TPT876" s="31">
        <v>20890</v>
      </c>
      <c r="TPU876" s="30">
        <v>1472014</v>
      </c>
      <c r="TPV876" s="30">
        <f ca="1">YEAR(TODAY())-YEAR(TPT876)</f>
        <v>69</v>
      </c>
      <c r="TPW876" s="245"/>
      <c r="TPX876" s="7" t="s">
        <v>23</v>
      </c>
      <c r="TPY876" s="29"/>
      <c r="TPZ876" s="44">
        <v>44198</v>
      </c>
      <c r="TQA876" s="30" t="s">
        <v>22</v>
      </c>
      <c r="TQB876" s="31">
        <v>20890</v>
      </c>
      <c r="TQC876" s="30">
        <v>1472014</v>
      </c>
      <c r="TQD876" s="30">
        <f ca="1">YEAR(TODAY())-YEAR(TQB876)</f>
        <v>69</v>
      </c>
      <c r="TQE876" s="245"/>
      <c r="TQF876" s="7" t="s">
        <v>23</v>
      </c>
      <c r="TQG876" s="29"/>
      <c r="TQH876" s="44">
        <v>44198</v>
      </c>
      <c r="TQI876" s="30" t="s">
        <v>22</v>
      </c>
      <c r="TQJ876" s="31">
        <v>20890</v>
      </c>
      <c r="TQK876" s="30">
        <v>1472014</v>
      </c>
      <c r="TQL876" s="30">
        <f ca="1">YEAR(TODAY())-YEAR(TQJ876)</f>
        <v>69</v>
      </c>
      <c r="TQM876" s="245"/>
      <c r="TQN876" s="7" t="s">
        <v>23</v>
      </c>
      <c r="TQO876" s="29"/>
      <c r="TQP876" s="44">
        <v>44198</v>
      </c>
      <c r="TQQ876" s="30" t="s">
        <v>22</v>
      </c>
      <c r="TQR876" s="31">
        <v>20890</v>
      </c>
      <c r="TQS876" s="30">
        <v>1472014</v>
      </c>
      <c r="TQT876" s="30">
        <f ca="1">YEAR(TODAY())-YEAR(TQR876)</f>
        <v>69</v>
      </c>
      <c r="TQU876" s="245"/>
      <c r="TQV876" s="7" t="s">
        <v>23</v>
      </c>
      <c r="TQW876" s="29"/>
      <c r="TQX876" s="44">
        <v>44198</v>
      </c>
      <c r="TQY876" s="30" t="s">
        <v>22</v>
      </c>
      <c r="TQZ876" s="31">
        <v>20890</v>
      </c>
      <c r="TRA876" s="30">
        <v>1472014</v>
      </c>
      <c r="TRB876" s="30">
        <f ca="1">YEAR(TODAY())-YEAR(TQZ876)</f>
        <v>69</v>
      </c>
      <c r="TRC876" s="245"/>
      <c r="TRD876" s="7" t="s">
        <v>23</v>
      </c>
      <c r="TRE876" s="29"/>
      <c r="TRF876" s="44">
        <v>44198</v>
      </c>
      <c r="TRG876" s="30" t="s">
        <v>22</v>
      </c>
      <c r="TRH876" s="31">
        <v>20890</v>
      </c>
      <c r="TRI876" s="30">
        <v>1472014</v>
      </c>
      <c r="TRJ876" s="30">
        <f ca="1">YEAR(TODAY())-YEAR(TRH876)</f>
        <v>69</v>
      </c>
      <c r="TRK876" s="245"/>
      <c r="TRL876" s="7" t="s">
        <v>23</v>
      </c>
      <c r="TRM876" s="29"/>
      <c r="TRN876" s="44">
        <v>44198</v>
      </c>
      <c r="TRO876" s="30" t="s">
        <v>22</v>
      </c>
      <c r="TRP876" s="31">
        <v>20890</v>
      </c>
      <c r="TRQ876" s="30">
        <v>1472014</v>
      </c>
      <c r="TRR876" s="30">
        <f ca="1">YEAR(TODAY())-YEAR(TRP876)</f>
        <v>69</v>
      </c>
      <c r="TRS876" s="245"/>
      <c r="TRT876" s="7" t="s">
        <v>23</v>
      </c>
      <c r="TRU876" s="29"/>
      <c r="TRV876" s="44">
        <v>44198</v>
      </c>
      <c r="TRW876" s="30" t="s">
        <v>22</v>
      </c>
      <c r="TRX876" s="31">
        <v>20890</v>
      </c>
      <c r="TRY876" s="30">
        <v>1472014</v>
      </c>
      <c r="TRZ876" s="30">
        <f ca="1">YEAR(TODAY())-YEAR(TRX876)</f>
        <v>69</v>
      </c>
      <c r="TSA876" s="245"/>
      <c r="TSB876" s="7" t="s">
        <v>23</v>
      </c>
      <c r="TSC876" s="29"/>
      <c r="TSD876" s="44">
        <v>44198</v>
      </c>
      <c r="TSE876" s="30" t="s">
        <v>22</v>
      </c>
      <c r="TSF876" s="31">
        <v>20890</v>
      </c>
      <c r="TSG876" s="30">
        <v>1472014</v>
      </c>
      <c r="TSH876" s="30">
        <f ca="1">YEAR(TODAY())-YEAR(TSF876)</f>
        <v>69</v>
      </c>
      <c r="TSI876" s="245"/>
      <c r="TSJ876" s="7" t="s">
        <v>23</v>
      </c>
      <c r="TSK876" s="29"/>
      <c r="TSL876" s="44">
        <v>44198</v>
      </c>
      <c r="TSM876" s="30" t="s">
        <v>22</v>
      </c>
      <c r="TSN876" s="31">
        <v>20890</v>
      </c>
      <c r="TSO876" s="30">
        <v>1472014</v>
      </c>
      <c r="TSP876" s="30">
        <f ca="1">YEAR(TODAY())-YEAR(TSN876)</f>
        <v>69</v>
      </c>
      <c r="TSQ876" s="245"/>
      <c r="TSR876" s="7" t="s">
        <v>23</v>
      </c>
      <c r="TSS876" s="29"/>
      <c r="TST876" s="44">
        <v>44198</v>
      </c>
      <c r="TSU876" s="30" t="s">
        <v>22</v>
      </c>
      <c r="TSV876" s="31">
        <v>20890</v>
      </c>
      <c r="TSW876" s="30">
        <v>1472014</v>
      </c>
      <c r="TSX876" s="30">
        <f ca="1">YEAR(TODAY())-YEAR(TSV876)</f>
        <v>69</v>
      </c>
      <c r="TSY876" s="245"/>
      <c r="TSZ876" s="7" t="s">
        <v>23</v>
      </c>
      <c r="TTA876" s="29"/>
      <c r="TTB876" s="44">
        <v>44198</v>
      </c>
      <c r="TTC876" s="30" t="s">
        <v>22</v>
      </c>
      <c r="TTD876" s="31">
        <v>20890</v>
      </c>
      <c r="TTE876" s="30">
        <v>1472014</v>
      </c>
      <c r="TTF876" s="30">
        <f ca="1">YEAR(TODAY())-YEAR(TTD876)</f>
        <v>69</v>
      </c>
      <c r="TTG876" s="245"/>
      <c r="TTH876" s="7" t="s">
        <v>23</v>
      </c>
      <c r="TTI876" s="29"/>
      <c r="TTJ876" s="44">
        <v>44198</v>
      </c>
      <c r="TTK876" s="30" t="s">
        <v>22</v>
      </c>
      <c r="TTL876" s="31">
        <v>20890</v>
      </c>
      <c r="TTM876" s="30">
        <v>1472014</v>
      </c>
      <c r="TTN876" s="30">
        <f ca="1">YEAR(TODAY())-YEAR(TTL876)</f>
        <v>69</v>
      </c>
      <c r="TTO876" s="245"/>
      <c r="TTP876" s="7" t="s">
        <v>23</v>
      </c>
      <c r="TTQ876" s="29"/>
      <c r="TTR876" s="44">
        <v>44198</v>
      </c>
      <c r="TTS876" s="30" t="s">
        <v>22</v>
      </c>
      <c r="TTT876" s="31">
        <v>20890</v>
      </c>
      <c r="TTU876" s="30">
        <v>1472014</v>
      </c>
      <c r="TTV876" s="30">
        <f ca="1">YEAR(TODAY())-YEAR(TTT876)</f>
        <v>69</v>
      </c>
      <c r="TTW876" s="245"/>
      <c r="TTX876" s="7" t="s">
        <v>23</v>
      </c>
      <c r="TTY876" s="29"/>
      <c r="TTZ876" s="44">
        <v>44198</v>
      </c>
      <c r="TUA876" s="30" t="s">
        <v>22</v>
      </c>
      <c r="TUB876" s="31">
        <v>20890</v>
      </c>
      <c r="TUC876" s="30">
        <v>1472014</v>
      </c>
      <c r="TUD876" s="30">
        <f ca="1">YEAR(TODAY())-YEAR(TUB876)</f>
        <v>69</v>
      </c>
      <c r="TUE876" s="245"/>
      <c r="TUF876" s="7" t="s">
        <v>23</v>
      </c>
      <c r="TUG876" s="29"/>
      <c r="TUH876" s="44">
        <v>44198</v>
      </c>
      <c r="TUI876" s="30" t="s">
        <v>22</v>
      </c>
      <c r="TUJ876" s="31">
        <v>20890</v>
      </c>
      <c r="TUK876" s="30">
        <v>1472014</v>
      </c>
      <c r="TUL876" s="30">
        <f ca="1">YEAR(TODAY())-YEAR(TUJ876)</f>
        <v>69</v>
      </c>
      <c r="TUM876" s="245"/>
      <c r="TUN876" s="7" t="s">
        <v>23</v>
      </c>
      <c r="TUO876" s="29"/>
      <c r="TUP876" s="44">
        <v>44198</v>
      </c>
      <c r="TUQ876" s="30" t="s">
        <v>22</v>
      </c>
      <c r="TUR876" s="31">
        <v>20890</v>
      </c>
      <c r="TUS876" s="30">
        <v>1472014</v>
      </c>
      <c r="TUT876" s="30">
        <f ca="1">YEAR(TODAY())-YEAR(TUR876)</f>
        <v>69</v>
      </c>
      <c r="TUU876" s="245"/>
      <c r="TUV876" s="7" t="s">
        <v>23</v>
      </c>
      <c r="TUW876" s="29"/>
      <c r="TUX876" s="44">
        <v>44198</v>
      </c>
      <c r="TUY876" s="30" t="s">
        <v>22</v>
      </c>
      <c r="TUZ876" s="31">
        <v>20890</v>
      </c>
      <c r="TVA876" s="30">
        <v>1472014</v>
      </c>
      <c r="TVB876" s="30">
        <f ca="1">YEAR(TODAY())-YEAR(TUZ876)</f>
        <v>69</v>
      </c>
      <c r="TVC876" s="245"/>
      <c r="TVD876" s="7" t="s">
        <v>23</v>
      </c>
      <c r="TVE876" s="29"/>
      <c r="TVF876" s="44">
        <v>44198</v>
      </c>
      <c r="TVG876" s="30" t="s">
        <v>22</v>
      </c>
      <c r="TVH876" s="31">
        <v>20890</v>
      </c>
      <c r="TVI876" s="30">
        <v>1472014</v>
      </c>
      <c r="TVJ876" s="30">
        <f ca="1">YEAR(TODAY())-YEAR(TVH876)</f>
        <v>69</v>
      </c>
      <c r="TVK876" s="245"/>
      <c r="TVL876" s="7" t="s">
        <v>23</v>
      </c>
      <c r="TVM876" s="29"/>
      <c r="TVN876" s="44">
        <v>44198</v>
      </c>
      <c r="TVO876" s="30" t="s">
        <v>22</v>
      </c>
      <c r="TVP876" s="31">
        <v>20890</v>
      </c>
      <c r="TVQ876" s="30">
        <v>1472014</v>
      </c>
      <c r="TVR876" s="30">
        <f ca="1">YEAR(TODAY())-YEAR(TVP876)</f>
        <v>69</v>
      </c>
      <c r="TVS876" s="245"/>
      <c r="TVT876" s="7" t="s">
        <v>23</v>
      </c>
      <c r="TVU876" s="29"/>
      <c r="TVV876" s="44">
        <v>44198</v>
      </c>
      <c r="TVW876" s="30" t="s">
        <v>22</v>
      </c>
      <c r="TVX876" s="31">
        <v>20890</v>
      </c>
      <c r="TVY876" s="30">
        <v>1472014</v>
      </c>
      <c r="TVZ876" s="30">
        <f ca="1">YEAR(TODAY())-YEAR(TVX876)</f>
        <v>69</v>
      </c>
      <c r="TWA876" s="245"/>
      <c r="TWB876" s="7" t="s">
        <v>23</v>
      </c>
      <c r="TWC876" s="29"/>
      <c r="TWD876" s="44">
        <v>44198</v>
      </c>
      <c r="TWE876" s="30" t="s">
        <v>22</v>
      </c>
      <c r="TWF876" s="31">
        <v>20890</v>
      </c>
      <c r="TWG876" s="30">
        <v>1472014</v>
      </c>
      <c r="TWH876" s="30">
        <f ca="1">YEAR(TODAY())-YEAR(TWF876)</f>
        <v>69</v>
      </c>
      <c r="TWI876" s="245"/>
      <c r="TWJ876" s="7" t="s">
        <v>23</v>
      </c>
      <c r="TWK876" s="29"/>
      <c r="TWL876" s="44">
        <v>44198</v>
      </c>
      <c r="TWM876" s="30" t="s">
        <v>22</v>
      </c>
      <c r="TWN876" s="31">
        <v>20890</v>
      </c>
      <c r="TWO876" s="30">
        <v>1472014</v>
      </c>
      <c r="TWP876" s="30">
        <f ca="1">YEAR(TODAY())-YEAR(TWN876)</f>
        <v>69</v>
      </c>
      <c r="TWQ876" s="245"/>
      <c r="TWR876" s="7" t="s">
        <v>23</v>
      </c>
      <c r="TWS876" s="29"/>
      <c r="TWT876" s="44">
        <v>44198</v>
      </c>
      <c r="TWU876" s="30" t="s">
        <v>22</v>
      </c>
      <c r="TWV876" s="31">
        <v>20890</v>
      </c>
      <c r="TWW876" s="30">
        <v>1472014</v>
      </c>
      <c r="TWX876" s="30">
        <f ca="1">YEAR(TODAY())-YEAR(TWV876)</f>
        <v>69</v>
      </c>
      <c r="TWY876" s="245"/>
      <c r="TWZ876" s="7" t="s">
        <v>23</v>
      </c>
      <c r="TXA876" s="29"/>
      <c r="TXB876" s="44">
        <v>44198</v>
      </c>
      <c r="TXC876" s="30" t="s">
        <v>22</v>
      </c>
      <c r="TXD876" s="31">
        <v>20890</v>
      </c>
      <c r="TXE876" s="30">
        <v>1472014</v>
      </c>
      <c r="TXF876" s="30">
        <f ca="1">YEAR(TODAY())-YEAR(TXD876)</f>
        <v>69</v>
      </c>
      <c r="TXG876" s="245"/>
      <c r="TXH876" s="7" t="s">
        <v>23</v>
      </c>
      <c r="TXI876" s="29"/>
      <c r="TXJ876" s="44">
        <v>44198</v>
      </c>
      <c r="TXK876" s="30" t="s">
        <v>22</v>
      </c>
      <c r="TXL876" s="31">
        <v>20890</v>
      </c>
      <c r="TXM876" s="30">
        <v>1472014</v>
      </c>
      <c r="TXN876" s="30">
        <f ca="1">YEAR(TODAY())-YEAR(TXL876)</f>
        <v>69</v>
      </c>
      <c r="TXO876" s="245"/>
      <c r="TXP876" s="7" t="s">
        <v>23</v>
      </c>
      <c r="TXQ876" s="29"/>
      <c r="TXR876" s="44">
        <v>44198</v>
      </c>
      <c r="TXS876" s="30" t="s">
        <v>22</v>
      </c>
      <c r="TXT876" s="31">
        <v>20890</v>
      </c>
      <c r="TXU876" s="30">
        <v>1472014</v>
      </c>
      <c r="TXV876" s="30">
        <f ca="1">YEAR(TODAY())-YEAR(TXT876)</f>
        <v>69</v>
      </c>
      <c r="TXW876" s="245"/>
      <c r="TXX876" s="7" t="s">
        <v>23</v>
      </c>
      <c r="TXY876" s="29"/>
      <c r="TXZ876" s="44">
        <v>44198</v>
      </c>
      <c r="TYA876" s="30" t="s">
        <v>22</v>
      </c>
      <c r="TYB876" s="31">
        <v>20890</v>
      </c>
      <c r="TYC876" s="30">
        <v>1472014</v>
      </c>
      <c r="TYD876" s="30">
        <f ca="1">YEAR(TODAY())-YEAR(TYB876)</f>
        <v>69</v>
      </c>
      <c r="TYE876" s="245"/>
      <c r="TYF876" s="7" t="s">
        <v>23</v>
      </c>
      <c r="TYG876" s="29"/>
      <c r="TYH876" s="44">
        <v>44198</v>
      </c>
      <c r="TYI876" s="30" t="s">
        <v>22</v>
      </c>
      <c r="TYJ876" s="31">
        <v>20890</v>
      </c>
      <c r="TYK876" s="30">
        <v>1472014</v>
      </c>
      <c r="TYL876" s="30">
        <f ca="1">YEAR(TODAY())-YEAR(TYJ876)</f>
        <v>69</v>
      </c>
      <c r="TYM876" s="245"/>
      <c r="TYN876" s="7" t="s">
        <v>23</v>
      </c>
      <c r="TYO876" s="29"/>
      <c r="TYP876" s="44">
        <v>44198</v>
      </c>
      <c r="TYQ876" s="30" t="s">
        <v>22</v>
      </c>
      <c r="TYR876" s="31">
        <v>20890</v>
      </c>
      <c r="TYS876" s="30">
        <v>1472014</v>
      </c>
      <c r="TYT876" s="30">
        <f ca="1">YEAR(TODAY())-YEAR(TYR876)</f>
        <v>69</v>
      </c>
      <c r="TYU876" s="245"/>
      <c r="TYV876" s="7" t="s">
        <v>23</v>
      </c>
      <c r="TYW876" s="29"/>
      <c r="TYX876" s="44">
        <v>44198</v>
      </c>
      <c r="TYY876" s="30" t="s">
        <v>22</v>
      </c>
      <c r="TYZ876" s="31">
        <v>20890</v>
      </c>
      <c r="TZA876" s="30">
        <v>1472014</v>
      </c>
      <c r="TZB876" s="30">
        <f ca="1">YEAR(TODAY())-YEAR(TYZ876)</f>
        <v>69</v>
      </c>
      <c r="TZC876" s="245"/>
      <c r="TZD876" s="7" t="s">
        <v>23</v>
      </c>
      <c r="TZE876" s="29"/>
      <c r="TZF876" s="44">
        <v>44198</v>
      </c>
      <c r="TZG876" s="30" t="s">
        <v>22</v>
      </c>
      <c r="TZH876" s="31">
        <v>20890</v>
      </c>
      <c r="TZI876" s="30">
        <v>1472014</v>
      </c>
      <c r="TZJ876" s="30">
        <f ca="1">YEAR(TODAY())-YEAR(TZH876)</f>
        <v>69</v>
      </c>
      <c r="TZK876" s="245"/>
      <c r="TZL876" s="7" t="s">
        <v>23</v>
      </c>
      <c r="TZM876" s="29"/>
      <c r="TZN876" s="44">
        <v>44198</v>
      </c>
      <c r="TZO876" s="30" t="s">
        <v>22</v>
      </c>
      <c r="TZP876" s="31">
        <v>20890</v>
      </c>
      <c r="TZQ876" s="30">
        <v>1472014</v>
      </c>
      <c r="TZR876" s="30">
        <f ca="1">YEAR(TODAY())-YEAR(TZP876)</f>
        <v>69</v>
      </c>
      <c r="TZS876" s="245"/>
      <c r="TZT876" s="7" t="s">
        <v>23</v>
      </c>
      <c r="TZU876" s="29"/>
      <c r="TZV876" s="44">
        <v>44198</v>
      </c>
      <c r="TZW876" s="30" t="s">
        <v>22</v>
      </c>
      <c r="TZX876" s="31">
        <v>20890</v>
      </c>
      <c r="TZY876" s="30">
        <v>1472014</v>
      </c>
      <c r="TZZ876" s="30">
        <f ca="1">YEAR(TODAY())-YEAR(TZX876)</f>
        <v>69</v>
      </c>
      <c r="UAA876" s="245"/>
      <c r="UAB876" s="7" t="s">
        <v>23</v>
      </c>
      <c r="UAC876" s="29"/>
      <c r="UAD876" s="44">
        <v>44198</v>
      </c>
      <c r="UAE876" s="30" t="s">
        <v>22</v>
      </c>
      <c r="UAF876" s="31">
        <v>20890</v>
      </c>
      <c r="UAG876" s="30">
        <v>1472014</v>
      </c>
      <c r="UAH876" s="30">
        <f ca="1">YEAR(TODAY())-YEAR(UAF876)</f>
        <v>69</v>
      </c>
      <c r="UAI876" s="245"/>
      <c r="UAJ876" s="7" t="s">
        <v>23</v>
      </c>
      <c r="UAK876" s="29"/>
      <c r="UAL876" s="44">
        <v>44198</v>
      </c>
      <c r="UAM876" s="30" t="s">
        <v>22</v>
      </c>
      <c r="UAN876" s="31">
        <v>20890</v>
      </c>
      <c r="UAO876" s="30">
        <v>1472014</v>
      </c>
      <c r="UAP876" s="30">
        <f ca="1">YEAR(TODAY())-YEAR(UAN876)</f>
        <v>69</v>
      </c>
      <c r="UAQ876" s="245"/>
      <c r="UAR876" s="7" t="s">
        <v>23</v>
      </c>
      <c r="UAS876" s="29"/>
      <c r="UAT876" s="44">
        <v>44198</v>
      </c>
      <c r="UAU876" s="30" t="s">
        <v>22</v>
      </c>
      <c r="UAV876" s="31">
        <v>20890</v>
      </c>
      <c r="UAW876" s="30">
        <v>1472014</v>
      </c>
      <c r="UAX876" s="30">
        <f ca="1">YEAR(TODAY())-YEAR(UAV876)</f>
        <v>69</v>
      </c>
      <c r="UAY876" s="245"/>
      <c r="UAZ876" s="7" t="s">
        <v>23</v>
      </c>
      <c r="UBA876" s="29"/>
      <c r="UBB876" s="44">
        <v>44198</v>
      </c>
      <c r="UBC876" s="30" t="s">
        <v>22</v>
      </c>
      <c r="UBD876" s="31">
        <v>20890</v>
      </c>
      <c r="UBE876" s="30">
        <v>1472014</v>
      </c>
      <c r="UBF876" s="30">
        <f ca="1">YEAR(TODAY())-YEAR(UBD876)</f>
        <v>69</v>
      </c>
      <c r="UBG876" s="245"/>
      <c r="UBH876" s="7" t="s">
        <v>23</v>
      </c>
      <c r="UBI876" s="29"/>
      <c r="UBJ876" s="44">
        <v>44198</v>
      </c>
      <c r="UBK876" s="30" t="s">
        <v>22</v>
      </c>
      <c r="UBL876" s="31">
        <v>20890</v>
      </c>
      <c r="UBM876" s="30">
        <v>1472014</v>
      </c>
      <c r="UBN876" s="30">
        <f ca="1">YEAR(TODAY())-YEAR(UBL876)</f>
        <v>69</v>
      </c>
      <c r="UBO876" s="245"/>
      <c r="UBP876" s="7" t="s">
        <v>23</v>
      </c>
      <c r="UBQ876" s="29"/>
      <c r="UBR876" s="44">
        <v>44198</v>
      </c>
      <c r="UBS876" s="30" t="s">
        <v>22</v>
      </c>
      <c r="UBT876" s="31">
        <v>20890</v>
      </c>
      <c r="UBU876" s="30">
        <v>1472014</v>
      </c>
      <c r="UBV876" s="30">
        <f ca="1">YEAR(TODAY())-YEAR(UBT876)</f>
        <v>69</v>
      </c>
      <c r="UBW876" s="245"/>
      <c r="UBX876" s="7" t="s">
        <v>23</v>
      </c>
      <c r="UBY876" s="29"/>
      <c r="UBZ876" s="44">
        <v>44198</v>
      </c>
      <c r="UCA876" s="30" t="s">
        <v>22</v>
      </c>
      <c r="UCB876" s="31">
        <v>20890</v>
      </c>
      <c r="UCC876" s="30">
        <v>1472014</v>
      </c>
      <c r="UCD876" s="30">
        <f ca="1">YEAR(TODAY())-YEAR(UCB876)</f>
        <v>69</v>
      </c>
      <c r="UCE876" s="245"/>
      <c r="UCF876" s="7" t="s">
        <v>23</v>
      </c>
      <c r="UCG876" s="29"/>
      <c r="UCH876" s="44">
        <v>44198</v>
      </c>
      <c r="UCI876" s="30" t="s">
        <v>22</v>
      </c>
      <c r="UCJ876" s="31">
        <v>20890</v>
      </c>
      <c r="UCK876" s="30">
        <v>1472014</v>
      </c>
      <c r="UCL876" s="30">
        <f ca="1">YEAR(TODAY())-YEAR(UCJ876)</f>
        <v>69</v>
      </c>
      <c r="UCM876" s="245"/>
      <c r="UCN876" s="7" t="s">
        <v>23</v>
      </c>
      <c r="UCO876" s="29"/>
      <c r="UCP876" s="44">
        <v>44198</v>
      </c>
      <c r="UCQ876" s="30" t="s">
        <v>22</v>
      </c>
      <c r="UCR876" s="31">
        <v>20890</v>
      </c>
      <c r="UCS876" s="30">
        <v>1472014</v>
      </c>
      <c r="UCT876" s="30">
        <f ca="1">YEAR(TODAY())-YEAR(UCR876)</f>
        <v>69</v>
      </c>
      <c r="UCU876" s="245"/>
      <c r="UCV876" s="7" t="s">
        <v>23</v>
      </c>
      <c r="UCW876" s="29"/>
      <c r="UCX876" s="44">
        <v>44198</v>
      </c>
      <c r="UCY876" s="30" t="s">
        <v>22</v>
      </c>
      <c r="UCZ876" s="31">
        <v>20890</v>
      </c>
      <c r="UDA876" s="30">
        <v>1472014</v>
      </c>
      <c r="UDB876" s="30">
        <f ca="1">YEAR(TODAY())-YEAR(UCZ876)</f>
        <v>69</v>
      </c>
      <c r="UDC876" s="245"/>
      <c r="UDD876" s="7" t="s">
        <v>23</v>
      </c>
      <c r="UDE876" s="29"/>
      <c r="UDF876" s="44">
        <v>44198</v>
      </c>
      <c r="UDG876" s="30" t="s">
        <v>22</v>
      </c>
      <c r="UDH876" s="31">
        <v>20890</v>
      </c>
      <c r="UDI876" s="30">
        <v>1472014</v>
      </c>
      <c r="UDJ876" s="30">
        <f ca="1">YEAR(TODAY())-YEAR(UDH876)</f>
        <v>69</v>
      </c>
      <c r="UDK876" s="245"/>
      <c r="UDL876" s="7" t="s">
        <v>23</v>
      </c>
      <c r="UDM876" s="29"/>
      <c r="UDN876" s="44">
        <v>44198</v>
      </c>
      <c r="UDO876" s="30" t="s">
        <v>22</v>
      </c>
      <c r="UDP876" s="31">
        <v>20890</v>
      </c>
      <c r="UDQ876" s="30">
        <v>1472014</v>
      </c>
      <c r="UDR876" s="30">
        <f ca="1">YEAR(TODAY())-YEAR(UDP876)</f>
        <v>69</v>
      </c>
      <c r="UDS876" s="245"/>
      <c r="UDT876" s="7" t="s">
        <v>23</v>
      </c>
      <c r="UDU876" s="29"/>
      <c r="UDV876" s="44">
        <v>44198</v>
      </c>
      <c r="UDW876" s="30" t="s">
        <v>22</v>
      </c>
      <c r="UDX876" s="31">
        <v>20890</v>
      </c>
      <c r="UDY876" s="30">
        <v>1472014</v>
      </c>
      <c r="UDZ876" s="30">
        <f ca="1">YEAR(TODAY())-YEAR(UDX876)</f>
        <v>69</v>
      </c>
      <c r="UEA876" s="245"/>
      <c r="UEB876" s="7" t="s">
        <v>23</v>
      </c>
      <c r="UEC876" s="29"/>
      <c r="UED876" s="44">
        <v>44198</v>
      </c>
      <c r="UEE876" s="30" t="s">
        <v>22</v>
      </c>
      <c r="UEF876" s="31">
        <v>20890</v>
      </c>
      <c r="UEG876" s="30">
        <v>1472014</v>
      </c>
      <c r="UEH876" s="30">
        <f ca="1">YEAR(TODAY())-YEAR(UEF876)</f>
        <v>69</v>
      </c>
      <c r="UEI876" s="245"/>
      <c r="UEJ876" s="7" t="s">
        <v>23</v>
      </c>
      <c r="UEK876" s="29"/>
      <c r="UEL876" s="44">
        <v>44198</v>
      </c>
      <c r="UEM876" s="30" t="s">
        <v>22</v>
      </c>
      <c r="UEN876" s="31">
        <v>20890</v>
      </c>
      <c r="UEO876" s="30">
        <v>1472014</v>
      </c>
      <c r="UEP876" s="30">
        <f ca="1">YEAR(TODAY())-YEAR(UEN876)</f>
        <v>69</v>
      </c>
      <c r="UEQ876" s="245"/>
      <c r="UER876" s="7" t="s">
        <v>23</v>
      </c>
      <c r="UES876" s="29"/>
      <c r="UET876" s="44">
        <v>44198</v>
      </c>
      <c r="UEU876" s="30" t="s">
        <v>22</v>
      </c>
      <c r="UEV876" s="31">
        <v>20890</v>
      </c>
      <c r="UEW876" s="30">
        <v>1472014</v>
      </c>
      <c r="UEX876" s="30">
        <f ca="1">YEAR(TODAY())-YEAR(UEV876)</f>
        <v>69</v>
      </c>
      <c r="UEY876" s="245"/>
      <c r="UEZ876" s="7" t="s">
        <v>23</v>
      </c>
      <c r="UFA876" s="29"/>
      <c r="UFB876" s="44">
        <v>44198</v>
      </c>
      <c r="UFC876" s="30" t="s">
        <v>22</v>
      </c>
      <c r="UFD876" s="31">
        <v>20890</v>
      </c>
      <c r="UFE876" s="30">
        <v>1472014</v>
      </c>
      <c r="UFF876" s="30">
        <f ca="1">YEAR(TODAY())-YEAR(UFD876)</f>
        <v>69</v>
      </c>
      <c r="UFG876" s="245"/>
      <c r="UFH876" s="7" t="s">
        <v>23</v>
      </c>
      <c r="UFI876" s="29"/>
      <c r="UFJ876" s="44">
        <v>44198</v>
      </c>
      <c r="UFK876" s="30" t="s">
        <v>22</v>
      </c>
      <c r="UFL876" s="31">
        <v>20890</v>
      </c>
      <c r="UFM876" s="30">
        <v>1472014</v>
      </c>
      <c r="UFN876" s="30">
        <f ca="1">YEAR(TODAY())-YEAR(UFL876)</f>
        <v>69</v>
      </c>
      <c r="UFO876" s="245"/>
      <c r="UFP876" s="7" t="s">
        <v>23</v>
      </c>
      <c r="UFQ876" s="29"/>
      <c r="UFR876" s="44">
        <v>44198</v>
      </c>
      <c r="UFS876" s="30" t="s">
        <v>22</v>
      </c>
      <c r="UFT876" s="31">
        <v>20890</v>
      </c>
      <c r="UFU876" s="30">
        <v>1472014</v>
      </c>
      <c r="UFV876" s="30">
        <f ca="1">YEAR(TODAY())-YEAR(UFT876)</f>
        <v>69</v>
      </c>
      <c r="UFW876" s="245"/>
      <c r="UFX876" s="7" t="s">
        <v>23</v>
      </c>
      <c r="UFY876" s="29"/>
      <c r="UFZ876" s="44">
        <v>44198</v>
      </c>
      <c r="UGA876" s="30" t="s">
        <v>22</v>
      </c>
      <c r="UGB876" s="31">
        <v>20890</v>
      </c>
      <c r="UGC876" s="30">
        <v>1472014</v>
      </c>
      <c r="UGD876" s="30">
        <f ca="1">YEAR(TODAY())-YEAR(UGB876)</f>
        <v>69</v>
      </c>
      <c r="UGE876" s="245"/>
      <c r="UGF876" s="7" t="s">
        <v>23</v>
      </c>
      <c r="UGG876" s="29"/>
      <c r="UGH876" s="44">
        <v>44198</v>
      </c>
      <c r="UGI876" s="30" t="s">
        <v>22</v>
      </c>
      <c r="UGJ876" s="31">
        <v>20890</v>
      </c>
      <c r="UGK876" s="30">
        <v>1472014</v>
      </c>
      <c r="UGL876" s="30">
        <f ca="1">YEAR(TODAY())-YEAR(UGJ876)</f>
        <v>69</v>
      </c>
      <c r="UGM876" s="245"/>
      <c r="UGN876" s="7" t="s">
        <v>23</v>
      </c>
      <c r="UGO876" s="29"/>
      <c r="UGP876" s="44">
        <v>44198</v>
      </c>
      <c r="UGQ876" s="30" t="s">
        <v>22</v>
      </c>
      <c r="UGR876" s="31">
        <v>20890</v>
      </c>
      <c r="UGS876" s="30">
        <v>1472014</v>
      </c>
      <c r="UGT876" s="30">
        <f ca="1">YEAR(TODAY())-YEAR(UGR876)</f>
        <v>69</v>
      </c>
      <c r="UGU876" s="245"/>
      <c r="UGV876" s="7" t="s">
        <v>23</v>
      </c>
      <c r="UGW876" s="29"/>
      <c r="UGX876" s="44">
        <v>44198</v>
      </c>
      <c r="UGY876" s="30" t="s">
        <v>22</v>
      </c>
      <c r="UGZ876" s="31">
        <v>20890</v>
      </c>
      <c r="UHA876" s="30">
        <v>1472014</v>
      </c>
      <c r="UHB876" s="30">
        <f ca="1">YEAR(TODAY())-YEAR(UGZ876)</f>
        <v>69</v>
      </c>
      <c r="UHC876" s="245"/>
      <c r="UHD876" s="7" t="s">
        <v>23</v>
      </c>
      <c r="UHE876" s="29"/>
      <c r="UHF876" s="44">
        <v>44198</v>
      </c>
      <c r="UHG876" s="30" t="s">
        <v>22</v>
      </c>
      <c r="UHH876" s="31">
        <v>20890</v>
      </c>
      <c r="UHI876" s="30">
        <v>1472014</v>
      </c>
      <c r="UHJ876" s="30">
        <f ca="1">YEAR(TODAY())-YEAR(UHH876)</f>
        <v>69</v>
      </c>
      <c r="UHK876" s="245"/>
      <c r="UHL876" s="7" t="s">
        <v>23</v>
      </c>
      <c r="UHM876" s="29"/>
      <c r="UHN876" s="44">
        <v>44198</v>
      </c>
      <c r="UHO876" s="30" t="s">
        <v>22</v>
      </c>
      <c r="UHP876" s="31">
        <v>20890</v>
      </c>
      <c r="UHQ876" s="30">
        <v>1472014</v>
      </c>
      <c r="UHR876" s="30">
        <f ca="1">YEAR(TODAY())-YEAR(UHP876)</f>
        <v>69</v>
      </c>
      <c r="UHS876" s="245"/>
      <c r="UHT876" s="7" t="s">
        <v>23</v>
      </c>
      <c r="UHU876" s="29"/>
      <c r="UHV876" s="44">
        <v>44198</v>
      </c>
      <c r="UHW876" s="30" t="s">
        <v>22</v>
      </c>
      <c r="UHX876" s="31">
        <v>20890</v>
      </c>
      <c r="UHY876" s="30">
        <v>1472014</v>
      </c>
      <c r="UHZ876" s="30">
        <f ca="1">YEAR(TODAY())-YEAR(UHX876)</f>
        <v>69</v>
      </c>
      <c r="UIA876" s="245"/>
      <c r="UIB876" s="7" t="s">
        <v>23</v>
      </c>
      <c r="UIC876" s="29"/>
      <c r="UID876" s="44">
        <v>44198</v>
      </c>
      <c r="UIE876" s="30" t="s">
        <v>22</v>
      </c>
      <c r="UIF876" s="31">
        <v>20890</v>
      </c>
      <c r="UIG876" s="30">
        <v>1472014</v>
      </c>
      <c r="UIH876" s="30">
        <f ca="1">YEAR(TODAY())-YEAR(UIF876)</f>
        <v>69</v>
      </c>
      <c r="UII876" s="245"/>
      <c r="UIJ876" s="7" t="s">
        <v>23</v>
      </c>
      <c r="UIK876" s="29"/>
      <c r="UIL876" s="44">
        <v>44198</v>
      </c>
      <c r="UIM876" s="30" t="s">
        <v>22</v>
      </c>
      <c r="UIN876" s="31">
        <v>20890</v>
      </c>
      <c r="UIO876" s="30">
        <v>1472014</v>
      </c>
      <c r="UIP876" s="30">
        <f ca="1">YEAR(TODAY())-YEAR(UIN876)</f>
        <v>69</v>
      </c>
      <c r="UIQ876" s="245"/>
      <c r="UIR876" s="7" t="s">
        <v>23</v>
      </c>
      <c r="UIS876" s="29"/>
      <c r="UIT876" s="44">
        <v>44198</v>
      </c>
      <c r="UIU876" s="30" t="s">
        <v>22</v>
      </c>
      <c r="UIV876" s="31">
        <v>20890</v>
      </c>
      <c r="UIW876" s="30">
        <v>1472014</v>
      </c>
      <c r="UIX876" s="30">
        <f ca="1">YEAR(TODAY())-YEAR(UIV876)</f>
        <v>69</v>
      </c>
      <c r="UIY876" s="245"/>
      <c r="UIZ876" s="7" t="s">
        <v>23</v>
      </c>
      <c r="UJA876" s="29"/>
      <c r="UJB876" s="44">
        <v>44198</v>
      </c>
      <c r="UJC876" s="30" t="s">
        <v>22</v>
      </c>
      <c r="UJD876" s="31">
        <v>20890</v>
      </c>
      <c r="UJE876" s="30">
        <v>1472014</v>
      </c>
      <c r="UJF876" s="30">
        <f ca="1">YEAR(TODAY())-YEAR(UJD876)</f>
        <v>69</v>
      </c>
      <c r="UJG876" s="245"/>
      <c r="UJH876" s="7" t="s">
        <v>23</v>
      </c>
      <c r="UJI876" s="29"/>
      <c r="UJJ876" s="44">
        <v>44198</v>
      </c>
      <c r="UJK876" s="30" t="s">
        <v>22</v>
      </c>
      <c r="UJL876" s="31">
        <v>20890</v>
      </c>
      <c r="UJM876" s="30">
        <v>1472014</v>
      </c>
      <c r="UJN876" s="30">
        <f ca="1">YEAR(TODAY())-YEAR(UJL876)</f>
        <v>69</v>
      </c>
      <c r="UJO876" s="245"/>
      <c r="UJP876" s="7" t="s">
        <v>23</v>
      </c>
      <c r="UJQ876" s="29"/>
      <c r="UJR876" s="44">
        <v>44198</v>
      </c>
      <c r="UJS876" s="30" t="s">
        <v>22</v>
      </c>
      <c r="UJT876" s="31">
        <v>20890</v>
      </c>
      <c r="UJU876" s="30">
        <v>1472014</v>
      </c>
      <c r="UJV876" s="30">
        <f ca="1">YEAR(TODAY())-YEAR(UJT876)</f>
        <v>69</v>
      </c>
      <c r="UJW876" s="245"/>
      <c r="UJX876" s="7" t="s">
        <v>23</v>
      </c>
      <c r="UJY876" s="29"/>
      <c r="UJZ876" s="44">
        <v>44198</v>
      </c>
      <c r="UKA876" s="30" t="s">
        <v>22</v>
      </c>
      <c r="UKB876" s="31">
        <v>20890</v>
      </c>
      <c r="UKC876" s="30">
        <v>1472014</v>
      </c>
      <c r="UKD876" s="30">
        <f ca="1">YEAR(TODAY())-YEAR(UKB876)</f>
        <v>69</v>
      </c>
      <c r="UKE876" s="245"/>
      <c r="UKF876" s="7" t="s">
        <v>23</v>
      </c>
      <c r="UKG876" s="29"/>
      <c r="UKH876" s="44">
        <v>44198</v>
      </c>
      <c r="UKI876" s="30" t="s">
        <v>22</v>
      </c>
      <c r="UKJ876" s="31">
        <v>20890</v>
      </c>
      <c r="UKK876" s="30">
        <v>1472014</v>
      </c>
      <c r="UKL876" s="30">
        <f ca="1">YEAR(TODAY())-YEAR(UKJ876)</f>
        <v>69</v>
      </c>
      <c r="UKM876" s="245"/>
      <c r="UKN876" s="7" t="s">
        <v>23</v>
      </c>
      <c r="UKO876" s="29"/>
      <c r="UKP876" s="44">
        <v>44198</v>
      </c>
      <c r="UKQ876" s="30" t="s">
        <v>22</v>
      </c>
      <c r="UKR876" s="31">
        <v>20890</v>
      </c>
      <c r="UKS876" s="30">
        <v>1472014</v>
      </c>
      <c r="UKT876" s="30">
        <f ca="1">YEAR(TODAY())-YEAR(UKR876)</f>
        <v>69</v>
      </c>
      <c r="UKU876" s="245"/>
      <c r="UKV876" s="7" t="s">
        <v>23</v>
      </c>
      <c r="UKW876" s="29"/>
      <c r="UKX876" s="44">
        <v>44198</v>
      </c>
      <c r="UKY876" s="30" t="s">
        <v>22</v>
      </c>
      <c r="UKZ876" s="31">
        <v>20890</v>
      </c>
      <c r="ULA876" s="30">
        <v>1472014</v>
      </c>
      <c r="ULB876" s="30">
        <f ca="1">YEAR(TODAY())-YEAR(UKZ876)</f>
        <v>69</v>
      </c>
      <c r="ULC876" s="245"/>
      <c r="ULD876" s="7" t="s">
        <v>23</v>
      </c>
      <c r="ULE876" s="29"/>
      <c r="ULF876" s="44">
        <v>44198</v>
      </c>
      <c r="ULG876" s="30" t="s">
        <v>22</v>
      </c>
      <c r="ULH876" s="31">
        <v>20890</v>
      </c>
      <c r="ULI876" s="30">
        <v>1472014</v>
      </c>
      <c r="ULJ876" s="30">
        <f ca="1">YEAR(TODAY())-YEAR(ULH876)</f>
        <v>69</v>
      </c>
      <c r="ULK876" s="245"/>
      <c r="ULL876" s="7" t="s">
        <v>23</v>
      </c>
      <c r="ULM876" s="29"/>
      <c r="ULN876" s="44">
        <v>44198</v>
      </c>
      <c r="ULO876" s="30" t="s">
        <v>22</v>
      </c>
      <c r="ULP876" s="31">
        <v>20890</v>
      </c>
      <c r="ULQ876" s="30">
        <v>1472014</v>
      </c>
      <c r="ULR876" s="30">
        <f ca="1">YEAR(TODAY())-YEAR(ULP876)</f>
        <v>69</v>
      </c>
      <c r="ULS876" s="245"/>
      <c r="ULT876" s="7" t="s">
        <v>23</v>
      </c>
      <c r="ULU876" s="29"/>
      <c r="ULV876" s="44">
        <v>44198</v>
      </c>
      <c r="ULW876" s="30" t="s">
        <v>22</v>
      </c>
      <c r="ULX876" s="31">
        <v>20890</v>
      </c>
      <c r="ULY876" s="30">
        <v>1472014</v>
      </c>
      <c r="ULZ876" s="30">
        <f ca="1">YEAR(TODAY())-YEAR(ULX876)</f>
        <v>69</v>
      </c>
      <c r="UMA876" s="245"/>
      <c r="UMB876" s="7" t="s">
        <v>23</v>
      </c>
      <c r="UMC876" s="29"/>
      <c r="UMD876" s="44">
        <v>44198</v>
      </c>
      <c r="UME876" s="30" t="s">
        <v>22</v>
      </c>
      <c r="UMF876" s="31">
        <v>20890</v>
      </c>
      <c r="UMG876" s="30">
        <v>1472014</v>
      </c>
      <c r="UMH876" s="30">
        <f ca="1">YEAR(TODAY())-YEAR(UMF876)</f>
        <v>69</v>
      </c>
      <c r="UMI876" s="245"/>
      <c r="UMJ876" s="7" t="s">
        <v>23</v>
      </c>
      <c r="UMK876" s="29"/>
      <c r="UML876" s="44">
        <v>44198</v>
      </c>
      <c r="UMM876" s="30" t="s">
        <v>22</v>
      </c>
      <c r="UMN876" s="31">
        <v>20890</v>
      </c>
      <c r="UMO876" s="30">
        <v>1472014</v>
      </c>
      <c r="UMP876" s="30">
        <f ca="1">YEAR(TODAY())-YEAR(UMN876)</f>
        <v>69</v>
      </c>
      <c r="UMQ876" s="245"/>
      <c r="UMR876" s="7" t="s">
        <v>23</v>
      </c>
      <c r="UMS876" s="29"/>
      <c r="UMT876" s="44">
        <v>44198</v>
      </c>
      <c r="UMU876" s="30" t="s">
        <v>22</v>
      </c>
      <c r="UMV876" s="31">
        <v>20890</v>
      </c>
      <c r="UMW876" s="30">
        <v>1472014</v>
      </c>
      <c r="UMX876" s="30">
        <f ca="1">YEAR(TODAY())-YEAR(UMV876)</f>
        <v>69</v>
      </c>
      <c r="UMY876" s="245"/>
      <c r="UMZ876" s="7" t="s">
        <v>23</v>
      </c>
      <c r="UNA876" s="29"/>
      <c r="UNB876" s="44">
        <v>44198</v>
      </c>
      <c r="UNC876" s="30" t="s">
        <v>22</v>
      </c>
      <c r="UND876" s="31">
        <v>20890</v>
      </c>
      <c r="UNE876" s="30">
        <v>1472014</v>
      </c>
      <c r="UNF876" s="30">
        <f ca="1">YEAR(TODAY())-YEAR(UND876)</f>
        <v>69</v>
      </c>
      <c r="UNG876" s="245"/>
      <c r="UNH876" s="7" t="s">
        <v>23</v>
      </c>
      <c r="UNI876" s="29"/>
      <c r="UNJ876" s="44">
        <v>44198</v>
      </c>
      <c r="UNK876" s="30" t="s">
        <v>22</v>
      </c>
      <c r="UNL876" s="31">
        <v>20890</v>
      </c>
      <c r="UNM876" s="30">
        <v>1472014</v>
      </c>
      <c r="UNN876" s="30">
        <f ca="1">YEAR(TODAY())-YEAR(UNL876)</f>
        <v>69</v>
      </c>
      <c r="UNO876" s="245"/>
      <c r="UNP876" s="7" t="s">
        <v>23</v>
      </c>
      <c r="UNQ876" s="29"/>
      <c r="UNR876" s="44">
        <v>44198</v>
      </c>
      <c r="UNS876" s="30" t="s">
        <v>22</v>
      </c>
      <c r="UNT876" s="31">
        <v>20890</v>
      </c>
      <c r="UNU876" s="30">
        <v>1472014</v>
      </c>
      <c r="UNV876" s="30">
        <f ca="1">YEAR(TODAY())-YEAR(UNT876)</f>
        <v>69</v>
      </c>
      <c r="UNW876" s="245"/>
      <c r="UNX876" s="7" t="s">
        <v>23</v>
      </c>
      <c r="UNY876" s="29"/>
      <c r="UNZ876" s="44">
        <v>44198</v>
      </c>
      <c r="UOA876" s="30" t="s">
        <v>22</v>
      </c>
      <c r="UOB876" s="31">
        <v>20890</v>
      </c>
      <c r="UOC876" s="30">
        <v>1472014</v>
      </c>
      <c r="UOD876" s="30">
        <f ca="1">YEAR(TODAY())-YEAR(UOB876)</f>
        <v>69</v>
      </c>
      <c r="UOE876" s="245"/>
      <c r="UOF876" s="7" t="s">
        <v>23</v>
      </c>
      <c r="UOG876" s="29"/>
      <c r="UOH876" s="44">
        <v>44198</v>
      </c>
      <c r="UOI876" s="30" t="s">
        <v>22</v>
      </c>
      <c r="UOJ876" s="31">
        <v>20890</v>
      </c>
      <c r="UOK876" s="30">
        <v>1472014</v>
      </c>
      <c r="UOL876" s="30">
        <f ca="1">YEAR(TODAY())-YEAR(UOJ876)</f>
        <v>69</v>
      </c>
      <c r="UOM876" s="245"/>
      <c r="UON876" s="7" t="s">
        <v>23</v>
      </c>
      <c r="UOO876" s="29"/>
      <c r="UOP876" s="44">
        <v>44198</v>
      </c>
      <c r="UOQ876" s="30" t="s">
        <v>22</v>
      </c>
      <c r="UOR876" s="31">
        <v>20890</v>
      </c>
      <c r="UOS876" s="30">
        <v>1472014</v>
      </c>
      <c r="UOT876" s="30">
        <f ca="1">YEAR(TODAY())-YEAR(UOR876)</f>
        <v>69</v>
      </c>
      <c r="UOU876" s="245"/>
      <c r="UOV876" s="7" t="s">
        <v>23</v>
      </c>
      <c r="UOW876" s="29"/>
      <c r="UOX876" s="44">
        <v>44198</v>
      </c>
      <c r="UOY876" s="30" t="s">
        <v>22</v>
      </c>
      <c r="UOZ876" s="31">
        <v>20890</v>
      </c>
      <c r="UPA876" s="30">
        <v>1472014</v>
      </c>
      <c r="UPB876" s="30">
        <f ca="1">YEAR(TODAY())-YEAR(UOZ876)</f>
        <v>69</v>
      </c>
      <c r="UPC876" s="245"/>
      <c r="UPD876" s="7" t="s">
        <v>23</v>
      </c>
      <c r="UPE876" s="29"/>
      <c r="UPF876" s="44">
        <v>44198</v>
      </c>
      <c r="UPG876" s="30" t="s">
        <v>22</v>
      </c>
      <c r="UPH876" s="31">
        <v>20890</v>
      </c>
      <c r="UPI876" s="30">
        <v>1472014</v>
      </c>
      <c r="UPJ876" s="30">
        <f ca="1">YEAR(TODAY())-YEAR(UPH876)</f>
        <v>69</v>
      </c>
      <c r="UPK876" s="245"/>
      <c r="UPL876" s="7" t="s">
        <v>23</v>
      </c>
      <c r="UPM876" s="29"/>
      <c r="UPN876" s="44">
        <v>44198</v>
      </c>
      <c r="UPO876" s="30" t="s">
        <v>22</v>
      </c>
      <c r="UPP876" s="31">
        <v>20890</v>
      </c>
      <c r="UPQ876" s="30">
        <v>1472014</v>
      </c>
      <c r="UPR876" s="30">
        <f ca="1">YEAR(TODAY())-YEAR(UPP876)</f>
        <v>69</v>
      </c>
      <c r="UPS876" s="245"/>
      <c r="UPT876" s="7" t="s">
        <v>23</v>
      </c>
      <c r="UPU876" s="29"/>
      <c r="UPV876" s="44">
        <v>44198</v>
      </c>
      <c r="UPW876" s="30" t="s">
        <v>22</v>
      </c>
      <c r="UPX876" s="31">
        <v>20890</v>
      </c>
      <c r="UPY876" s="30">
        <v>1472014</v>
      </c>
      <c r="UPZ876" s="30">
        <f ca="1">YEAR(TODAY())-YEAR(UPX876)</f>
        <v>69</v>
      </c>
      <c r="UQA876" s="245"/>
      <c r="UQB876" s="7" t="s">
        <v>23</v>
      </c>
      <c r="UQC876" s="29"/>
      <c r="UQD876" s="44">
        <v>44198</v>
      </c>
      <c r="UQE876" s="30" t="s">
        <v>22</v>
      </c>
      <c r="UQF876" s="31">
        <v>20890</v>
      </c>
      <c r="UQG876" s="30">
        <v>1472014</v>
      </c>
      <c r="UQH876" s="30">
        <f ca="1">YEAR(TODAY())-YEAR(UQF876)</f>
        <v>69</v>
      </c>
      <c r="UQI876" s="245"/>
      <c r="UQJ876" s="7" t="s">
        <v>23</v>
      </c>
      <c r="UQK876" s="29"/>
      <c r="UQL876" s="44">
        <v>44198</v>
      </c>
      <c r="UQM876" s="30" t="s">
        <v>22</v>
      </c>
      <c r="UQN876" s="31">
        <v>20890</v>
      </c>
      <c r="UQO876" s="30">
        <v>1472014</v>
      </c>
      <c r="UQP876" s="30">
        <f ca="1">YEAR(TODAY())-YEAR(UQN876)</f>
        <v>69</v>
      </c>
      <c r="UQQ876" s="245"/>
      <c r="UQR876" s="7" t="s">
        <v>23</v>
      </c>
      <c r="UQS876" s="29"/>
      <c r="UQT876" s="44">
        <v>44198</v>
      </c>
      <c r="UQU876" s="30" t="s">
        <v>22</v>
      </c>
      <c r="UQV876" s="31">
        <v>20890</v>
      </c>
      <c r="UQW876" s="30">
        <v>1472014</v>
      </c>
      <c r="UQX876" s="30">
        <f ca="1">YEAR(TODAY())-YEAR(UQV876)</f>
        <v>69</v>
      </c>
      <c r="UQY876" s="245"/>
      <c r="UQZ876" s="7" t="s">
        <v>23</v>
      </c>
      <c r="URA876" s="29"/>
      <c r="URB876" s="44">
        <v>44198</v>
      </c>
      <c r="URC876" s="30" t="s">
        <v>22</v>
      </c>
      <c r="URD876" s="31">
        <v>20890</v>
      </c>
      <c r="URE876" s="30">
        <v>1472014</v>
      </c>
      <c r="URF876" s="30">
        <f ca="1">YEAR(TODAY())-YEAR(URD876)</f>
        <v>69</v>
      </c>
      <c r="URG876" s="245"/>
      <c r="URH876" s="7" t="s">
        <v>23</v>
      </c>
      <c r="URI876" s="29"/>
      <c r="URJ876" s="44">
        <v>44198</v>
      </c>
      <c r="URK876" s="30" t="s">
        <v>22</v>
      </c>
      <c r="URL876" s="31">
        <v>20890</v>
      </c>
      <c r="URM876" s="30">
        <v>1472014</v>
      </c>
      <c r="URN876" s="30">
        <f ca="1">YEAR(TODAY())-YEAR(URL876)</f>
        <v>69</v>
      </c>
      <c r="URO876" s="245"/>
      <c r="URP876" s="7" t="s">
        <v>23</v>
      </c>
      <c r="URQ876" s="29"/>
      <c r="URR876" s="44">
        <v>44198</v>
      </c>
      <c r="URS876" s="30" t="s">
        <v>22</v>
      </c>
      <c r="URT876" s="31">
        <v>20890</v>
      </c>
      <c r="URU876" s="30">
        <v>1472014</v>
      </c>
      <c r="URV876" s="30">
        <f ca="1">YEAR(TODAY())-YEAR(URT876)</f>
        <v>69</v>
      </c>
      <c r="URW876" s="245"/>
      <c r="URX876" s="7" t="s">
        <v>23</v>
      </c>
      <c r="URY876" s="29"/>
      <c r="URZ876" s="44">
        <v>44198</v>
      </c>
      <c r="USA876" s="30" t="s">
        <v>22</v>
      </c>
      <c r="USB876" s="31">
        <v>20890</v>
      </c>
      <c r="USC876" s="30">
        <v>1472014</v>
      </c>
      <c r="USD876" s="30">
        <f ca="1">YEAR(TODAY())-YEAR(USB876)</f>
        <v>69</v>
      </c>
      <c r="USE876" s="245"/>
      <c r="USF876" s="7" t="s">
        <v>23</v>
      </c>
      <c r="USG876" s="29"/>
      <c r="USH876" s="44">
        <v>44198</v>
      </c>
      <c r="USI876" s="30" t="s">
        <v>22</v>
      </c>
      <c r="USJ876" s="31">
        <v>20890</v>
      </c>
      <c r="USK876" s="30">
        <v>1472014</v>
      </c>
      <c r="USL876" s="30">
        <f ca="1">YEAR(TODAY())-YEAR(USJ876)</f>
        <v>69</v>
      </c>
      <c r="USM876" s="245"/>
      <c r="USN876" s="7" t="s">
        <v>23</v>
      </c>
      <c r="USO876" s="29"/>
      <c r="USP876" s="44">
        <v>44198</v>
      </c>
      <c r="USQ876" s="30" t="s">
        <v>22</v>
      </c>
      <c r="USR876" s="31">
        <v>20890</v>
      </c>
      <c r="USS876" s="30">
        <v>1472014</v>
      </c>
      <c r="UST876" s="30">
        <f ca="1">YEAR(TODAY())-YEAR(USR876)</f>
        <v>69</v>
      </c>
      <c r="USU876" s="245"/>
      <c r="USV876" s="7" t="s">
        <v>23</v>
      </c>
      <c r="USW876" s="29"/>
      <c r="USX876" s="44">
        <v>44198</v>
      </c>
      <c r="USY876" s="30" t="s">
        <v>22</v>
      </c>
      <c r="USZ876" s="31">
        <v>20890</v>
      </c>
      <c r="UTA876" s="30">
        <v>1472014</v>
      </c>
      <c r="UTB876" s="30">
        <f ca="1">YEAR(TODAY())-YEAR(USZ876)</f>
        <v>69</v>
      </c>
      <c r="UTC876" s="245"/>
      <c r="UTD876" s="7" t="s">
        <v>23</v>
      </c>
      <c r="UTE876" s="29"/>
      <c r="UTF876" s="44">
        <v>44198</v>
      </c>
      <c r="UTG876" s="30" t="s">
        <v>22</v>
      </c>
      <c r="UTH876" s="31">
        <v>20890</v>
      </c>
      <c r="UTI876" s="30">
        <v>1472014</v>
      </c>
      <c r="UTJ876" s="30">
        <f ca="1">YEAR(TODAY())-YEAR(UTH876)</f>
        <v>69</v>
      </c>
      <c r="UTK876" s="245"/>
      <c r="UTL876" s="7" t="s">
        <v>23</v>
      </c>
      <c r="UTM876" s="29"/>
      <c r="UTN876" s="44">
        <v>44198</v>
      </c>
      <c r="UTO876" s="30" t="s">
        <v>22</v>
      </c>
      <c r="UTP876" s="31">
        <v>20890</v>
      </c>
      <c r="UTQ876" s="30">
        <v>1472014</v>
      </c>
      <c r="UTR876" s="30">
        <f ca="1">YEAR(TODAY())-YEAR(UTP876)</f>
        <v>69</v>
      </c>
      <c r="UTS876" s="245"/>
      <c r="UTT876" s="7" t="s">
        <v>23</v>
      </c>
      <c r="UTU876" s="29"/>
      <c r="UTV876" s="44">
        <v>44198</v>
      </c>
      <c r="UTW876" s="30" t="s">
        <v>22</v>
      </c>
      <c r="UTX876" s="31">
        <v>20890</v>
      </c>
      <c r="UTY876" s="30">
        <v>1472014</v>
      </c>
      <c r="UTZ876" s="30">
        <f ca="1">YEAR(TODAY())-YEAR(UTX876)</f>
        <v>69</v>
      </c>
      <c r="UUA876" s="245"/>
      <c r="UUB876" s="7" t="s">
        <v>23</v>
      </c>
      <c r="UUC876" s="29"/>
      <c r="UUD876" s="44">
        <v>44198</v>
      </c>
      <c r="UUE876" s="30" t="s">
        <v>22</v>
      </c>
      <c r="UUF876" s="31">
        <v>20890</v>
      </c>
      <c r="UUG876" s="30">
        <v>1472014</v>
      </c>
      <c r="UUH876" s="30">
        <f ca="1">YEAR(TODAY())-YEAR(UUF876)</f>
        <v>69</v>
      </c>
      <c r="UUI876" s="245"/>
      <c r="UUJ876" s="7" t="s">
        <v>23</v>
      </c>
      <c r="UUK876" s="29"/>
      <c r="UUL876" s="44">
        <v>44198</v>
      </c>
      <c r="UUM876" s="30" t="s">
        <v>22</v>
      </c>
      <c r="UUN876" s="31">
        <v>20890</v>
      </c>
      <c r="UUO876" s="30">
        <v>1472014</v>
      </c>
      <c r="UUP876" s="30">
        <f ca="1">YEAR(TODAY())-YEAR(UUN876)</f>
        <v>69</v>
      </c>
      <c r="UUQ876" s="245"/>
      <c r="UUR876" s="7" t="s">
        <v>23</v>
      </c>
      <c r="UUS876" s="29"/>
      <c r="UUT876" s="44">
        <v>44198</v>
      </c>
      <c r="UUU876" s="30" t="s">
        <v>22</v>
      </c>
      <c r="UUV876" s="31">
        <v>20890</v>
      </c>
      <c r="UUW876" s="30">
        <v>1472014</v>
      </c>
      <c r="UUX876" s="30">
        <f ca="1">YEAR(TODAY())-YEAR(UUV876)</f>
        <v>69</v>
      </c>
      <c r="UUY876" s="245"/>
      <c r="UUZ876" s="7" t="s">
        <v>23</v>
      </c>
      <c r="UVA876" s="29"/>
      <c r="UVB876" s="44">
        <v>44198</v>
      </c>
      <c r="UVC876" s="30" t="s">
        <v>22</v>
      </c>
      <c r="UVD876" s="31">
        <v>20890</v>
      </c>
      <c r="UVE876" s="30">
        <v>1472014</v>
      </c>
      <c r="UVF876" s="30">
        <f ca="1">YEAR(TODAY())-YEAR(UVD876)</f>
        <v>69</v>
      </c>
      <c r="UVG876" s="245"/>
      <c r="UVH876" s="7" t="s">
        <v>23</v>
      </c>
      <c r="UVI876" s="29"/>
      <c r="UVJ876" s="44">
        <v>44198</v>
      </c>
      <c r="UVK876" s="30" t="s">
        <v>22</v>
      </c>
      <c r="UVL876" s="31">
        <v>20890</v>
      </c>
      <c r="UVM876" s="30">
        <v>1472014</v>
      </c>
      <c r="UVN876" s="30">
        <f ca="1">YEAR(TODAY())-YEAR(UVL876)</f>
        <v>69</v>
      </c>
      <c r="UVO876" s="245"/>
      <c r="UVP876" s="7" t="s">
        <v>23</v>
      </c>
      <c r="UVQ876" s="29"/>
      <c r="UVR876" s="44">
        <v>44198</v>
      </c>
      <c r="UVS876" s="30" t="s">
        <v>22</v>
      </c>
      <c r="UVT876" s="31">
        <v>20890</v>
      </c>
      <c r="UVU876" s="30">
        <v>1472014</v>
      </c>
      <c r="UVV876" s="30">
        <f ca="1">YEAR(TODAY())-YEAR(UVT876)</f>
        <v>69</v>
      </c>
      <c r="UVW876" s="245"/>
      <c r="UVX876" s="7" t="s">
        <v>23</v>
      </c>
      <c r="UVY876" s="29"/>
      <c r="UVZ876" s="44">
        <v>44198</v>
      </c>
      <c r="UWA876" s="30" t="s">
        <v>22</v>
      </c>
      <c r="UWB876" s="31">
        <v>20890</v>
      </c>
      <c r="UWC876" s="30">
        <v>1472014</v>
      </c>
      <c r="UWD876" s="30">
        <f ca="1">YEAR(TODAY())-YEAR(UWB876)</f>
        <v>69</v>
      </c>
      <c r="UWE876" s="245"/>
      <c r="UWF876" s="7" t="s">
        <v>23</v>
      </c>
      <c r="UWG876" s="29"/>
      <c r="UWH876" s="44">
        <v>44198</v>
      </c>
      <c r="UWI876" s="30" t="s">
        <v>22</v>
      </c>
      <c r="UWJ876" s="31">
        <v>20890</v>
      </c>
      <c r="UWK876" s="30">
        <v>1472014</v>
      </c>
      <c r="UWL876" s="30">
        <f ca="1">YEAR(TODAY())-YEAR(UWJ876)</f>
        <v>69</v>
      </c>
      <c r="UWM876" s="245"/>
      <c r="UWN876" s="7" t="s">
        <v>23</v>
      </c>
      <c r="UWO876" s="29"/>
      <c r="UWP876" s="44">
        <v>44198</v>
      </c>
      <c r="UWQ876" s="30" t="s">
        <v>22</v>
      </c>
      <c r="UWR876" s="31">
        <v>20890</v>
      </c>
      <c r="UWS876" s="30">
        <v>1472014</v>
      </c>
      <c r="UWT876" s="30">
        <f ca="1">YEAR(TODAY())-YEAR(UWR876)</f>
        <v>69</v>
      </c>
      <c r="UWU876" s="245"/>
      <c r="UWV876" s="7" t="s">
        <v>23</v>
      </c>
      <c r="UWW876" s="29"/>
      <c r="UWX876" s="44">
        <v>44198</v>
      </c>
      <c r="UWY876" s="30" t="s">
        <v>22</v>
      </c>
      <c r="UWZ876" s="31">
        <v>20890</v>
      </c>
      <c r="UXA876" s="30">
        <v>1472014</v>
      </c>
      <c r="UXB876" s="30">
        <f ca="1">YEAR(TODAY())-YEAR(UWZ876)</f>
        <v>69</v>
      </c>
      <c r="UXC876" s="245"/>
      <c r="UXD876" s="7" t="s">
        <v>23</v>
      </c>
      <c r="UXE876" s="29"/>
      <c r="UXF876" s="44">
        <v>44198</v>
      </c>
      <c r="UXG876" s="30" t="s">
        <v>22</v>
      </c>
      <c r="UXH876" s="31">
        <v>20890</v>
      </c>
      <c r="UXI876" s="30">
        <v>1472014</v>
      </c>
      <c r="UXJ876" s="30">
        <f ca="1">YEAR(TODAY())-YEAR(UXH876)</f>
        <v>69</v>
      </c>
      <c r="UXK876" s="245"/>
      <c r="UXL876" s="7" t="s">
        <v>23</v>
      </c>
      <c r="UXM876" s="29"/>
      <c r="UXN876" s="44">
        <v>44198</v>
      </c>
      <c r="UXO876" s="30" t="s">
        <v>22</v>
      </c>
      <c r="UXP876" s="31">
        <v>20890</v>
      </c>
      <c r="UXQ876" s="30">
        <v>1472014</v>
      </c>
      <c r="UXR876" s="30">
        <f ca="1">YEAR(TODAY())-YEAR(UXP876)</f>
        <v>69</v>
      </c>
      <c r="UXS876" s="245"/>
      <c r="UXT876" s="7" t="s">
        <v>23</v>
      </c>
      <c r="UXU876" s="29"/>
      <c r="UXV876" s="44">
        <v>44198</v>
      </c>
      <c r="UXW876" s="30" t="s">
        <v>22</v>
      </c>
      <c r="UXX876" s="31">
        <v>20890</v>
      </c>
      <c r="UXY876" s="30">
        <v>1472014</v>
      </c>
      <c r="UXZ876" s="30">
        <f ca="1">YEAR(TODAY())-YEAR(UXX876)</f>
        <v>69</v>
      </c>
      <c r="UYA876" s="245"/>
      <c r="UYB876" s="7" t="s">
        <v>23</v>
      </c>
      <c r="UYC876" s="29"/>
      <c r="UYD876" s="44">
        <v>44198</v>
      </c>
      <c r="UYE876" s="30" t="s">
        <v>22</v>
      </c>
      <c r="UYF876" s="31">
        <v>20890</v>
      </c>
      <c r="UYG876" s="30">
        <v>1472014</v>
      </c>
      <c r="UYH876" s="30">
        <f ca="1">YEAR(TODAY())-YEAR(UYF876)</f>
        <v>69</v>
      </c>
      <c r="UYI876" s="245"/>
      <c r="UYJ876" s="7" t="s">
        <v>23</v>
      </c>
      <c r="UYK876" s="29"/>
      <c r="UYL876" s="44">
        <v>44198</v>
      </c>
      <c r="UYM876" s="30" t="s">
        <v>22</v>
      </c>
      <c r="UYN876" s="31">
        <v>20890</v>
      </c>
      <c r="UYO876" s="30">
        <v>1472014</v>
      </c>
      <c r="UYP876" s="30">
        <f ca="1">YEAR(TODAY())-YEAR(UYN876)</f>
        <v>69</v>
      </c>
      <c r="UYQ876" s="245"/>
      <c r="UYR876" s="7" t="s">
        <v>23</v>
      </c>
      <c r="UYS876" s="29"/>
      <c r="UYT876" s="44">
        <v>44198</v>
      </c>
      <c r="UYU876" s="30" t="s">
        <v>22</v>
      </c>
      <c r="UYV876" s="31">
        <v>20890</v>
      </c>
      <c r="UYW876" s="30">
        <v>1472014</v>
      </c>
      <c r="UYX876" s="30">
        <f ca="1">YEAR(TODAY())-YEAR(UYV876)</f>
        <v>69</v>
      </c>
      <c r="UYY876" s="245"/>
      <c r="UYZ876" s="7" t="s">
        <v>23</v>
      </c>
      <c r="UZA876" s="29"/>
      <c r="UZB876" s="44">
        <v>44198</v>
      </c>
      <c r="UZC876" s="30" t="s">
        <v>22</v>
      </c>
      <c r="UZD876" s="31">
        <v>20890</v>
      </c>
      <c r="UZE876" s="30">
        <v>1472014</v>
      </c>
      <c r="UZF876" s="30">
        <f ca="1">YEAR(TODAY())-YEAR(UZD876)</f>
        <v>69</v>
      </c>
      <c r="UZG876" s="245"/>
      <c r="UZH876" s="7" t="s">
        <v>23</v>
      </c>
      <c r="UZI876" s="29"/>
      <c r="UZJ876" s="44">
        <v>44198</v>
      </c>
      <c r="UZK876" s="30" t="s">
        <v>22</v>
      </c>
      <c r="UZL876" s="31">
        <v>20890</v>
      </c>
      <c r="UZM876" s="30">
        <v>1472014</v>
      </c>
      <c r="UZN876" s="30">
        <f ca="1">YEAR(TODAY())-YEAR(UZL876)</f>
        <v>69</v>
      </c>
      <c r="UZO876" s="245"/>
      <c r="UZP876" s="7" t="s">
        <v>23</v>
      </c>
      <c r="UZQ876" s="29"/>
      <c r="UZR876" s="44">
        <v>44198</v>
      </c>
      <c r="UZS876" s="30" t="s">
        <v>22</v>
      </c>
      <c r="UZT876" s="31">
        <v>20890</v>
      </c>
      <c r="UZU876" s="30">
        <v>1472014</v>
      </c>
      <c r="UZV876" s="30">
        <f ca="1">YEAR(TODAY())-YEAR(UZT876)</f>
        <v>69</v>
      </c>
      <c r="UZW876" s="245"/>
      <c r="UZX876" s="7" t="s">
        <v>23</v>
      </c>
      <c r="UZY876" s="29"/>
      <c r="UZZ876" s="44">
        <v>44198</v>
      </c>
      <c r="VAA876" s="30" t="s">
        <v>22</v>
      </c>
      <c r="VAB876" s="31">
        <v>20890</v>
      </c>
      <c r="VAC876" s="30">
        <v>1472014</v>
      </c>
      <c r="VAD876" s="30">
        <f ca="1">YEAR(TODAY())-YEAR(VAB876)</f>
        <v>69</v>
      </c>
      <c r="VAE876" s="245"/>
      <c r="VAF876" s="7" t="s">
        <v>23</v>
      </c>
      <c r="VAG876" s="29"/>
      <c r="VAH876" s="44">
        <v>44198</v>
      </c>
      <c r="VAI876" s="30" t="s">
        <v>22</v>
      </c>
      <c r="VAJ876" s="31">
        <v>20890</v>
      </c>
      <c r="VAK876" s="30">
        <v>1472014</v>
      </c>
      <c r="VAL876" s="30">
        <f ca="1">YEAR(TODAY())-YEAR(VAJ876)</f>
        <v>69</v>
      </c>
      <c r="VAM876" s="245"/>
      <c r="VAN876" s="7" t="s">
        <v>23</v>
      </c>
      <c r="VAO876" s="29"/>
      <c r="VAP876" s="44">
        <v>44198</v>
      </c>
      <c r="VAQ876" s="30" t="s">
        <v>22</v>
      </c>
      <c r="VAR876" s="31">
        <v>20890</v>
      </c>
      <c r="VAS876" s="30">
        <v>1472014</v>
      </c>
      <c r="VAT876" s="30">
        <f ca="1">YEAR(TODAY())-YEAR(VAR876)</f>
        <v>69</v>
      </c>
      <c r="VAU876" s="245"/>
      <c r="VAV876" s="7" t="s">
        <v>23</v>
      </c>
      <c r="VAW876" s="29"/>
      <c r="VAX876" s="44">
        <v>44198</v>
      </c>
      <c r="VAY876" s="30" t="s">
        <v>22</v>
      </c>
      <c r="VAZ876" s="31">
        <v>20890</v>
      </c>
      <c r="VBA876" s="30">
        <v>1472014</v>
      </c>
      <c r="VBB876" s="30">
        <f ca="1">YEAR(TODAY())-YEAR(VAZ876)</f>
        <v>69</v>
      </c>
      <c r="VBC876" s="245"/>
      <c r="VBD876" s="7" t="s">
        <v>23</v>
      </c>
      <c r="VBE876" s="29"/>
      <c r="VBF876" s="44">
        <v>44198</v>
      </c>
      <c r="VBG876" s="30" t="s">
        <v>22</v>
      </c>
      <c r="VBH876" s="31">
        <v>20890</v>
      </c>
      <c r="VBI876" s="30">
        <v>1472014</v>
      </c>
      <c r="VBJ876" s="30">
        <f ca="1">YEAR(TODAY())-YEAR(VBH876)</f>
        <v>69</v>
      </c>
      <c r="VBK876" s="245"/>
      <c r="VBL876" s="7" t="s">
        <v>23</v>
      </c>
      <c r="VBM876" s="29"/>
      <c r="VBN876" s="44">
        <v>44198</v>
      </c>
      <c r="VBO876" s="30" t="s">
        <v>22</v>
      </c>
      <c r="VBP876" s="31">
        <v>20890</v>
      </c>
      <c r="VBQ876" s="30">
        <v>1472014</v>
      </c>
      <c r="VBR876" s="30">
        <f ca="1">YEAR(TODAY())-YEAR(VBP876)</f>
        <v>69</v>
      </c>
      <c r="VBS876" s="245"/>
      <c r="VBT876" s="7" t="s">
        <v>23</v>
      </c>
      <c r="VBU876" s="29"/>
      <c r="VBV876" s="44">
        <v>44198</v>
      </c>
      <c r="VBW876" s="30" t="s">
        <v>22</v>
      </c>
      <c r="VBX876" s="31">
        <v>20890</v>
      </c>
      <c r="VBY876" s="30">
        <v>1472014</v>
      </c>
      <c r="VBZ876" s="30">
        <f ca="1">YEAR(TODAY())-YEAR(VBX876)</f>
        <v>69</v>
      </c>
      <c r="VCA876" s="245"/>
      <c r="VCB876" s="7" t="s">
        <v>23</v>
      </c>
      <c r="VCC876" s="29"/>
      <c r="VCD876" s="44">
        <v>44198</v>
      </c>
      <c r="VCE876" s="30" t="s">
        <v>22</v>
      </c>
      <c r="VCF876" s="31">
        <v>20890</v>
      </c>
      <c r="VCG876" s="30">
        <v>1472014</v>
      </c>
      <c r="VCH876" s="30">
        <f ca="1">YEAR(TODAY())-YEAR(VCF876)</f>
        <v>69</v>
      </c>
      <c r="VCI876" s="245"/>
      <c r="VCJ876" s="7" t="s">
        <v>23</v>
      </c>
      <c r="VCK876" s="29"/>
      <c r="VCL876" s="44">
        <v>44198</v>
      </c>
      <c r="VCM876" s="30" t="s">
        <v>22</v>
      </c>
      <c r="VCN876" s="31">
        <v>20890</v>
      </c>
      <c r="VCO876" s="30">
        <v>1472014</v>
      </c>
      <c r="VCP876" s="30">
        <f ca="1">YEAR(TODAY())-YEAR(VCN876)</f>
        <v>69</v>
      </c>
      <c r="VCQ876" s="245"/>
      <c r="VCR876" s="7" t="s">
        <v>23</v>
      </c>
      <c r="VCS876" s="29"/>
      <c r="VCT876" s="44">
        <v>44198</v>
      </c>
      <c r="VCU876" s="30" t="s">
        <v>22</v>
      </c>
      <c r="VCV876" s="31">
        <v>20890</v>
      </c>
      <c r="VCW876" s="30">
        <v>1472014</v>
      </c>
      <c r="VCX876" s="30">
        <f ca="1">YEAR(TODAY())-YEAR(VCV876)</f>
        <v>69</v>
      </c>
      <c r="VCY876" s="245"/>
      <c r="VCZ876" s="7" t="s">
        <v>23</v>
      </c>
      <c r="VDA876" s="29"/>
      <c r="VDB876" s="44">
        <v>44198</v>
      </c>
      <c r="VDC876" s="30" t="s">
        <v>22</v>
      </c>
      <c r="VDD876" s="31">
        <v>20890</v>
      </c>
      <c r="VDE876" s="30">
        <v>1472014</v>
      </c>
      <c r="VDF876" s="30">
        <f ca="1">YEAR(TODAY())-YEAR(VDD876)</f>
        <v>69</v>
      </c>
      <c r="VDG876" s="245"/>
      <c r="VDH876" s="7" t="s">
        <v>23</v>
      </c>
      <c r="VDI876" s="29"/>
      <c r="VDJ876" s="44">
        <v>44198</v>
      </c>
      <c r="VDK876" s="30" t="s">
        <v>22</v>
      </c>
      <c r="VDL876" s="31">
        <v>20890</v>
      </c>
      <c r="VDM876" s="30">
        <v>1472014</v>
      </c>
      <c r="VDN876" s="30">
        <f ca="1">YEAR(TODAY())-YEAR(VDL876)</f>
        <v>69</v>
      </c>
      <c r="VDO876" s="245"/>
      <c r="VDP876" s="7" t="s">
        <v>23</v>
      </c>
      <c r="VDQ876" s="29"/>
      <c r="VDR876" s="44">
        <v>44198</v>
      </c>
      <c r="VDS876" s="30" t="s">
        <v>22</v>
      </c>
      <c r="VDT876" s="31">
        <v>20890</v>
      </c>
      <c r="VDU876" s="30">
        <v>1472014</v>
      </c>
      <c r="VDV876" s="30">
        <f ca="1">YEAR(TODAY())-YEAR(VDT876)</f>
        <v>69</v>
      </c>
      <c r="VDW876" s="245"/>
      <c r="VDX876" s="7" t="s">
        <v>23</v>
      </c>
      <c r="VDY876" s="29"/>
      <c r="VDZ876" s="44">
        <v>44198</v>
      </c>
      <c r="VEA876" s="30" t="s">
        <v>22</v>
      </c>
      <c r="VEB876" s="31">
        <v>20890</v>
      </c>
      <c r="VEC876" s="30">
        <v>1472014</v>
      </c>
      <c r="VED876" s="30">
        <f ca="1">YEAR(TODAY())-YEAR(VEB876)</f>
        <v>69</v>
      </c>
      <c r="VEE876" s="245"/>
      <c r="VEF876" s="7" t="s">
        <v>23</v>
      </c>
      <c r="VEG876" s="29"/>
      <c r="VEH876" s="44">
        <v>44198</v>
      </c>
      <c r="VEI876" s="30" t="s">
        <v>22</v>
      </c>
      <c r="VEJ876" s="31">
        <v>20890</v>
      </c>
      <c r="VEK876" s="30">
        <v>1472014</v>
      </c>
      <c r="VEL876" s="30">
        <f ca="1">YEAR(TODAY())-YEAR(VEJ876)</f>
        <v>69</v>
      </c>
      <c r="VEM876" s="245"/>
      <c r="VEN876" s="7" t="s">
        <v>23</v>
      </c>
      <c r="VEO876" s="29"/>
      <c r="VEP876" s="44">
        <v>44198</v>
      </c>
      <c r="VEQ876" s="30" t="s">
        <v>22</v>
      </c>
      <c r="VER876" s="31">
        <v>20890</v>
      </c>
      <c r="VES876" s="30">
        <v>1472014</v>
      </c>
      <c r="VET876" s="30">
        <f ca="1">YEAR(TODAY())-YEAR(VER876)</f>
        <v>69</v>
      </c>
      <c r="VEU876" s="245"/>
      <c r="VEV876" s="7" t="s">
        <v>23</v>
      </c>
      <c r="VEW876" s="29"/>
      <c r="VEX876" s="44">
        <v>44198</v>
      </c>
      <c r="VEY876" s="30" t="s">
        <v>22</v>
      </c>
      <c r="VEZ876" s="31">
        <v>20890</v>
      </c>
      <c r="VFA876" s="30">
        <v>1472014</v>
      </c>
      <c r="VFB876" s="30">
        <f ca="1">YEAR(TODAY())-YEAR(VEZ876)</f>
        <v>69</v>
      </c>
      <c r="VFC876" s="245"/>
      <c r="VFD876" s="7" t="s">
        <v>23</v>
      </c>
      <c r="VFE876" s="29"/>
      <c r="VFF876" s="44">
        <v>44198</v>
      </c>
      <c r="VFG876" s="30" t="s">
        <v>22</v>
      </c>
      <c r="VFH876" s="31">
        <v>20890</v>
      </c>
      <c r="VFI876" s="30">
        <v>1472014</v>
      </c>
      <c r="VFJ876" s="30">
        <f ca="1">YEAR(TODAY())-YEAR(VFH876)</f>
        <v>69</v>
      </c>
      <c r="VFK876" s="245"/>
      <c r="VFL876" s="7" t="s">
        <v>23</v>
      </c>
      <c r="VFM876" s="29"/>
      <c r="VFN876" s="44">
        <v>44198</v>
      </c>
      <c r="VFO876" s="30" t="s">
        <v>22</v>
      </c>
      <c r="VFP876" s="31">
        <v>20890</v>
      </c>
      <c r="VFQ876" s="30">
        <v>1472014</v>
      </c>
      <c r="VFR876" s="30">
        <f ca="1">YEAR(TODAY())-YEAR(VFP876)</f>
        <v>69</v>
      </c>
      <c r="VFS876" s="245"/>
      <c r="VFT876" s="7" t="s">
        <v>23</v>
      </c>
      <c r="VFU876" s="29"/>
      <c r="VFV876" s="44">
        <v>44198</v>
      </c>
      <c r="VFW876" s="30" t="s">
        <v>22</v>
      </c>
      <c r="VFX876" s="31">
        <v>20890</v>
      </c>
      <c r="VFY876" s="30">
        <v>1472014</v>
      </c>
      <c r="VFZ876" s="30">
        <f ca="1">YEAR(TODAY())-YEAR(VFX876)</f>
        <v>69</v>
      </c>
      <c r="VGA876" s="245"/>
      <c r="VGB876" s="7" t="s">
        <v>23</v>
      </c>
      <c r="VGC876" s="29"/>
      <c r="VGD876" s="44">
        <v>44198</v>
      </c>
      <c r="VGE876" s="30" t="s">
        <v>22</v>
      </c>
      <c r="VGF876" s="31">
        <v>20890</v>
      </c>
      <c r="VGG876" s="30">
        <v>1472014</v>
      </c>
      <c r="VGH876" s="30">
        <f ca="1">YEAR(TODAY())-YEAR(VGF876)</f>
        <v>69</v>
      </c>
      <c r="VGI876" s="245"/>
      <c r="VGJ876" s="7" t="s">
        <v>23</v>
      </c>
      <c r="VGK876" s="29"/>
      <c r="VGL876" s="44">
        <v>44198</v>
      </c>
      <c r="VGM876" s="30" t="s">
        <v>22</v>
      </c>
      <c r="VGN876" s="31">
        <v>20890</v>
      </c>
      <c r="VGO876" s="30">
        <v>1472014</v>
      </c>
      <c r="VGP876" s="30">
        <f ca="1">YEAR(TODAY())-YEAR(VGN876)</f>
        <v>69</v>
      </c>
      <c r="VGQ876" s="245"/>
      <c r="VGR876" s="7" t="s">
        <v>23</v>
      </c>
      <c r="VGS876" s="29"/>
      <c r="VGT876" s="44">
        <v>44198</v>
      </c>
      <c r="VGU876" s="30" t="s">
        <v>22</v>
      </c>
      <c r="VGV876" s="31">
        <v>20890</v>
      </c>
      <c r="VGW876" s="30">
        <v>1472014</v>
      </c>
      <c r="VGX876" s="30">
        <f ca="1">YEAR(TODAY())-YEAR(VGV876)</f>
        <v>69</v>
      </c>
      <c r="VGY876" s="245"/>
      <c r="VGZ876" s="7" t="s">
        <v>23</v>
      </c>
      <c r="VHA876" s="29"/>
      <c r="VHB876" s="44">
        <v>44198</v>
      </c>
      <c r="VHC876" s="30" t="s">
        <v>22</v>
      </c>
      <c r="VHD876" s="31">
        <v>20890</v>
      </c>
      <c r="VHE876" s="30">
        <v>1472014</v>
      </c>
      <c r="VHF876" s="30">
        <f ca="1">YEAR(TODAY())-YEAR(VHD876)</f>
        <v>69</v>
      </c>
      <c r="VHG876" s="245"/>
      <c r="VHH876" s="7" t="s">
        <v>23</v>
      </c>
      <c r="VHI876" s="29"/>
      <c r="VHJ876" s="44">
        <v>44198</v>
      </c>
      <c r="VHK876" s="30" t="s">
        <v>22</v>
      </c>
      <c r="VHL876" s="31">
        <v>20890</v>
      </c>
      <c r="VHM876" s="30">
        <v>1472014</v>
      </c>
      <c r="VHN876" s="30">
        <f ca="1">YEAR(TODAY())-YEAR(VHL876)</f>
        <v>69</v>
      </c>
      <c r="VHO876" s="245"/>
      <c r="VHP876" s="7" t="s">
        <v>23</v>
      </c>
      <c r="VHQ876" s="29"/>
      <c r="VHR876" s="44">
        <v>44198</v>
      </c>
      <c r="VHS876" s="30" t="s">
        <v>22</v>
      </c>
      <c r="VHT876" s="31">
        <v>20890</v>
      </c>
      <c r="VHU876" s="30">
        <v>1472014</v>
      </c>
      <c r="VHV876" s="30">
        <f ca="1">YEAR(TODAY())-YEAR(VHT876)</f>
        <v>69</v>
      </c>
      <c r="VHW876" s="245"/>
      <c r="VHX876" s="7" t="s">
        <v>23</v>
      </c>
      <c r="VHY876" s="29"/>
      <c r="VHZ876" s="44">
        <v>44198</v>
      </c>
      <c r="VIA876" s="30" t="s">
        <v>22</v>
      </c>
      <c r="VIB876" s="31">
        <v>20890</v>
      </c>
      <c r="VIC876" s="30">
        <v>1472014</v>
      </c>
      <c r="VID876" s="30">
        <f ca="1">YEAR(TODAY())-YEAR(VIB876)</f>
        <v>69</v>
      </c>
      <c r="VIE876" s="245"/>
      <c r="VIF876" s="7" t="s">
        <v>23</v>
      </c>
      <c r="VIG876" s="29"/>
      <c r="VIH876" s="44">
        <v>44198</v>
      </c>
      <c r="VII876" s="30" t="s">
        <v>22</v>
      </c>
      <c r="VIJ876" s="31">
        <v>20890</v>
      </c>
      <c r="VIK876" s="30">
        <v>1472014</v>
      </c>
      <c r="VIL876" s="30">
        <f ca="1">YEAR(TODAY())-YEAR(VIJ876)</f>
        <v>69</v>
      </c>
      <c r="VIM876" s="245"/>
      <c r="VIN876" s="7" t="s">
        <v>23</v>
      </c>
      <c r="VIO876" s="29"/>
      <c r="VIP876" s="44">
        <v>44198</v>
      </c>
      <c r="VIQ876" s="30" t="s">
        <v>22</v>
      </c>
      <c r="VIR876" s="31">
        <v>20890</v>
      </c>
      <c r="VIS876" s="30">
        <v>1472014</v>
      </c>
      <c r="VIT876" s="30">
        <f ca="1">YEAR(TODAY())-YEAR(VIR876)</f>
        <v>69</v>
      </c>
      <c r="VIU876" s="245"/>
      <c r="VIV876" s="7" t="s">
        <v>23</v>
      </c>
      <c r="VIW876" s="29"/>
      <c r="VIX876" s="44">
        <v>44198</v>
      </c>
      <c r="VIY876" s="30" t="s">
        <v>22</v>
      </c>
      <c r="VIZ876" s="31">
        <v>20890</v>
      </c>
      <c r="VJA876" s="30">
        <v>1472014</v>
      </c>
      <c r="VJB876" s="30">
        <f ca="1">YEAR(TODAY())-YEAR(VIZ876)</f>
        <v>69</v>
      </c>
      <c r="VJC876" s="245"/>
      <c r="VJD876" s="7" t="s">
        <v>23</v>
      </c>
      <c r="VJE876" s="29"/>
      <c r="VJF876" s="44">
        <v>44198</v>
      </c>
      <c r="VJG876" s="30" t="s">
        <v>22</v>
      </c>
      <c r="VJH876" s="31">
        <v>20890</v>
      </c>
      <c r="VJI876" s="30">
        <v>1472014</v>
      </c>
      <c r="VJJ876" s="30">
        <f ca="1">YEAR(TODAY())-YEAR(VJH876)</f>
        <v>69</v>
      </c>
      <c r="VJK876" s="245"/>
      <c r="VJL876" s="7" t="s">
        <v>23</v>
      </c>
      <c r="VJM876" s="29"/>
      <c r="VJN876" s="44">
        <v>44198</v>
      </c>
      <c r="VJO876" s="30" t="s">
        <v>22</v>
      </c>
      <c r="VJP876" s="31">
        <v>20890</v>
      </c>
      <c r="VJQ876" s="30">
        <v>1472014</v>
      </c>
      <c r="VJR876" s="30">
        <f ca="1">YEAR(TODAY())-YEAR(VJP876)</f>
        <v>69</v>
      </c>
      <c r="VJS876" s="245"/>
      <c r="VJT876" s="7" t="s">
        <v>23</v>
      </c>
      <c r="VJU876" s="29"/>
      <c r="VJV876" s="44">
        <v>44198</v>
      </c>
      <c r="VJW876" s="30" t="s">
        <v>22</v>
      </c>
      <c r="VJX876" s="31">
        <v>20890</v>
      </c>
      <c r="VJY876" s="30">
        <v>1472014</v>
      </c>
      <c r="VJZ876" s="30">
        <f ca="1">YEAR(TODAY())-YEAR(VJX876)</f>
        <v>69</v>
      </c>
      <c r="VKA876" s="245"/>
      <c r="VKB876" s="7" t="s">
        <v>23</v>
      </c>
      <c r="VKC876" s="29"/>
      <c r="VKD876" s="44">
        <v>44198</v>
      </c>
      <c r="VKE876" s="30" t="s">
        <v>22</v>
      </c>
      <c r="VKF876" s="31">
        <v>20890</v>
      </c>
      <c r="VKG876" s="30">
        <v>1472014</v>
      </c>
      <c r="VKH876" s="30">
        <f ca="1">YEAR(TODAY())-YEAR(VKF876)</f>
        <v>69</v>
      </c>
      <c r="VKI876" s="245"/>
      <c r="VKJ876" s="7" t="s">
        <v>23</v>
      </c>
      <c r="VKK876" s="29"/>
      <c r="VKL876" s="44">
        <v>44198</v>
      </c>
      <c r="VKM876" s="30" t="s">
        <v>22</v>
      </c>
      <c r="VKN876" s="31">
        <v>20890</v>
      </c>
      <c r="VKO876" s="30">
        <v>1472014</v>
      </c>
      <c r="VKP876" s="30">
        <f ca="1">YEAR(TODAY())-YEAR(VKN876)</f>
        <v>69</v>
      </c>
      <c r="VKQ876" s="245"/>
      <c r="VKR876" s="7" t="s">
        <v>23</v>
      </c>
      <c r="VKS876" s="29"/>
      <c r="VKT876" s="44">
        <v>44198</v>
      </c>
      <c r="VKU876" s="30" t="s">
        <v>22</v>
      </c>
      <c r="VKV876" s="31">
        <v>20890</v>
      </c>
      <c r="VKW876" s="30">
        <v>1472014</v>
      </c>
      <c r="VKX876" s="30">
        <f ca="1">YEAR(TODAY())-YEAR(VKV876)</f>
        <v>69</v>
      </c>
      <c r="VKY876" s="245"/>
      <c r="VKZ876" s="7" t="s">
        <v>23</v>
      </c>
      <c r="VLA876" s="29"/>
      <c r="VLB876" s="44">
        <v>44198</v>
      </c>
      <c r="VLC876" s="30" t="s">
        <v>22</v>
      </c>
      <c r="VLD876" s="31">
        <v>20890</v>
      </c>
      <c r="VLE876" s="30">
        <v>1472014</v>
      </c>
      <c r="VLF876" s="30">
        <f ca="1">YEAR(TODAY())-YEAR(VLD876)</f>
        <v>69</v>
      </c>
      <c r="VLG876" s="245"/>
      <c r="VLH876" s="7" t="s">
        <v>23</v>
      </c>
      <c r="VLI876" s="29"/>
      <c r="VLJ876" s="44">
        <v>44198</v>
      </c>
      <c r="VLK876" s="30" t="s">
        <v>22</v>
      </c>
      <c r="VLL876" s="31">
        <v>20890</v>
      </c>
      <c r="VLM876" s="30">
        <v>1472014</v>
      </c>
      <c r="VLN876" s="30">
        <f ca="1">YEAR(TODAY())-YEAR(VLL876)</f>
        <v>69</v>
      </c>
      <c r="VLO876" s="245"/>
      <c r="VLP876" s="7" t="s">
        <v>23</v>
      </c>
      <c r="VLQ876" s="29"/>
      <c r="VLR876" s="44">
        <v>44198</v>
      </c>
      <c r="VLS876" s="30" t="s">
        <v>22</v>
      </c>
      <c r="VLT876" s="31">
        <v>20890</v>
      </c>
      <c r="VLU876" s="30">
        <v>1472014</v>
      </c>
      <c r="VLV876" s="30">
        <f ca="1">YEAR(TODAY())-YEAR(VLT876)</f>
        <v>69</v>
      </c>
      <c r="VLW876" s="245"/>
      <c r="VLX876" s="7" t="s">
        <v>23</v>
      </c>
      <c r="VLY876" s="29"/>
      <c r="VLZ876" s="44">
        <v>44198</v>
      </c>
      <c r="VMA876" s="30" t="s">
        <v>22</v>
      </c>
      <c r="VMB876" s="31">
        <v>20890</v>
      </c>
      <c r="VMC876" s="30">
        <v>1472014</v>
      </c>
      <c r="VMD876" s="30">
        <f ca="1">YEAR(TODAY())-YEAR(VMB876)</f>
        <v>69</v>
      </c>
      <c r="VME876" s="245"/>
      <c r="VMF876" s="7" t="s">
        <v>23</v>
      </c>
      <c r="VMG876" s="29"/>
      <c r="VMH876" s="44">
        <v>44198</v>
      </c>
      <c r="VMI876" s="30" t="s">
        <v>22</v>
      </c>
      <c r="VMJ876" s="31">
        <v>20890</v>
      </c>
      <c r="VMK876" s="30">
        <v>1472014</v>
      </c>
      <c r="VML876" s="30">
        <f ca="1">YEAR(TODAY())-YEAR(VMJ876)</f>
        <v>69</v>
      </c>
      <c r="VMM876" s="245"/>
      <c r="VMN876" s="7" t="s">
        <v>23</v>
      </c>
      <c r="VMO876" s="29"/>
      <c r="VMP876" s="44">
        <v>44198</v>
      </c>
      <c r="VMQ876" s="30" t="s">
        <v>22</v>
      </c>
      <c r="VMR876" s="31">
        <v>20890</v>
      </c>
      <c r="VMS876" s="30">
        <v>1472014</v>
      </c>
      <c r="VMT876" s="30">
        <f ca="1">YEAR(TODAY())-YEAR(VMR876)</f>
        <v>69</v>
      </c>
      <c r="VMU876" s="245"/>
      <c r="VMV876" s="7" t="s">
        <v>23</v>
      </c>
      <c r="VMW876" s="29"/>
      <c r="VMX876" s="44">
        <v>44198</v>
      </c>
      <c r="VMY876" s="30" t="s">
        <v>22</v>
      </c>
      <c r="VMZ876" s="31">
        <v>20890</v>
      </c>
      <c r="VNA876" s="30">
        <v>1472014</v>
      </c>
      <c r="VNB876" s="30">
        <f ca="1">YEAR(TODAY())-YEAR(VMZ876)</f>
        <v>69</v>
      </c>
      <c r="VNC876" s="245"/>
      <c r="VND876" s="7" t="s">
        <v>23</v>
      </c>
      <c r="VNE876" s="29"/>
      <c r="VNF876" s="44">
        <v>44198</v>
      </c>
      <c r="VNG876" s="30" t="s">
        <v>22</v>
      </c>
      <c r="VNH876" s="31">
        <v>20890</v>
      </c>
      <c r="VNI876" s="30">
        <v>1472014</v>
      </c>
      <c r="VNJ876" s="30">
        <f ca="1">YEAR(TODAY())-YEAR(VNH876)</f>
        <v>69</v>
      </c>
      <c r="VNK876" s="245"/>
      <c r="VNL876" s="7" t="s">
        <v>23</v>
      </c>
      <c r="VNM876" s="29"/>
      <c r="VNN876" s="44">
        <v>44198</v>
      </c>
      <c r="VNO876" s="30" t="s">
        <v>22</v>
      </c>
      <c r="VNP876" s="31">
        <v>20890</v>
      </c>
      <c r="VNQ876" s="30">
        <v>1472014</v>
      </c>
      <c r="VNR876" s="30">
        <f ca="1">YEAR(TODAY())-YEAR(VNP876)</f>
        <v>69</v>
      </c>
      <c r="VNS876" s="245"/>
      <c r="VNT876" s="7" t="s">
        <v>23</v>
      </c>
      <c r="VNU876" s="29"/>
      <c r="VNV876" s="44">
        <v>44198</v>
      </c>
      <c r="VNW876" s="30" t="s">
        <v>22</v>
      </c>
      <c r="VNX876" s="31">
        <v>20890</v>
      </c>
      <c r="VNY876" s="30">
        <v>1472014</v>
      </c>
      <c r="VNZ876" s="30">
        <f ca="1">YEAR(TODAY())-YEAR(VNX876)</f>
        <v>69</v>
      </c>
      <c r="VOA876" s="245"/>
      <c r="VOB876" s="7" t="s">
        <v>23</v>
      </c>
      <c r="VOC876" s="29"/>
      <c r="VOD876" s="44">
        <v>44198</v>
      </c>
      <c r="VOE876" s="30" t="s">
        <v>22</v>
      </c>
      <c r="VOF876" s="31">
        <v>20890</v>
      </c>
      <c r="VOG876" s="30">
        <v>1472014</v>
      </c>
      <c r="VOH876" s="30">
        <f ca="1">YEAR(TODAY())-YEAR(VOF876)</f>
        <v>69</v>
      </c>
      <c r="VOI876" s="245"/>
      <c r="VOJ876" s="7" t="s">
        <v>23</v>
      </c>
      <c r="VOK876" s="29"/>
      <c r="VOL876" s="44">
        <v>44198</v>
      </c>
      <c r="VOM876" s="30" t="s">
        <v>22</v>
      </c>
      <c r="VON876" s="31">
        <v>20890</v>
      </c>
      <c r="VOO876" s="30">
        <v>1472014</v>
      </c>
      <c r="VOP876" s="30">
        <f ca="1">YEAR(TODAY())-YEAR(VON876)</f>
        <v>69</v>
      </c>
      <c r="VOQ876" s="245"/>
      <c r="VOR876" s="7" t="s">
        <v>23</v>
      </c>
      <c r="VOS876" s="29"/>
      <c r="VOT876" s="44">
        <v>44198</v>
      </c>
      <c r="VOU876" s="30" t="s">
        <v>22</v>
      </c>
      <c r="VOV876" s="31">
        <v>20890</v>
      </c>
      <c r="VOW876" s="30">
        <v>1472014</v>
      </c>
      <c r="VOX876" s="30">
        <f ca="1">YEAR(TODAY())-YEAR(VOV876)</f>
        <v>69</v>
      </c>
      <c r="VOY876" s="245"/>
      <c r="VOZ876" s="7" t="s">
        <v>23</v>
      </c>
      <c r="VPA876" s="29"/>
      <c r="VPB876" s="44">
        <v>44198</v>
      </c>
      <c r="VPC876" s="30" t="s">
        <v>22</v>
      </c>
      <c r="VPD876" s="31">
        <v>20890</v>
      </c>
      <c r="VPE876" s="30">
        <v>1472014</v>
      </c>
      <c r="VPF876" s="30">
        <f ca="1">YEAR(TODAY())-YEAR(VPD876)</f>
        <v>69</v>
      </c>
      <c r="VPG876" s="245"/>
      <c r="VPH876" s="7" t="s">
        <v>23</v>
      </c>
      <c r="VPI876" s="29"/>
      <c r="VPJ876" s="44">
        <v>44198</v>
      </c>
      <c r="VPK876" s="30" t="s">
        <v>22</v>
      </c>
      <c r="VPL876" s="31">
        <v>20890</v>
      </c>
      <c r="VPM876" s="30">
        <v>1472014</v>
      </c>
      <c r="VPN876" s="30">
        <f ca="1">YEAR(TODAY())-YEAR(VPL876)</f>
        <v>69</v>
      </c>
      <c r="VPO876" s="245"/>
      <c r="VPP876" s="7" t="s">
        <v>23</v>
      </c>
      <c r="VPQ876" s="29"/>
      <c r="VPR876" s="44">
        <v>44198</v>
      </c>
      <c r="VPS876" s="30" t="s">
        <v>22</v>
      </c>
      <c r="VPT876" s="31">
        <v>20890</v>
      </c>
      <c r="VPU876" s="30">
        <v>1472014</v>
      </c>
      <c r="VPV876" s="30">
        <f ca="1">YEAR(TODAY())-YEAR(VPT876)</f>
        <v>69</v>
      </c>
      <c r="VPW876" s="245"/>
      <c r="VPX876" s="7" t="s">
        <v>23</v>
      </c>
      <c r="VPY876" s="29"/>
      <c r="VPZ876" s="44">
        <v>44198</v>
      </c>
      <c r="VQA876" s="30" t="s">
        <v>22</v>
      </c>
      <c r="VQB876" s="31">
        <v>20890</v>
      </c>
      <c r="VQC876" s="30">
        <v>1472014</v>
      </c>
      <c r="VQD876" s="30">
        <f ca="1">YEAR(TODAY())-YEAR(VQB876)</f>
        <v>69</v>
      </c>
      <c r="VQE876" s="245"/>
      <c r="VQF876" s="7" t="s">
        <v>23</v>
      </c>
      <c r="VQG876" s="29"/>
      <c r="VQH876" s="44">
        <v>44198</v>
      </c>
      <c r="VQI876" s="30" t="s">
        <v>22</v>
      </c>
      <c r="VQJ876" s="31">
        <v>20890</v>
      </c>
      <c r="VQK876" s="30">
        <v>1472014</v>
      </c>
      <c r="VQL876" s="30">
        <f ca="1">YEAR(TODAY())-YEAR(VQJ876)</f>
        <v>69</v>
      </c>
      <c r="VQM876" s="245"/>
      <c r="VQN876" s="7" t="s">
        <v>23</v>
      </c>
      <c r="VQO876" s="29"/>
      <c r="VQP876" s="44">
        <v>44198</v>
      </c>
      <c r="VQQ876" s="30" t="s">
        <v>22</v>
      </c>
      <c r="VQR876" s="31">
        <v>20890</v>
      </c>
      <c r="VQS876" s="30">
        <v>1472014</v>
      </c>
      <c r="VQT876" s="30">
        <f ca="1">YEAR(TODAY())-YEAR(VQR876)</f>
        <v>69</v>
      </c>
      <c r="VQU876" s="245"/>
      <c r="VQV876" s="7" t="s">
        <v>23</v>
      </c>
      <c r="VQW876" s="29"/>
      <c r="VQX876" s="44">
        <v>44198</v>
      </c>
      <c r="VQY876" s="30" t="s">
        <v>22</v>
      </c>
      <c r="VQZ876" s="31">
        <v>20890</v>
      </c>
      <c r="VRA876" s="30">
        <v>1472014</v>
      </c>
      <c r="VRB876" s="30">
        <f ca="1">YEAR(TODAY())-YEAR(VQZ876)</f>
        <v>69</v>
      </c>
      <c r="VRC876" s="245"/>
      <c r="VRD876" s="7" t="s">
        <v>23</v>
      </c>
      <c r="VRE876" s="29"/>
      <c r="VRF876" s="44">
        <v>44198</v>
      </c>
      <c r="VRG876" s="30" t="s">
        <v>22</v>
      </c>
      <c r="VRH876" s="31">
        <v>20890</v>
      </c>
      <c r="VRI876" s="30">
        <v>1472014</v>
      </c>
      <c r="VRJ876" s="30">
        <f ca="1">YEAR(TODAY())-YEAR(VRH876)</f>
        <v>69</v>
      </c>
      <c r="VRK876" s="245"/>
      <c r="VRL876" s="7" t="s">
        <v>23</v>
      </c>
      <c r="VRM876" s="29"/>
      <c r="VRN876" s="44">
        <v>44198</v>
      </c>
      <c r="VRO876" s="30" t="s">
        <v>22</v>
      </c>
      <c r="VRP876" s="31">
        <v>20890</v>
      </c>
      <c r="VRQ876" s="30">
        <v>1472014</v>
      </c>
      <c r="VRR876" s="30">
        <f ca="1">YEAR(TODAY())-YEAR(VRP876)</f>
        <v>69</v>
      </c>
      <c r="VRS876" s="245"/>
      <c r="VRT876" s="7" t="s">
        <v>23</v>
      </c>
      <c r="VRU876" s="29"/>
      <c r="VRV876" s="44">
        <v>44198</v>
      </c>
      <c r="VRW876" s="30" t="s">
        <v>22</v>
      </c>
      <c r="VRX876" s="31">
        <v>20890</v>
      </c>
      <c r="VRY876" s="30">
        <v>1472014</v>
      </c>
      <c r="VRZ876" s="30">
        <f ca="1">YEAR(TODAY())-YEAR(VRX876)</f>
        <v>69</v>
      </c>
      <c r="VSA876" s="245"/>
      <c r="VSB876" s="7" t="s">
        <v>23</v>
      </c>
      <c r="VSC876" s="29"/>
      <c r="VSD876" s="44">
        <v>44198</v>
      </c>
      <c r="VSE876" s="30" t="s">
        <v>22</v>
      </c>
      <c r="VSF876" s="31">
        <v>20890</v>
      </c>
      <c r="VSG876" s="30">
        <v>1472014</v>
      </c>
      <c r="VSH876" s="30">
        <f ca="1">YEAR(TODAY())-YEAR(VSF876)</f>
        <v>69</v>
      </c>
      <c r="VSI876" s="245"/>
      <c r="VSJ876" s="7" t="s">
        <v>23</v>
      </c>
      <c r="VSK876" s="29"/>
      <c r="VSL876" s="44">
        <v>44198</v>
      </c>
      <c r="VSM876" s="30" t="s">
        <v>22</v>
      </c>
      <c r="VSN876" s="31">
        <v>20890</v>
      </c>
      <c r="VSO876" s="30">
        <v>1472014</v>
      </c>
      <c r="VSP876" s="30">
        <f ca="1">YEAR(TODAY())-YEAR(VSN876)</f>
        <v>69</v>
      </c>
      <c r="VSQ876" s="245"/>
      <c r="VSR876" s="7" t="s">
        <v>23</v>
      </c>
      <c r="VSS876" s="29"/>
      <c r="VST876" s="44">
        <v>44198</v>
      </c>
      <c r="VSU876" s="30" t="s">
        <v>22</v>
      </c>
      <c r="VSV876" s="31">
        <v>20890</v>
      </c>
      <c r="VSW876" s="30">
        <v>1472014</v>
      </c>
      <c r="VSX876" s="30">
        <f ca="1">YEAR(TODAY())-YEAR(VSV876)</f>
        <v>69</v>
      </c>
      <c r="VSY876" s="245"/>
      <c r="VSZ876" s="7" t="s">
        <v>23</v>
      </c>
      <c r="VTA876" s="29"/>
      <c r="VTB876" s="44">
        <v>44198</v>
      </c>
      <c r="VTC876" s="30" t="s">
        <v>22</v>
      </c>
      <c r="VTD876" s="31">
        <v>20890</v>
      </c>
      <c r="VTE876" s="30">
        <v>1472014</v>
      </c>
      <c r="VTF876" s="30">
        <f ca="1">YEAR(TODAY())-YEAR(VTD876)</f>
        <v>69</v>
      </c>
      <c r="VTG876" s="245"/>
      <c r="VTH876" s="7" t="s">
        <v>23</v>
      </c>
      <c r="VTI876" s="29"/>
      <c r="VTJ876" s="44">
        <v>44198</v>
      </c>
      <c r="VTK876" s="30" t="s">
        <v>22</v>
      </c>
      <c r="VTL876" s="31">
        <v>20890</v>
      </c>
      <c r="VTM876" s="30">
        <v>1472014</v>
      </c>
      <c r="VTN876" s="30">
        <f ca="1">YEAR(TODAY())-YEAR(VTL876)</f>
        <v>69</v>
      </c>
      <c r="VTO876" s="245"/>
      <c r="VTP876" s="7" t="s">
        <v>23</v>
      </c>
      <c r="VTQ876" s="29"/>
      <c r="VTR876" s="44">
        <v>44198</v>
      </c>
      <c r="VTS876" s="30" t="s">
        <v>22</v>
      </c>
      <c r="VTT876" s="31">
        <v>20890</v>
      </c>
      <c r="VTU876" s="30">
        <v>1472014</v>
      </c>
      <c r="VTV876" s="30">
        <f ca="1">YEAR(TODAY())-YEAR(VTT876)</f>
        <v>69</v>
      </c>
      <c r="VTW876" s="245"/>
      <c r="VTX876" s="7" t="s">
        <v>23</v>
      </c>
      <c r="VTY876" s="29"/>
      <c r="VTZ876" s="44">
        <v>44198</v>
      </c>
      <c r="VUA876" s="30" t="s">
        <v>22</v>
      </c>
      <c r="VUB876" s="31">
        <v>20890</v>
      </c>
      <c r="VUC876" s="30">
        <v>1472014</v>
      </c>
      <c r="VUD876" s="30">
        <f ca="1">YEAR(TODAY())-YEAR(VUB876)</f>
        <v>69</v>
      </c>
      <c r="VUE876" s="245"/>
      <c r="VUF876" s="7" t="s">
        <v>23</v>
      </c>
      <c r="VUG876" s="29"/>
      <c r="VUH876" s="44">
        <v>44198</v>
      </c>
      <c r="VUI876" s="30" t="s">
        <v>22</v>
      </c>
      <c r="VUJ876" s="31">
        <v>20890</v>
      </c>
      <c r="VUK876" s="30">
        <v>1472014</v>
      </c>
      <c r="VUL876" s="30">
        <f ca="1">YEAR(TODAY())-YEAR(VUJ876)</f>
        <v>69</v>
      </c>
      <c r="VUM876" s="245"/>
      <c r="VUN876" s="7" t="s">
        <v>23</v>
      </c>
      <c r="VUO876" s="29"/>
      <c r="VUP876" s="44">
        <v>44198</v>
      </c>
      <c r="VUQ876" s="30" t="s">
        <v>22</v>
      </c>
      <c r="VUR876" s="31">
        <v>20890</v>
      </c>
      <c r="VUS876" s="30">
        <v>1472014</v>
      </c>
      <c r="VUT876" s="30">
        <f ca="1">YEAR(TODAY())-YEAR(VUR876)</f>
        <v>69</v>
      </c>
      <c r="VUU876" s="245"/>
      <c r="VUV876" s="7" t="s">
        <v>23</v>
      </c>
      <c r="VUW876" s="29"/>
      <c r="VUX876" s="44">
        <v>44198</v>
      </c>
      <c r="VUY876" s="30" t="s">
        <v>22</v>
      </c>
      <c r="VUZ876" s="31">
        <v>20890</v>
      </c>
      <c r="VVA876" s="30">
        <v>1472014</v>
      </c>
      <c r="VVB876" s="30">
        <f ca="1">YEAR(TODAY())-YEAR(VUZ876)</f>
        <v>69</v>
      </c>
      <c r="VVC876" s="245"/>
      <c r="VVD876" s="7" t="s">
        <v>23</v>
      </c>
      <c r="VVE876" s="29"/>
      <c r="VVF876" s="44">
        <v>44198</v>
      </c>
      <c r="VVG876" s="30" t="s">
        <v>22</v>
      </c>
      <c r="VVH876" s="31">
        <v>20890</v>
      </c>
      <c r="VVI876" s="30">
        <v>1472014</v>
      </c>
      <c r="VVJ876" s="30">
        <f ca="1">YEAR(TODAY())-YEAR(VVH876)</f>
        <v>69</v>
      </c>
      <c r="VVK876" s="245"/>
      <c r="VVL876" s="7" t="s">
        <v>23</v>
      </c>
      <c r="VVM876" s="29"/>
      <c r="VVN876" s="44">
        <v>44198</v>
      </c>
      <c r="VVO876" s="30" t="s">
        <v>22</v>
      </c>
      <c r="VVP876" s="31">
        <v>20890</v>
      </c>
      <c r="VVQ876" s="30">
        <v>1472014</v>
      </c>
      <c r="VVR876" s="30">
        <f ca="1">YEAR(TODAY())-YEAR(VVP876)</f>
        <v>69</v>
      </c>
      <c r="VVS876" s="245"/>
      <c r="VVT876" s="7" t="s">
        <v>23</v>
      </c>
      <c r="VVU876" s="29"/>
      <c r="VVV876" s="44">
        <v>44198</v>
      </c>
      <c r="VVW876" s="30" t="s">
        <v>22</v>
      </c>
      <c r="VVX876" s="31">
        <v>20890</v>
      </c>
      <c r="VVY876" s="30">
        <v>1472014</v>
      </c>
      <c r="VVZ876" s="30">
        <f ca="1">YEAR(TODAY())-YEAR(VVX876)</f>
        <v>69</v>
      </c>
      <c r="VWA876" s="245"/>
      <c r="VWB876" s="7" t="s">
        <v>23</v>
      </c>
      <c r="VWC876" s="29"/>
      <c r="VWD876" s="44">
        <v>44198</v>
      </c>
      <c r="VWE876" s="30" t="s">
        <v>22</v>
      </c>
      <c r="VWF876" s="31">
        <v>20890</v>
      </c>
      <c r="VWG876" s="30">
        <v>1472014</v>
      </c>
      <c r="VWH876" s="30">
        <f ca="1">YEAR(TODAY())-YEAR(VWF876)</f>
        <v>69</v>
      </c>
      <c r="VWI876" s="245"/>
      <c r="VWJ876" s="7" t="s">
        <v>23</v>
      </c>
      <c r="VWK876" s="29"/>
      <c r="VWL876" s="44">
        <v>44198</v>
      </c>
      <c r="VWM876" s="30" t="s">
        <v>22</v>
      </c>
      <c r="VWN876" s="31">
        <v>20890</v>
      </c>
      <c r="VWO876" s="30">
        <v>1472014</v>
      </c>
      <c r="VWP876" s="30">
        <f ca="1">YEAR(TODAY())-YEAR(VWN876)</f>
        <v>69</v>
      </c>
      <c r="VWQ876" s="245"/>
      <c r="VWR876" s="7" t="s">
        <v>23</v>
      </c>
      <c r="VWS876" s="29"/>
      <c r="VWT876" s="44">
        <v>44198</v>
      </c>
      <c r="VWU876" s="30" t="s">
        <v>22</v>
      </c>
      <c r="VWV876" s="31">
        <v>20890</v>
      </c>
      <c r="VWW876" s="30">
        <v>1472014</v>
      </c>
      <c r="VWX876" s="30">
        <f ca="1">YEAR(TODAY())-YEAR(VWV876)</f>
        <v>69</v>
      </c>
      <c r="VWY876" s="245"/>
      <c r="VWZ876" s="7" t="s">
        <v>23</v>
      </c>
      <c r="VXA876" s="29"/>
      <c r="VXB876" s="44">
        <v>44198</v>
      </c>
      <c r="VXC876" s="30" t="s">
        <v>22</v>
      </c>
      <c r="VXD876" s="31">
        <v>20890</v>
      </c>
      <c r="VXE876" s="30">
        <v>1472014</v>
      </c>
      <c r="VXF876" s="30">
        <f ca="1">YEAR(TODAY())-YEAR(VXD876)</f>
        <v>69</v>
      </c>
      <c r="VXG876" s="245"/>
      <c r="VXH876" s="7" t="s">
        <v>23</v>
      </c>
      <c r="VXI876" s="29"/>
      <c r="VXJ876" s="44">
        <v>44198</v>
      </c>
      <c r="VXK876" s="30" t="s">
        <v>22</v>
      </c>
      <c r="VXL876" s="31">
        <v>20890</v>
      </c>
      <c r="VXM876" s="30">
        <v>1472014</v>
      </c>
      <c r="VXN876" s="30">
        <f ca="1">YEAR(TODAY())-YEAR(VXL876)</f>
        <v>69</v>
      </c>
      <c r="VXO876" s="245"/>
      <c r="VXP876" s="7" t="s">
        <v>23</v>
      </c>
      <c r="VXQ876" s="29"/>
      <c r="VXR876" s="44">
        <v>44198</v>
      </c>
      <c r="VXS876" s="30" t="s">
        <v>22</v>
      </c>
      <c r="VXT876" s="31">
        <v>20890</v>
      </c>
      <c r="VXU876" s="30">
        <v>1472014</v>
      </c>
      <c r="VXV876" s="30">
        <f ca="1">YEAR(TODAY())-YEAR(VXT876)</f>
        <v>69</v>
      </c>
      <c r="VXW876" s="245"/>
      <c r="VXX876" s="7" t="s">
        <v>23</v>
      </c>
      <c r="VXY876" s="29"/>
      <c r="VXZ876" s="44">
        <v>44198</v>
      </c>
      <c r="VYA876" s="30" t="s">
        <v>22</v>
      </c>
      <c r="VYB876" s="31">
        <v>20890</v>
      </c>
      <c r="VYC876" s="30">
        <v>1472014</v>
      </c>
      <c r="VYD876" s="30">
        <f ca="1">YEAR(TODAY())-YEAR(VYB876)</f>
        <v>69</v>
      </c>
      <c r="VYE876" s="245"/>
      <c r="VYF876" s="7" t="s">
        <v>23</v>
      </c>
      <c r="VYG876" s="29"/>
      <c r="VYH876" s="44">
        <v>44198</v>
      </c>
      <c r="VYI876" s="30" t="s">
        <v>22</v>
      </c>
      <c r="VYJ876" s="31">
        <v>20890</v>
      </c>
      <c r="VYK876" s="30">
        <v>1472014</v>
      </c>
      <c r="VYL876" s="30">
        <f ca="1">YEAR(TODAY())-YEAR(VYJ876)</f>
        <v>69</v>
      </c>
      <c r="VYM876" s="245"/>
      <c r="VYN876" s="7" t="s">
        <v>23</v>
      </c>
      <c r="VYO876" s="29"/>
      <c r="VYP876" s="44">
        <v>44198</v>
      </c>
      <c r="VYQ876" s="30" t="s">
        <v>22</v>
      </c>
      <c r="VYR876" s="31">
        <v>20890</v>
      </c>
      <c r="VYS876" s="30">
        <v>1472014</v>
      </c>
      <c r="VYT876" s="30">
        <f ca="1">YEAR(TODAY())-YEAR(VYR876)</f>
        <v>69</v>
      </c>
      <c r="VYU876" s="245"/>
      <c r="VYV876" s="7" t="s">
        <v>23</v>
      </c>
      <c r="VYW876" s="29"/>
      <c r="VYX876" s="44">
        <v>44198</v>
      </c>
      <c r="VYY876" s="30" t="s">
        <v>22</v>
      </c>
      <c r="VYZ876" s="31">
        <v>20890</v>
      </c>
      <c r="VZA876" s="30">
        <v>1472014</v>
      </c>
      <c r="VZB876" s="30">
        <f ca="1">YEAR(TODAY())-YEAR(VYZ876)</f>
        <v>69</v>
      </c>
      <c r="VZC876" s="245"/>
      <c r="VZD876" s="7" t="s">
        <v>23</v>
      </c>
      <c r="VZE876" s="29"/>
      <c r="VZF876" s="44">
        <v>44198</v>
      </c>
      <c r="VZG876" s="30" t="s">
        <v>22</v>
      </c>
      <c r="VZH876" s="31">
        <v>20890</v>
      </c>
      <c r="VZI876" s="30">
        <v>1472014</v>
      </c>
      <c r="VZJ876" s="30">
        <f ca="1">YEAR(TODAY())-YEAR(VZH876)</f>
        <v>69</v>
      </c>
      <c r="VZK876" s="245"/>
      <c r="VZL876" s="7" t="s">
        <v>23</v>
      </c>
      <c r="VZM876" s="29"/>
      <c r="VZN876" s="44">
        <v>44198</v>
      </c>
      <c r="VZO876" s="30" t="s">
        <v>22</v>
      </c>
      <c r="VZP876" s="31">
        <v>20890</v>
      </c>
      <c r="VZQ876" s="30">
        <v>1472014</v>
      </c>
      <c r="VZR876" s="30">
        <f ca="1">YEAR(TODAY())-YEAR(VZP876)</f>
        <v>69</v>
      </c>
      <c r="VZS876" s="245"/>
      <c r="VZT876" s="7" t="s">
        <v>23</v>
      </c>
      <c r="VZU876" s="29"/>
      <c r="VZV876" s="44">
        <v>44198</v>
      </c>
      <c r="VZW876" s="30" t="s">
        <v>22</v>
      </c>
      <c r="VZX876" s="31">
        <v>20890</v>
      </c>
      <c r="VZY876" s="30">
        <v>1472014</v>
      </c>
      <c r="VZZ876" s="30">
        <f ca="1">YEAR(TODAY())-YEAR(VZX876)</f>
        <v>69</v>
      </c>
      <c r="WAA876" s="245"/>
      <c r="WAB876" s="7" t="s">
        <v>23</v>
      </c>
      <c r="WAC876" s="29"/>
      <c r="WAD876" s="44">
        <v>44198</v>
      </c>
      <c r="WAE876" s="30" t="s">
        <v>22</v>
      </c>
      <c r="WAF876" s="31">
        <v>20890</v>
      </c>
      <c r="WAG876" s="30">
        <v>1472014</v>
      </c>
      <c r="WAH876" s="30">
        <f ca="1">YEAR(TODAY())-YEAR(WAF876)</f>
        <v>69</v>
      </c>
      <c r="WAI876" s="245"/>
      <c r="WAJ876" s="7" t="s">
        <v>23</v>
      </c>
      <c r="WAK876" s="29"/>
      <c r="WAL876" s="44">
        <v>44198</v>
      </c>
      <c r="WAM876" s="30" t="s">
        <v>22</v>
      </c>
      <c r="WAN876" s="31">
        <v>20890</v>
      </c>
      <c r="WAO876" s="30">
        <v>1472014</v>
      </c>
      <c r="WAP876" s="30">
        <f ca="1">YEAR(TODAY())-YEAR(WAN876)</f>
        <v>69</v>
      </c>
      <c r="WAQ876" s="245"/>
      <c r="WAR876" s="7" t="s">
        <v>23</v>
      </c>
      <c r="WAS876" s="29"/>
      <c r="WAT876" s="44">
        <v>44198</v>
      </c>
      <c r="WAU876" s="30" t="s">
        <v>22</v>
      </c>
      <c r="WAV876" s="31">
        <v>20890</v>
      </c>
      <c r="WAW876" s="30">
        <v>1472014</v>
      </c>
      <c r="WAX876" s="30">
        <f ca="1">YEAR(TODAY())-YEAR(WAV876)</f>
        <v>69</v>
      </c>
      <c r="WAY876" s="245"/>
      <c r="WAZ876" s="7" t="s">
        <v>23</v>
      </c>
      <c r="WBA876" s="29"/>
      <c r="WBB876" s="44">
        <v>44198</v>
      </c>
      <c r="WBC876" s="30" t="s">
        <v>22</v>
      </c>
      <c r="WBD876" s="31">
        <v>20890</v>
      </c>
      <c r="WBE876" s="30">
        <v>1472014</v>
      </c>
      <c r="WBF876" s="30">
        <f ca="1">YEAR(TODAY())-YEAR(WBD876)</f>
        <v>69</v>
      </c>
      <c r="WBG876" s="245"/>
      <c r="WBH876" s="7" t="s">
        <v>23</v>
      </c>
      <c r="WBI876" s="29"/>
      <c r="WBJ876" s="44">
        <v>44198</v>
      </c>
      <c r="WBK876" s="30" t="s">
        <v>22</v>
      </c>
      <c r="WBL876" s="31">
        <v>20890</v>
      </c>
      <c r="WBM876" s="30">
        <v>1472014</v>
      </c>
      <c r="WBN876" s="30">
        <f ca="1">YEAR(TODAY())-YEAR(WBL876)</f>
        <v>69</v>
      </c>
      <c r="WBO876" s="245"/>
      <c r="WBP876" s="7" t="s">
        <v>23</v>
      </c>
      <c r="WBQ876" s="29"/>
      <c r="WBR876" s="44">
        <v>44198</v>
      </c>
      <c r="WBS876" s="30" t="s">
        <v>22</v>
      </c>
      <c r="WBT876" s="31">
        <v>20890</v>
      </c>
      <c r="WBU876" s="30">
        <v>1472014</v>
      </c>
      <c r="WBV876" s="30">
        <f ca="1">YEAR(TODAY())-YEAR(WBT876)</f>
        <v>69</v>
      </c>
      <c r="WBW876" s="245"/>
      <c r="WBX876" s="7" t="s">
        <v>23</v>
      </c>
      <c r="WBY876" s="29"/>
      <c r="WBZ876" s="44">
        <v>44198</v>
      </c>
      <c r="WCA876" s="30" t="s">
        <v>22</v>
      </c>
      <c r="WCB876" s="31">
        <v>20890</v>
      </c>
      <c r="WCC876" s="30">
        <v>1472014</v>
      </c>
      <c r="WCD876" s="30">
        <f ca="1">YEAR(TODAY())-YEAR(WCB876)</f>
        <v>69</v>
      </c>
      <c r="WCE876" s="245"/>
      <c r="WCF876" s="7" t="s">
        <v>23</v>
      </c>
      <c r="WCG876" s="29"/>
      <c r="WCH876" s="44">
        <v>44198</v>
      </c>
      <c r="WCI876" s="30" t="s">
        <v>22</v>
      </c>
      <c r="WCJ876" s="31">
        <v>20890</v>
      </c>
      <c r="WCK876" s="30">
        <v>1472014</v>
      </c>
      <c r="WCL876" s="30">
        <f ca="1">YEAR(TODAY())-YEAR(WCJ876)</f>
        <v>69</v>
      </c>
      <c r="WCM876" s="245"/>
      <c r="WCN876" s="7" t="s">
        <v>23</v>
      </c>
      <c r="WCO876" s="29"/>
      <c r="WCP876" s="44">
        <v>44198</v>
      </c>
      <c r="WCQ876" s="30" t="s">
        <v>22</v>
      </c>
      <c r="WCR876" s="31">
        <v>20890</v>
      </c>
      <c r="WCS876" s="30">
        <v>1472014</v>
      </c>
      <c r="WCT876" s="30">
        <f ca="1">YEAR(TODAY())-YEAR(WCR876)</f>
        <v>69</v>
      </c>
      <c r="WCU876" s="245"/>
      <c r="WCV876" s="7" t="s">
        <v>23</v>
      </c>
      <c r="WCW876" s="29"/>
      <c r="WCX876" s="44">
        <v>44198</v>
      </c>
      <c r="WCY876" s="30" t="s">
        <v>22</v>
      </c>
      <c r="WCZ876" s="31">
        <v>20890</v>
      </c>
      <c r="WDA876" s="30">
        <v>1472014</v>
      </c>
      <c r="WDB876" s="30">
        <f ca="1">YEAR(TODAY())-YEAR(WCZ876)</f>
        <v>69</v>
      </c>
      <c r="WDC876" s="245"/>
      <c r="WDD876" s="7" t="s">
        <v>23</v>
      </c>
      <c r="WDE876" s="29"/>
      <c r="WDF876" s="44">
        <v>44198</v>
      </c>
      <c r="WDG876" s="30" t="s">
        <v>22</v>
      </c>
      <c r="WDH876" s="31">
        <v>20890</v>
      </c>
      <c r="WDI876" s="30">
        <v>1472014</v>
      </c>
      <c r="WDJ876" s="30">
        <f ca="1">YEAR(TODAY())-YEAR(WDH876)</f>
        <v>69</v>
      </c>
      <c r="WDK876" s="245"/>
      <c r="WDL876" s="7" t="s">
        <v>23</v>
      </c>
      <c r="WDM876" s="29"/>
      <c r="WDN876" s="44">
        <v>44198</v>
      </c>
      <c r="WDO876" s="30" t="s">
        <v>22</v>
      </c>
      <c r="WDP876" s="31">
        <v>20890</v>
      </c>
      <c r="WDQ876" s="30">
        <v>1472014</v>
      </c>
      <c r="WDR876" s="30">
        <f ca="1">YEAR(TODAY())-YEAR(WDP876)</f>
        <v>69</v>
      </c>
      <c r="WDS876" s="245"/>
      <c r="WDT876" s="7" t="s">
        <v>23</v>
      </c>
      <c r="WDU876" s="29"/>
      <c r="WDV876" s="44">
        <v>44198</v>
      </c>
      <c r="WDW876" s="30" t="s">
        <v>22</v>
      </c>
      <c r="WDX876" s="31">
        <v>20890</v>
      </c>
      <c r="WDY876" s="30">
        <v>1472014</v>
      </c>
      <c r="WDZ876" s="30">
        <f ca="1">YEAR(TODAY())-YEAR(WDX876)</f>
        <v>69</v>
      </c>
      <c r="WEA876" s="245"/>
      <c r="WEB876" s="7" t="s">
        <v>23</v>
      </c>
      <c r="WEC876" s="29"/>
      <c r="WED876" s="44">
        <v>44198</v>
      </c>
      <c r="WEE876" s="30" t="s">
        <v>22</v>
      </c>
      <c r="WEF876" s="31">
        <v>20890</v>
      </c>
      <c r="WEG876" s="30">
        <v>1472014</v>
      </c>
      <c r="WEH876" s="30">
        <f ca="1">YEAR(TODAY())-YEAR(WEF876)</f>
        <v>69</v>
      </c>
      <c r="WEI876" s="245"/>
      <c r="WEJ876" s="7" t="s">
        <v>23</v>
      </c>
      <c r="WEK876" s="29"/>
      <c r="WEL876" s="44">
        <v>44198</v>
      </c>
      <c r="WEM876" s="30" t="s">
        <v>22</v>
      </c>
      <c r="WEN876" s="31">
        <v>20890</v>
      </c>
      <c r="WEO876" s="30">
        <v>1472014</v>
      </c>
      <c r="WEP876" s="30">
        <f ca="1">YEAR(TODAY())-YEAR(WEN876)</f>
        <v>69</v>
      </c>
      <c r="WEQ876" s="245"/>
      <c r="WER876" s="7" t="s">
        <v>23</v>
      </c>
      <c r="WES876" s="29"/>
      <c r="WET876" s="44">
        <v>44198</v>
      </c>
      <c r="WEU876" s="30" t="s">
        <v>22</v>
      </c>
      <c r="WEV876" s="31">
        <v>20890</v>
      </c>
      <c r="WEW876" s="30">
        <v>1472014</v>
      </c>
      <c r="WEX876" s="30">
        <f ca="1">YEAR(TODAY())-YEAR(WEV876)</f>
        <v>69</v>
      </c>
      <c r="WEY876" s="245"/>
      <c r="WEZ876" s="7" t="s">
        <v>23</v>
      </c>
      <c r="WFA876" s="29"/>
      <c r="WFB876" s="44">
        <v>44198</v>
      </c>
      <c r="WFC876" s="30" t="s">
        <v>22</v>
      </c>
      <c r="WFD876" s="31">
        <v>20890</v>
      </c>
      <c r="WFE876" s="30">
        <v>1472014</v>
      </c>
      <c r="WFF876" s="30">
        <f ca="1">YEAR(TODAY())-YEAR(WFD876)</f>
        <v>69</v>
      </c>
      <c r="WFG876" s="245"/>
      <c r="WFH876" s="7" t="s">
        <v>23</v>
      </c>
      <c r="WFI876" s="29"/>
      <c r="WFJ876" s="44">
        <v>44198</v>
      </c>
      <c r="WFK876" s="30" t="s">
        <v>22</v>
      </c>
      <c r="WFL876" s="31">
        <v>20890</v>
      </c>
      <c r="WFM876" s="30">
        <v>1472014</v>
      </c>
      <c r="WFN876" s="30">
        <f ca="1">YEAR(TODAY())-YEAR(WFL876)</f>
        <v>69</v>
      </c>
      <c r="WFO876" s="245"/>
      <c r="WFP876" s="7" t="s">
        <v>23</v>
      </c>
      <c r="WFQ876" s="29"/>
      <c r="WFR876" s="44">
        <v>44198</v>
      </c>
      <c r="WFS876" s="30" t="s">
        <v>22</v>
      </c>
      <c r="WFT876" s="31">
        <v>20890</v>
      </c>
      <c r="WFU876" s="30">
        <v>1472014</v>
      </c>
      <c r="WFV876" s="30">
        <f ca="1">YEAR(TODAY())-YEAR(WFT876)</f>
        <v>69</v>
      </c>
      <c r="WFW876" s="245"/>
      <c r="WFX876" s="7" t="s">
        <v>23</v>
      </c>
      <c r="WFY876" s="29"/>
      <c r="WFZ876" s="44">
        <v>44198</v>
      </c>
      <c r="WGA876" s="30" t="s">
        <v>22</v>
      </c>
      <c r="WGB876" s="31">
        <v>20890</v>
      </c>
      <c r="WGC876" s="30">
        <v>1472014</v>
      </c>
      <c r="WGD876" s="30">
        <f ca="1">YEAR(TODAY())-YEAR(WGB876)</f>
        <v>69</v>
      </c>
      <c r="WGE876" s="245"/>
      <c r="WGF876" s="7" t="s">
        <v>23</v>
      </c>
      <c r="WGG876" s="29"/>
      <c r="WGH876" s="44">
        <v>44198</v>
      </c>
      <c r="WGI876" s="30" t="s">
        <v>22</v>
      </c>
      <c r="WGJ876" s="31">
        <v>20890</v>
      </c>
      <c r="WGK876" s="30">
        <v>1472014</v>
      </c>
      <c r="WGL876" s="30">
        <f ca="1">YEAR(TODAY())-YEAR(WGJ876)</f>
        <v>69</v>
      </c>
      <c r="WGM876" s="245"/>
      <c r="WGN876" s="7" t="s">
        <v>23</v>
      </c>
      <c r="WGO876" s="29"/>
      <c r="WGP876" s="44">
        <v>44198</v>
      </c>
      <c r="WGQ876" s="30" t="s">
        <v>22</v>
      </c>
      <c r="WGR876" s="31">
        <v>20890</v>
      </c>
      <c r="WGS876" s="30">
        <v>1472014</v>
      </c>
      <c r="WGT876" s="30">
        <f ca="1">YEAR(TODAY())-YEAR(WGR876)</f>
        <v>69</v>
      </c>
      <c r="WGU876" s="245"/>
      <c r="WGV876" s="7" t="s">
        <v>23</v>
      </c>
      <c r="WGW876" s="29"/>
      <c r="WGX876" s="44">
        <v>44198</v>
      </c>
      <c r="WGY876" s="30" t="s">
        <v>22</v>
      </c>
      <c r="WGZ876" s="31">
        <v>20890</v>
      </c>
      <c r="WHA876" s="30">
        <v>1472014</v>
      </c>
      <c r="WHB876" s="30">
        <f ca="1">YEAR(TODAY())-YEAR(WGZ876)</f>
        <v>69</v>
      </c>
      <c r="WHC876" s="245"/>
      <c r="WHD876" s="7" t="s">
        <v>23</v>
      </c>
      <c r="WHE876" s="29"/>
      <c r="WHF876" s="44">
        <v>44198</v>
      </c>
      <c r="WHG876" s="30" t="s">
        <v>22</v>
      </c>
      <c r="WHH876" s="31">
        <v>20890</v>
      </c>
      <c r="WHI876" s="30">
        <v>1472014</v>
      </c>
      <c r="WHJ876" s="30">
        <f ca="1">YEAR(TODAY())-YEAR(WHH876)</f>
        <v>69</v>
      </c>
      <c r="WHK876" s="245"/>
      <c r="WHL876" s="7" t="s">
        <v>23</v>
      </c>
      <c r="WHM876" s="29"/>
      <c r="WHN876" s="44">
        <v>44198</v>
      </c>
      <c r="WHO876" s="30" t="s">
        <v>22</v>
      </c>
      <c r="WHP876" s="31">
        <v>20890</v>
      </c>
      <c r="WHQ876" s="30">
        <v>1472014</v>
      </c>
      <c r="WHR876" s="30">
        <f ca="1">YEAR(TODAY())-YEAR(WHP876)</f>
        <v>69</v>
      </c>
      <c r="WHS876" s="245"/>
      <c r="WHT876" s="7" t="s">
        <v>23</v>
      </c>
      <c r="WHU876" s="29"/>
      <c r="WHV876" s="44">
        <v>44198</v>
      </c>
      <c r="WHW876" s="30" t="s">
        <v>22</v>
      </c>
      <c r="WHX876" s="31">
        <v>20890</v>
      </c>
      <c r="WHY876" s="30">
        <v>1472014</v>
      </c>
      <c r="WHZ876" s="30">
        <f ca="1">YEAR(TODAY())-YEAR(WHX876)</f>
        <v>69</v>
      </c>
      <c r="WIA876" s="245"/>
      <c r="WIB876" s="7" t="s">
        <v>23</v>
      </c>
      <c r="WIC876" s="29"/>
      <c r="WID876" s="44">
        <v>44198</v>
      </c>
      <c r="WIE876" s="30" t="s">
        <v>22</v>
      </c>
      <c r="WIF876" s="31">
        <v>20890</v>
      </c>
      <c r="WIG876" s="30">
        <v>1472014</v>
      </c>
      <c r="WIH876" s="30">
        <f ca="1">YEAR(TODAY())-YEAR(WIF876)</f>
        <v>69</v>
      </c>
      <c r="WII876" s="245"/>
      <c r="WIJ876" s="7" t="s">
        <v>23</v>
      </c>
      <c r="WIK876" s="29"/>
      <c r="WIL876" s="44">
        <v>44198</v>
      </c>
      <c r="WIM876" s="30" t="s">
        <v>22</v>
      </c>
      <c r="WIN876" s="31">
        <v>20890</v>
      </c>
      <c r="WIO876" s="30">
        <v>1472014</v>
      </c>
      <c r="WIP876" s="30">
        <f ca="1">YEAR(TODAY())-YEAR(WIN876)</f>
        <v>69</v>
      </c>
      <c r="WIQ876" s="245"/>
      <c r="WIR876" s="7" t="s">
        <v>23</v>
      </c>
      <c r="WIS876" s="29"/>
      <c r="WIT876" s="44">
        <v>44198</v>
      </c>
      <c r="WIU876" s="30" t="s">
        <v>22</v>
      </c>
      <c r="WIV876" s="31">
        <v>20890</v>
      </c>
      <c r="WIW876" s="30">
        <v>1472014</v>
      </c>
      <c r="WIX876" s="30">
        <f ca="1">YEAR(TODAY())-YEAR(WIV876)</f>
        <v>69</v>
      </c>
      <c r="WIY876" s="245"/>
      <c r="WIZ876" s="7" t="s">
        <v>23</v>
      </c>
      <c r="WJA876" s="29"/>
      <c r="WJB876" s="44">
        <v>44198</v>
      </c>
      <c r="WJC876" s="30" t="s">
        <v>22</v>
      </c>
      <c r="WJD876" s="31">
        <v>20890</v>
      </c>
      <c r="WJE876" s="30">
        <v>1472014</v>
      </c>
      <c r="WJF876" s="30">
        <f ca="1">YEAR(TODAY())-YEAR(WJD876)</f>
        <v>69</v>
      </c>
      <c r="WJG876" s="245"/>
      <c r="WJH876" s="7" t="s">
        <v>23</v>
      </c>
      <c r="WJI876" s="29"/>
      <c r="WJJ876" s="44">
        <v>44198</v>
      </c>
      <c r="WJK876" s="30" t="s">
        <v>22</v>
      </c>
      <c r="WJL876" s="31">
        <v>20890</v>
      </c>
      <c r="WJM876" s="30">
        <v>1472014</v>
      </c>
      <c r="WJN876" s="30">
        <f ca="1">YEAR(TODAY())-YEAR(WJL876)</f>
        <v>69</v>
      </c>
      <c r="WJO876" s="245"/>
      <c r="WJP876" s="7" t="s">
        <v>23</v>
      </c>
      <c r="WJQ876" s="29"/>
      <c r="WJR876" s="44">
        <v>44198</v>
      </c>
      <c r="WJS876" s="30" t="s">
        <v>22</v>
      </c>
      <c r="WJT876" s="31">
        <v>20890</v>
      </c>
      <c r="WJU876" s="30">
        <v>1472014</v>
      </c>
      <c r="WJV876" s="30">
        <f ca="1">YEAR(TODAY())-YEAR(WJT876)</f>
        <v>69</v>
      </c>
      <c r="WJW876" s="245"/>
      <c r="WJX876" s="7" t="s">
        <v>23</v>
      </c>
      <c r="WJY876" s="29"/>
      <c r="WJZ876" s="44">
        <v>44198</v>
      </c>
      <c r="WKA876" s="30" t="s">
        <v>22</v>
      </c>
      <c r="WKB876" s="31">
        <v>20890</v>
      </c>
      <c r="WKC876" s="30">
        <v>1472014</v>
      </c>
      <c r="WKD876" s="30">
        <f ca="1">YEAR(TODAY())-YEAR(WKB876)</f>
        <v>69</v>
      </c>
      <c r="WKE876" s="245"/>
      <c r="WKF876" s="7" t="s">
        <v>23</v>
      </c>
      <c r="WKG876" s="29"/>
      <c r="WKH876" s="44">
        <v>44198</v>
      </c>
      <c r="WKI876" s="30" t="s">
        <v>22</v>
      </c>
      <c r="WKJ876" s="31">
        <v>20890</v>
      </c>
      <c r="WKK876" s="30">
        <v>1472014</v>
      </c>
      <c r="WKL876" s="30">
        <f ca="1">YEAR(TODAY())-YEAR(WKJ876)</f>
        <v>69</v>
      </c>
      <c r="WKM876" s="245"/>
      <c r="WKN876" s="7" t="s">
        <v>23</v>
      </c>
      <c r="WKO876" s="29"/>
      <c r="WKP876" s="44">
        <v>44198</v>
      </c>
      <c r="WKQ876" s="30" t="s">
        <v>22</v>
      </c>
      <c r="WKR876" s="31">
        <v>20890</v>
      </c>
      <c r="WKS876" s="30">
        <v>1472014</v>
      </c>
      <c r="WKT876" s="30">
        <f ca="1">YEAR(TODAY())-YEAR(WKR876)</f>
        <v>69</v>
      </c>
      <c r="WKU876" s="245"/>
      <c r="WKV876" s="7" t="s">
        <v>23</v>
      </c>
      <c r="WKW876" s="29"/>
      <c r="WKX876" s="44">
        <v>44198</v>
      </c>
      <c r="WKY876" s="30" t="s">
        <v>22</v>
      </c>
      <c r="WKZ876" s="31">
        <v>20890</v>
      </c>
      <c r="WLA876" s="30">
        <v>1472014</v>
      </c>
      <c r="WLB876" s="30">
        <f ca="1">YEAR(TODAY())-YEAR(WKZ876)</f>
        <v>69</v>
      </c>
      <c r="WLC876" s="245"/>
      <c r="WLD876" s="7" t="s">
        <v>23</v>
      </c>
      <c r="WLE876" s="29"/>
      <c r="WLF876" s="44">
        <v>44198</v>
      </c>
      <c r="WLG876" s="30" t="s">
        <v>22</v>
      </c>
      <c r="WLH876" s="31">
        <v>20890</v>
      </c>
      <c r="WLI876" s="30">
        <v>1472014</v>
      </c>
      <c r="WLJ876" s="30">
        <f ca="1">YEAR(TODAY())-YEAR(WLH876)</f>
        <v>69</v>
      </c>
      <c r="WLK876" s="245"/>
      <c r="WLL876" s="7" t="s">
        <v>23</v>
      </c>
      <c r="WLM876" s="29"/>
      <c r="WLN876" s="44">
        <v>44198</v>
      </c>
      <c r="WLO876" s="30" t="s">
        <v>22</v>
      </c>
      <c r="WLP876" s="31">
        <v>20890</v>
      </c>
      <c r="WLQ876" s="30">
        <v>1472014</v>
      </c>
      <c r="WLR876" s="30">
        <f ca="1">YEAR(TODAY())-YEAR(WLP876)</f>
        <v>69</v>
      </c>
      <c r="WLS876" s="245"/>
      <c r="WLT876" s="7" t="s">
        <v>23</v>
      </c>
      <c r="WLU876" s="29"/>
      <c r="WLV876" s="44">
        <v>44198</v>
      </c>
      <c r="WLW876" s="30" t="s">
        <v>22</v>
      </c>
      <c r="WLX876" s="31">
        <v>20890</v>
      </c>
      <c r="WLY876" s="30">
        <v>1472014</v>
      </c>
      <c r="WLZ876" s="30">
        <f ca="1">YEAR(TODAY())-YEAR(WLX876)</f>
        <v>69</v>
      </c>
      <c r="WMA876" s="245"/>
      <c r="WMB876" s="7" t="s">
        <v>23</v>
      </c>
      <c r="WMC876" s="29"/>
      <c r="WMD876" s="44">
        <v>44198</v>
      </c>
      <c r="WME876" s="30" t="s">
        <v>22</v>
      </c>
      <c r="WMF876" s="31">
        <v>20890</v>
      </c>
      <c r="WMG876" s="30">
        <v>1472014</v>
      </c>
      <c r="WMH876" s="30">
        <f ca="1">YEAR(TODAY())-YEAR(WMF876)</f>
        <v>69</v>
      </c>
      <c r="WMI876" s="245"/>
      <c r="WMJ876" s="7" t="s">
        <v>23</v>
      </c>
      <c r="WMK876" s="29"/>
      <c r="WML876" s="44">
        <v>44198</v>
      </c>
      <c r="WMM876" s="30" t="s">
        <v>22</v>
      </c>
      <c r="WMN876" s="31">
        <v>20890</v>
      </c>
      <c r="WMO876" s="30">
        <v>1472014</v>
      </c>
      <c r="WMP876" s="30">
        <f ca="1">YEAR(TODAY())-YEAR(WMN876)</f>
        <v>69</v>
      </c>
      <c r="WMQ876" s="245"/>
      <c r="WMR876" s="7" t="s">
        <v>23</v>
      </c>
      <c r="WMS876" s="29"/>
      <c r="WMT876" s="44">
        <v>44198</v>
      </c>
      <c r="WMU876" s="30" t="s">
        <v>22</v>
      </c>
      <c r="WMV876" s="31">
        <v>20890</v>
      </c>
      <c r="WMW876" s="30">
        <v>1472014</v>
      </c>
      <c r="WMX876" s="30">
        <f ca="1">YEAR(TODAY())-YEAR(WMV876)</f>
        <v>69</v>
      </c>
      <c r="WMY876" s="245"/>
      <c r="WMZ876" s="7" t="s">
        <v>23</v>
      </c>
      <c r="WNA876" s="29"/>
      <c r="WNB876" s="44">
        <v>44198</v>
      </c>
      <c r="WNC876" s="30" t="s">
        <v>22</v>
      </c>
      <c r="WND876" s="31">
        <v>20890</v>
      </c>
      <c r="WNE876" s="30">
        <v>1472014</v>
      </c>
      <c r="WNF876" s="30">
        <f ca="1">YEAR(TODAY())-YEAR(WND876)</f>
        <v>69</v>
      </c>
      <c r="WNG876" s="245"/>
      <c r="WNH876" s="7" t="s">
        <v>23</v>
      </c>
      <c r="WNI876" s="29"/>
      <c r="WNJ876" s="44">
        <v>44198</v>
      </c>
      <c r="WNK876" s="30" t="s">
        <v>22</v>
      </c>
      <c r="WNL876" s="31">
        <v>20890</v>
      </c>
      <c r="WNM876" s="30">
        <v>1472014</v>
      </c>
      <c r="WNN876" s="30">
        <f ca="1">YEAR(TODAY())-YEAR(WNL876)</f>
        <v>69</v>
      </c>
      <c r="WNO876" s="245"/>
      <c r="WNP876" s="7" t="s">
        <v>23</v>
      </c>
      <c r="WNQ876" s="29"/>
      <c r="WNR876" s="44">
        <v>44198</v>
      </c>
      <c r="WNS876" s="30" t="s">
        <v>22</v>
      </c>
      <c r="WNT876" s="31">
        <v>20890</v>
      </c>
      <c r="WNU876" s="30">
        <v>1472014</v>
      </c>
      <c r="WNV876" s="30">
        <f ca="1">YEAR(TODAY())-YEAR(WNT876)</f>
        <v>69</v>
      </c>
      <c r="WNW876" s="245"/>
      <c r="WNX876" s="7" t="s">
        <v>23</v>
      </c>
      <c r="WNY876" s="29"/>
      <c r="WNZ876" s="44">
        <v>44198</v>
      </c>
      <c r="WOA876" s="30" t="s">
        <v>22</v>
      </c>
      <c r="WOB876" s="31">
        <v>20890</v>
      </c>
      <c r="WOC876" s="30">
        <v>1472014</v>
      </c>
      <c r="WOD876" s="30">
        <f ca="1">YEAR(TODAY())-YEAR(WOB876)</f>
        <v>69</v>
      </c>
      <c r="WOE876" s="245"/>
      <c r="WOF876" s="7" t="s">
        <v>23</v>
      </c>
      <c r="WOG876" s="29"/>
      <c r="WOH876" s="44">
        <v>44198</v>
      </c>
      <c r="WOI876" s="30" t="s">
        <v>22</v>
      </c>
      <c r="WOJ876" s="31">
        <v>20890</v>
      </c>
      <c r="WOK876" s="30">
        <v>1472014</v>
      </c>
      <c r="WOL876" s="30">
        <f ca="1">YEAR(TODAY())-YEAR(WOJ876)</f>
        <v>69</v>
      </c>
      <c r="WOM876" s="245"/>
      <c r="WON876" s="7" t="s">
        <v>23</v>
      </c>
      <c r="WOO876" s="29"/>
      <c r="WOP876" s="44">
        <v>44198</v>
      </c>
      <c r="WOQ876" s="30" t="s">
        <v>22</v>
      </c>
      <c r="WOR876" s="31">
        <v>20890</v>
      </c>
      <c r="WOS876" s="30">
        <v>1472014</v>
      </c>
      <c r="WOT876" s="30">
        <f ca="1">YEAR(TODAY())-YEAR(WOR876)</f>
        <v>69</v>
      </c>
      <c r="WOU876" s="245"/>
      <c r="WOV876" s="7" t="s">
        <v>23</v>
      </c>
      <c r="WOW876" s="29"/>
      <c r="WOX876" s="44">
        <v>44198</v>
      </c>
      <c r="WOY876" s="30" t="s">
        <v>22</v>
      </c>
      <c r="WOZ876" s="31">
        <v>20890</v>
      </c>
      <c r="WPA876" s="30">
        <v>1472014</v>
      </c>
      <c r="WPB876" s="30">
        <f ca="1">YEAR(TODAY())-YEAR(WOZ876)</f>
        <v>69</v>
      </c>
      <c r="WPC876" s="245"/>
      <c r="WPD876" s="7" t="s">
        <v>23</v>
      </c>
      <c r="WPE876" s="29"/>
      <c r="WPF876" s="44">
        <v>44198</v>
      </c>
      <c r="WPG876" s="30" t="s">
        <v>22</v>
      </c>
      <c r="WPH876" s="31">
        <v>20890</v>
      </c>
      <c r="WPI876" s="30">
        <v>1472014</v>
      </c>
      <c r="WPJ876" s="30">
        <f ca="1">YEAR(TODAY())-YEAR(WPH876)</f>
        <v>69</v>
      </c>
      <c r="WPK876" s="245"/>
      <c r="WPL876" s="7" t="s">
        <v>23</v>
      </c>
      <c r="WPM876" s="29"/>
      <c r="WPN876" s="44">
        <v>44198</v>
      </c>
      <c r="WPO876" s="30" t="s">
        <v>22</v>
      </c>
      <c r="WPP876" s="31">
        <v>20890</v>
      </c>
      <c r="WPQ876" s="30">
        <v>1472014</v>
      </c>
      <c r="WPR876" s="30">
        <f ca="1">YEAR(TODAY())-YEAR(WPP876)</f>
        <v>69</v>
      </c>
      <c r="WPS876" s="245"/>
      <c r="WPT876" s="7" t="s">
        <v>23</v>
      </c>
      <c r="WPU876" s="29"/>
      <c r="WPV876" s="44">
        <v>44198</v>
      </c>
      <c r="WPW876" s="30" t="s">
        <v>22</v>
      </c>
      <c r="WPX876" s="31">
        <v>20890</v>
      </c>
      <c r="WPY876" s="30">
        <v>1472014</v>
      </c>
      <c r="WPZ876" s="30">
        <f ca="1">YEAR(TODAY())-YEAR(WPX876)</f>
        <v>69</v>
      </c>
      <c r="WQA876" s="245"/>
      <c r="WQB876" s="7" t="s">
        <v>23</v>
      </c>
      <c r="WQC876" s="29"/>
      <c r="WQD876" s="44">
        <v>44198</v>
      </c>
      <c r="WQE876" s="30" t="s">
        <v>22</v>
      </c>
      <c r="WQF876" s="31">
        <v>20890</v>
      </c>
      <c r="WQG876" s="30">
        <v>1472014</v>
      </c>
      <c r="WQH876" s="30">
        <f ca="1">YEAR(TODAY())-YEAR(WQF876)</f>
        <v>69</v>
      </c>
      <c r="WQI876" s="245"/>
      <c r="WQJ876" s="7" t="s">
        <v>23</v>
      </c>
      <c r="WQK876" s="29"/>
      <c r="WQL876" s="44">
        <v>44198</v>
      </c>
      <c r="WQM876" s="30" t="s">
        <v>22</v>
      </c>
      <c r="WQN876" s="31">
        <v>20890</v>
      </c>
      <c r="WQO876" s="30">
        <v>1472014</v>
      </c>
      <c r="WQP876" s="30">
        <f ca="1">YEAR(TODAY())-YEAR(WQN876)</f>
        <v>69</v>
      </c>
      <c r="WQQ876" s="245"/>
      <c r="WQR876" s="7" t="s">
        <v>23</v>
      </c>
      <c r="WQS876" s="29"/>
      <c r="WQT876" s="44">
        <v>44198</v>
      </c>
      <c r="WQU876" s="30" t="s">
        <v>22</v>
      </c>
      <c r="WQV876" s="31">
        <v>20890</v>
      </c>
      <c r="WQW876" s="30">
        <v>1472014</v>
      </c>
      <c r="WQX876" s="30">
        <f ca="1">YEAR(TODAY())-YEAR(WQV876)</f>
        <v>69</v>
      </c>
      <c r="WQY876" s="245"/>
      <c r="WQZ876" s="7" t="s">
        <v>23</v>
      </c>
      <c r="WRA876" s="29"/>
      <c r="WRB876" s="44">
        <v>44198</v>
      </c>
      <c r="WRC876" s="30" t="s">
        <v>22</v>
      </c>
      <c r="WRD876" s="31">
        <v>20890</v>
      </c>
      <c r="WRE876" s="30">
        <v>1472014</v>
      </c>
      <c r="WRF876" s="30">
        <f ca="1">YEAR(TODAY())-YEAR(WRD876)</f>
        <v>69</v>
      </c>
      <c r="WRG876" s="245"/>
      <c r="WRH876" s="7" t="s">
        <v>23</v>
      </c>
      <c r="WRI876" s="29"/>
      <c r="WRJ876" s="44">
        <v>44198</v>
      </c>
      <c r="WRK876" s="30" t="s">
        <v>22</v>
      </c>
      <c r="WRL876" s="31">
        <v>20890</v>
      </c>
      <c r="WRM876" s="30">
        <v>1472014</v>
      </c>
      <c r="WRN876" s="30">
        <f ca="1">YEAR(TODAY())-YEAR(WRL876)</f>
        <v>69</v>
      </c>
      <c r="WRO876" s="245"/>
      <c r="WRP876" s="7" t="s">
        <v>23</v>
      </c>
      <c r="WRQ876" s="29"/>
      <c r="WRR876" s="44">
        <v>44198</v>
      </c>
      <c r="WRS876" s="30" t="s">
        <v>22</v>
      </c>
      <c r="WRT876" s="31">
        <v>20890</v>
      </c>
      <c r="WRU876" s="30">
        <v>1472014</v>
      </c>
      <c r="WRV876" s="30">
        <f ca="1">YEAR(TODAY())-YEAR(WRT876)</f>
        <v>69</v>
      </c>
      <c r="WRW876" s="245"/>
      <c r="WRX876" s="7" t="s">
        <v>23</v>
      </c>
      <c r="WRY876" s="29"/>
      <c r="WRZ876" s="44">
        <v>44198</v>
      </c>
      <c r="WSA876" s="30" t="s">
        <v>22</v>
      </c>
      <c r="WSB876" s="31">
        <v>20890</v>
      </c>
      <c r="WSC876" s="30">
        <v>1472014</v>
      </c>
      <c r="WSD876" s="30">
        <f ca="1">YEAR(TODAY())-YEAR(WSB876)</f>
        <v>69</v>
      </c>
      <c r="WSE876" s="245"/>
      <c r="WSF876" s="7" t="s">
        <v>23</v>
      </c>
      <c r="WSG876" s="29"/>
      <c r="WSH876" s="44">
        <v>44198</v>
      </c>
      <c r="WSI876" s="30" t="s">
        <v>22</v>
      </c>
      <c r="WSJ876" s="31">
        <v>20890</v>
      </c>
      <c r="WSK876" s="30">
        <v>1472014</v>
      </c>
      <c r="WSL876" s="30">
        <f ca="1">YEAR(TODAY())-YEAR(WSJ876)</f>
        <v>69</v>
      </c>
      <c r="WSM876" s="245"/>
      <c r="WSN876" s="7" t="s">
        <v>23</v>
      </c>
      <c r="WSO876" s="29"/>
      <c r="WSP876" s="44">
        <v>44198</v>
      </c>
      <c r="WSQ876" s="30" t="s">
        <v>22</v>
      </c>
      <c r="WSR876" s="31">
        <v>20890</v>
      </c>
      <c r="WSS876" s="30">
        <v>1472014</v>
      </c>
      <c r="WST876" s="30">
        <f ca="1">YEAR(TODAY())-YEAR(WSR876)</f>
        <v>69</v>
      </c>
      <c r="WSU876" s="245"/>
      <c r="WSV876" s="7" t="s">
        <v>23</v>
      </c>
      <c r="WSW876" s="29"/>
      <c r="WSX876" s="44">
        <v>44198</v>
      </c>
      <c r="WSY876" s="30" t="s">
        <v>22</v>
      </c>
      <c r="WSZ876" s="31">
        <v>20890</v>
      </c>
      <c r="WTA876" s="30">
        <v>1472014</v>
      </c>
      <c r="WTB876" s="30">
        <f ca="1">YEAR(TODAY())-YEAR(WSZ876)</f>
        <v>69</v>
      </c>
      <c r="WTC876" s="245"/>
      <c r="WTD876" s="7" t="s">
        <v>23</v>
      </c>
      <c r="WTE876" s="29"/>
      <c r="WTF876" s="44">
        <v>44198</v>
      </c>
      <c r="WTG876" s="30" t="s">
        <v>22</v>
      </c>
      <c r="WTH876" s="31">
        <v>20890</v>
      </c>
      <c r="WTI876" s="30">
        <v>1472014</v>
      </c>
      <c r="WTJ876" s="30">
        <f ca="1">YEAR(TODAY())-YEAR(WTH876)</f>
        <v>69</v>
      </c>
      <c r="WTK876" s="245"/>
      <c r="WTL876" s="7" t="s">
        <v>23</v>
      </c>
      <c r="WTM876" s="29"/>
      <c r="WTN876" s="44">
        <v>44198</v>
      </c>
      <c r="WTO876" s="30" t="s">
        <v>22</v>
      </c>
      <c r="WTP876" s="31">
        <v>20890</v>
      </c>
      <c r="WTQ876" s="30">
        <v>1472014</v>
      </c>
      <c r="WTR876" s="30">
        <f ca="1">YEAR(TODAY())-YEAR(WTP876)</f>
        <v>69</v>
      </c>
      <c r="WTS876" s="245"/>
      <c r="WTT876" s="7" t="s">
        <v>23</v>
      </c>
      <c r="WTU876" s="29"/>
      <c r="WTV876" s="44">
        <v>44198</v>
      </c>
      <c r="WTW876" s="30" t="s">
        <v>22</v>
      </c>
      <c r="WTX876" s="31">
        <v>20890</v>
      </c>
      <c r="WTY876" s="30">
        <v>1472014</v>
      </c>
      <c r="WTZ876" s="30">
        <f ca="1">YEAR(TODAY())-YEAR(WTX876)</f>
        <v>69</v>
      </c>
      <c r="WUA876" s="245"/>
      <c r="WUB876" s="7" t="s">
        <v>23</v>
      </c>
      <c r="WUC876" s="29"/>
      <c r="WUD876" s="44">
        <v>44198</v>
      </c>
      <c r="WUE876" s="30" t="s">
        <v>22</v>
      </c>
      <c r="WUF876" s="31">
        <v>20890</v>
      </c>
      <c r="WUG876" s="30">
        <v>1472014</v>
      </c>
      <c r="WUH876" s="30">
        <f ca="1">YEAR(TODAY())-YEAR(WUF876)</f>
        <v>69</v>
      </c>
      <c r="WUI876" s="245"/>
      <c r="WUJ876" s="7" t="s">
        <v>23</v>
      </c>
      <c r="WUK876" s="29"/>
      <c r="WUL876" s="44">
        <v>44198</v>
      </c>
      <c r="WUM876" s="30" t="s">
        <v>22</v>
      </c>
      <c r="WUN876" s="31">
        <v>20890</v>
      </c>
      <c r="WUO876" s="30">
        <v>1472014</v>
      </c>
      <c r="WUP876" s="30">
        <f ca="1">YEAR(TODAY())-YEAR(WUN876)</f>
        <v>69</v>
      </c>
      <c r="WUQ876" s="245"/>
      <c r="WUR876" s="7" t="s">
        <v>23</v>
      </c>
      <c r="WUS876" s="29"/>
      <c r="WUT876" s="44">
        <v>44198</v>
      </c>
      <c r="WUU876" s="30" t="s">
        <v>22</v>
      </c>
      <c r="WUV876" s="31">
        <v>20890</v>
      </c>
      <c r="WUW876" s="30">
        <v>1472014</v>
      </c>
      <c r="WUX876" s="30">
        <f ca="1">YEAR(TODAY())-YEAR(WUV876)</f>
        <v>69</v>
      </c>
      <c r="WUY876" s="245"/>
      <c r="WUZ876" s="7" t="s">
        <v>23</v>
      </c>
      <c r="WVA876" s="29"/>
      <c r="WVB876" s="44">
        <v>44198</v>
      </c>
      <c r="WVC876" s="30" t="s">
        <v>22</v>
      </c>
      <c r="WVD876" s="31">
        <v>20890</v>
      </c>
      <c r="WVE876" s="30">
        <v>1472014</v>
      </c>
      <c r="WVF876" s="30">
        <f ca="1">YEAR(TODAY())-YEAR(WVD876)</f>
        <v>69</v>
      </c>
      <c r="WVG876" s="245"/>
      <c r="WVH876" s="7" t="s">
        <v>23</v>
      </c>
      <c r="WVI876" s="29"/>
      <c r="WVJ876" s="44">
        <v>44198</v>
      </c>
      <c r="WVK876" s="30" t="s">
        <v>22</v>
      </c>
      <c r="WVL876" s="31">
        <v>20890</v>
      </c>
      <c r="WVM876" s="30">
        <v>1472014</v>
      </c>
      <c r="WVN876" s="30">
        <f ca="1">YEAR(TODAY())-YEAR(WVL876)</f>
        <v>69</v>
      </c>
      <c r="WVO876" s="245"/>
      <c r="WVP876" s="7" t="s">
        <v>23</v>
      </c>
      <c r="WVQ876" s="29"/>
      <c r="WVR876" s="44">
        <v>44198</v>
      </c>
      <c r="WVS876" s="30" t="s">
        <v>22</v>
      </c>
      <c r="WVT876" s="31">
        <v>20890</v>
      </c>
      <c r="WVU876" s="30">
        <v>1472014</v>
      </c>
      <c r="WVV876" s="30">
        <f ca="1">YEAR(TODAY())-YEAR(WVT876)</f>
        <v>69</v>
      </c>
      <c r="WVW876" s="245"/>
      <c r="WVX876" s="7" t="s">
        <v>23</v>
      </c>
      <c r="WVY876" s="29"/>
      <c r="WVZ876" s="44">
        <v>44198</v>
      </c>
      <c r="WWA876" s="30" t="s">
        <v>22</v>
      </c>
      <c r="WWB876" s="31">
        <v>20890</v>
      </c>
      <c r="WWC876" s="30">
        <v>1472014</v>
      </c>
      <c r="WWD876" s="30">
        <f ca="1">YEAR(TODAY())-YEAR(WWB876)</f>
        <v>69</v>
      </c>
      <c r="WWE876" s="245"/>
      <c r="WWF876" s="7" t="s">
        <v>23</v>
      </c>
      <c r="WWG876" s="29"/>
      <c r="WWH876" s="44">
        <v>44198</v>
      </c>
      <c r="WWI876" s="30" t="s">
        <v>22</v>
      </c>
      <c r="WWJ876" s="31">
        <v>20890</v>
      </c>
      <c r="WWK876" s="30">
        <v>1472014</v>
      </c>
      <c r="WWL876" s="30">
        <f ca="1">YEAR(TODAY())-YEAR(WWJ876)</f>
        <v>69</v>
      </c>
      <c r="WWM876" s="245"/>
      <c r="WWN876" s="7" t="s">
        <v>23</v>
      </c>
      <c r="WWO876" s="29"/>
      <c r="WWP876" s="44">
        <v>44198</v>
      </c>
      <c r="WWQ876" s="30" t="s">
        <v>22</v>
      </c>
      <c r="WWR876" s="31">
        <v>20890</v>
      </c>
      <c r="WWS876" s="30">
        <v>1472014</v>
      </c>
      <c r="WWT876" s="30">
        <f ca="1">YEAR(TODAY())-YEAR(WWR876)</f>
        <v>69</v>
      </c>
      <c r="WWU876" s="245"/>
      <c r="WWV876" s="7" t="s">
        <v>23</v>
      </c>
      <c r="WWW876" s="29"/>
      <c r="WWX876" s="44">
        <v>44198</v>
      </c>
      <c r="WWY876" s="30" t="s">
        <v>22</v>
      </c>
      <c r="WWZ876" s="31">
        <v>20890</v>
      </c>
      <c r="WXA876" s="30">
        <v>1472014</v>
      </c>
      <c r="WXB876" s="30">
        <f ca="1">YEAR(TODAY())-YEAR(WWZ876)</f>
        <v>69</v>
      </c>
      <c r="WXC876" s="245"/>
      <c r="WXD876" s="7" t="s">
        <v>23</v>
      </c>
      <c r="WXE876" s="29"/>
      <c r="WXF876" s="44">
        <v>44198</v>
      </c>
      <c r="WXG876" s="30" t="s">
        <v>22</v>
      </c>
      <c r="WXH876" s="31">
        <v>20890</v>
      </c>
      <c r="WXI876" s="30">
        <v>1472014</v>
      </c>
      <c r="WXJ876" s="30">
        <f ca="1">YEAR(TODAY())-YEAR(WXH876)</f>
        <v>69</v>
      </c>
      <c r="WXK876" s="245"/>
      <c r="WXL876" s="7" t="s">
        <v>23</v>
      </c>
      <c r="WXM876" s="29"/>
      <c r="WXN876" s="44">
        <v>44198</v>
      </c>
      <c r="WXO876" s="30" t="s">
        <v>22</v>
      </c>
      <c r="WXP876" s="31">
        <v>20890</v>
      </c>
      <c r="WXQ876" s="30">
        <v>1472014</v>
      </c>
      <c r="WXR876" s="30">
        <f ca="1">YEAR(TODAY())-YEAR(WXP876)</f>
        <v>69</v>
      </c>
      <c r="WXS876" s="245"/>
      <c r="WXT876" s="7" t="s">
        <v>23</v>
      </c>
      <c r="WXU876" s="29"/>
      <c r="WXV876" s="44">
        <v>44198</v>
      </c>
      <c r="WXW876" s="30" t="s">
        <v>22</v>
      </c>
      <c r="WXX876" s="31">
        <v>20890</v>
      </c>
      <c r="WXY876" s="30">
        <v>1472014</v>
      </c>
      <c r="WXZ876" s="30">
        <f ca="1">YEAR(TODAY())-YEAR(WXX876)</f>
        <v>69</v>
      </c>
      <c r="WYA876" s="245"/>
      <c r="WYB876" s="7" t="s">
        <v>23</v>
      </c>
      <c r="WYC876" s="29"/>
      <c r="WYD876" s="44">
        <v>44198</v>
      </c>
      <c r="WYE876" s="30" t="s">
        <v>22</v>
      </c>
      <c r="WYF876" s="31">
        <v>20890</v>
      </c>
      <c r="WYG876" s="30">
        <v>1472014</v>
      </c>
      <c r="WYH876" s="30">
        <f ca="1">YEAR(TODAY())-YEAR(WYF876)</f>
        <v>69</v>
      </c>
      <c r="WYI876" s="245"/>
      <c r="WYJ876" s="7" t="s">
        <v>23</v>
      </c>
      <c r="WYK876" s="29"/>
      <c r="WYL876" s="44">
        <v>44198</v>
      </c>
      <c r="WYM876" s="30" t="s">
        <v>22</v>
      </c>
      <c r="WYN876" s="31">
        <v>20890</v>
      </c>
      <c r="WYO876" s="30">
        <v>1472014</v>
      </c>
      <c r="WYP876" s="30">
        <f ca="1">YEAR(TODAY())-YEAR(WYN876)</f>
        <v>69</v>
      </c>
      <c r="WYQ876" s="245"/>
      <c r="WYR876" s="7" t="s">
        <v>23</v>
      </c>
      <c r="WYS876" s="29"/>
      <c r="WYT876" s="44">
        <v>44198</v>
      </c>
      <c r="WYU876" s="30" t="s">
        <v>22</v>
      </c>
      <c r="WYV876" s="31">
        <v>20890</v>
      </c>
      <c r="WYW876" s="30">
        <v>1472014</v>
      </c>
      <c r="WYX876" s="30">
        <f ca="1">YEAR(TODAY())-YEAR(WYV876)</f>
        <v>69</v>
      </c>
      <c r="WYY876" s="245"/>
      <c r="WYZ876" s="7" t="s">
        <v>23</v>
      </c>
      <c r="WZA876" s="29"/>
      <c r="WZB876" s="44">
        <v>44198</v>
      </c>
      <c r="WZC876" s="30" t="s">
        <v>22</v>
      </c>
      <c r="WZD876" s="31">
        <v>20890</v>
      </c>
      <c r="WZE876" s="30">
        <v>1472014</v>
      </c>
      <c r="WZF876" s="30">
        <f ca="1">YEAR(TODAY())-YEAR(WZD876)</f>
        <v>69</v>
      </c>
      <c r="WZG876" s="245"/>
      <c r="WZH876" s="7" t="s">
        <v>23</v>
      </c>
      <c r="WZI876" s="29"/>
      <c r="WZJ876" s="44">
        <v>44198</v>
      </c>
      <c r="WZK876" s="30" t="s">
        <v>22</v>
      </c>
      <c r="WZL876" s="31">
        <v>20890</v>
      </c>
      <c r="WZM876" s="30">
        <v>1472014</v>
      </c>
      <c r="WZN876" s="30">
        <f ca="1">YEAR(TODAY())-YEAR(WZL876)</f>
        <v>69</v>
      </c>
      <c r="WZO876" s="245"/>
      <c r="WZP876" s="7" t="s">
        <v>23</v>
      </c>
      <c r="WZQ876" s="29"/>
      <c r="WZR876" s="44">
        <v>44198</v>
      </c>
      <c r="WZS876" s="30" t="s">
        <v>22</v>
      </c>
      <c r="WZT876" s="31">
        <v>20890</v>
      </c>
      <c r="WZU876" s="30">
        <v>1472014</v>
      </c>
      <c r="WZV876" s="30">
        <f ca="1">YEAR(TODAY())-YEAR(WZT876)</f>
        <v>69</v>
      </c>
      <c r="WZW876" s="245"/>
      <c r="WZX876" s="7" t="s">
        <v>23</v>
      </c>
      <c r="WZY876" s="29"/>
      <c r="WZZ876" s="44">
        <v>44198</v>
      </c>
      <c r="XAA876" s="30" t="s">
        <v>22</v>
      </c>
      <c r="XAB876" s="31">
        <v>20890</v>
      </c>
      <c r="XAC876" s="30">
        <v>1472014</v>
      </c>
      <c r="XAD876" s="30">
        <f ca="1">YEAR(TODAY())-YEAR(XAB876)</f>
        <v>69</v>
      </c>
      <c r="XAE876" s="245"/>
      <c r="XAF876" s="7" t="s">
        <v>23</v>
      </c>
      <c r="XAG876" s="29"/>
      <c r="XAH876" s="44">
        <v>44198</v>
      </c>
      <c r="XAI876" s="30" t="s">
        <v>22</v>
      </c>
      <c r="XAJ876" s="31">
        <v>20890</v>
      </c>
      <c r="XAK876" s="30">
        <v>1472014</v>
      </c>
      <c r="XAL876" s="30">
        <f ca="1">YEAR(TODAY())-YEAR(XAJ876)</f>
        <v>69</v>
      </c>
      <c r="XAM876" s="245"/>
      <c r="XAN876" s="7" t="s">
        <v>23</v>
      </c>
      <c r="XAO876" s="29"/>
      <c r="XAP876" s="44">
        <v>44198</v>
      </c>
      <c r="XAQ876" s="30" t="s">
        <v>22</v>
      </c>
      <c r="XAR876" s="31">
        <v>20890</v>
      </c>
      <c r="XAS876" s="30">
        <v>1472014</v>
      </c>
      <c r="XAT876" s="30">
        <f ca="1">YEAR(TODAY())-YEAR(XAR876)</f>
        <v>69</v>
      </c>
      <c r="XAU876" s="245"/>
      <c r="XAV876" s="7" t="s">
        <v>23</v>
      </c>
      <c r="XAW876" s="29"/>
      <c r="XAX876" s="44">
        <v>44198</v>
      </c>
      <c r="XAY876" s="30" t="s">
        <v>22</v>
      </c>
      <c r="XAZ876" s="31">
        <v>20890</v>
      </c>
      <c r="XBA876" s="30">
        <v>1472014</v>
      </c>
      <c r="XBB876" s="30">
        <f ca="1">YEAR(TODAY())-YEAR(XAZ876)</f>
        <v>69</v>
      </c>
      <c r="XBC876" s="245"/>
      <c r="XBD876" s="7" t="s">
        <v>23</v>
      </c>
      <c r="XBE876" s="29"/>
      <c r="XBF876" s="44">
        <v>44198</v>
      </c>
      <c r="XBG876" s="30" t="s">
        <v>22</v>
      </c>
      <c r="XBH876" s="31">
        <v>20890</v>
      </c>
      <c r="XBI876" s="30">
        <v>1472014</v>
      </c>
      <c r="XBJ876" s="30">
        <f ca="1">YEAR(TODAY())-YEAR(XBH876)</f>
        <v>69</v>
      </c>
      <c r="XBK876" s="245"/>
      <c r="XBL876" s="7" t="s">
        <v>23</v>
      </c>
      <c r="XBM876" s="29"/>
      <c r="XBN876" s="44">
        <v>44198</v>
      </c>
      <c r="XBO876" s="30" t="s">
        <v>22</v>
      </c>
      <c r="XBP876" s="31">
        <v>20890</v>
      </c>
      <c r="XBQ876" s="30">
        <v>1472014</v>
      </c>
      <c r="XBR876" s="30">
        <f ca="1">YEAR(TODAY())-YEAR(XBP876)</f>
        <v>69</v>
      </c>
      <c r="XBS876" s="245"/>
      <c r="XBT876" s="7" t="s">
        <v>23</v>
      </c>
      <c r="XBU876" s="29"/>
      <c r="XBV876" s="44">
        <v>44198</v>
      </c>
      <c r="XBW876" s="30" t="s">
        <v>22</v>
      </c>
      <c r="XBX876" s="31">
        <v>20890</v>
      </c>
      <c r="XBY876" s="30">
        <v>1472014</v>
      </c>
      <c r="XBZ876" s="30">
        <f ca="1">YEAR(TODAY())-YEAR(XBX876)</f>
        <v>69</v>
      </c>
      <c r="XCA876" s="245"/>
      <c r="XCB876" s="7" t="s">
        <v>23</v>
      </c>
      <c r="XCC876" s="29"/>
      <c r="XCD876" s="44">
        <v>44198</v>
      </c>
      <c r="XCE876" s="30" t="s">
        <v>22</v>
      </c>
      <c r="XCF876" s="31">
        <v>20890</v>
      </c>
      <c r="XCG876" s="30">
        <v>1472014</v>
      </c>
      <c r="XCH876" s="30">
        <f ca="1">YEAR(TODAY())-YEAR(XCF876)</f>
        <v>69</v>
      </c>
      <c r="XCI876" s="245"/>
      <c r="XCJ876" s="7" t="s">
        <v>23</v>
      </c>
      <c r="XCK876" s="29"/>
      <c r="XCL876" s="44">
        <v>44198</v>
      </c>
      <c r="XCM876" s="30" t="s">
        <v>22</v>
      </c>
      <c r="XCN876" s="31">
        <v>20890</v>
      </c>
      <c r="XCO876" s="30">
        <v>1472014</v>
      </c>
      <c r="XCP876" s="30">
        <f ca="1">YEAR(TODAY())-YEAR(XCN876)</f>
        <v>69</v>
      </c>
      <c r="XCQ876" s="245"/>
      <c r="XCR876" s="7" t="s">
        <v>23</v>
      </c>
      <c r="XCS876" s="29"/>
      <c r="XCT876" s="44">
        <v>44198</v>
      </c>
      <c r="XCU876" s="30" t="s">
        <v>22</v>
      </c>
      <c r="XCV876" s="31">
        <v>20890</v>
      </c>
      <c r="XCW876" s="30">
        <v>1472014</v>
      </c>
      <c r="XCX876" s="30">
        <f ca="1">YEAR(TODAY())-YEAR(XCV876)</f>
        <v>69</v>
      </c>
      <c r="XCY876" s="245"/>
      <c r="XCZ876" s="7" t="s">
        <v>23</v>
      </c>
      <c r="XDA876" s="29"/>
      <c r="XDB876" s="44">
        <v>44198</v>
      </c>
      <c r="XDC876" s="30" t="s">
        <v>22</v>
      </c>
      <c r="XDD876" s="31">
        <v>20890</v>
      </c>
      <c r="XDE876" s="30">
        <v>1472014</v>
      </c>
      <c r="XDF876" s="30">
        <f ca="1">YEAR(TODAY())-YEAR(XDD876)</f>
        <v>69</v>
      </c>
      <c r="XDG876" s="245"/>
      <c r="XDH876" s="7" t="s">
        <v>23</v>
      </c>
      <c r="XDI876" s="29"/>
      <c r="XDJ876" s="44">
        <v>44198</v>
      </c>
      <c r="XDK876" s="30" t="s">
        <v>22</v>
      </c>
      <c r="XDL876" s="31">
        <v>20890</v>
      </c>
      <c r="XDM876" s="30">
        <v>1472014</v>
      </c>
      <c r="XDN876" s="30">
        <f ca="1">YEAR(TODAY())-YEAR(XDL876)</f>
        <v>69</v>
      </c>
      <c r="XDO876" s="245"/>
      <c r="XDP876" s="7" t="s">
        <v>23</v>
      </c>
      <c r="XDQ876" s="29"/>
      <c r="XDR876" s="44">
        <v>44198</v>
      </c>
      <c r="XDS876" s="30" t="s">
        <v>22</v>
      </c>
      <c r="XDT876" s="31">
        <v>20890</v>
      </c>
      <c r="XDU876" s="30">
        <v>1472014</v>
      </c>
      <c r="XDV876" s="30">
        <f ca="1">YEAR(TODAY())-YEAR(XDT876)</f>
        <v>69</v>
      </c>
      <c r="XDW876" s="245"/>
      <c r="XDX876" s="7" t="s">
        <v>23</v>
      </c>
      <c r="XDY876" s="29"/>
      <c r="XDZ876" s="44">
        <v>44198</v>
      </c>
      <c r="XEA876" s="30" t="s">
        <v>22</v>
      </c>
      <c r="XEB876" s="31">
        <v>20890</v>
      </c>
      <c r="XEC876" s="30">
        <v>1472014</v>
      </c>
      <c r="XED876" s="30">
        <f ca="1">YEAR(TODAY())-YEAR(XEB876)</f>
        <v>69</v>
      </c>
      <c r="XEE876" s="245"/>
      <c r="XEF876" s="7" t="s">
        <v>23</v>
      </c>
      <c r="XEG876" s="29"/>
      <c r="XEH876" s="44">
        <v>44198</v>
      </c>
      <c r="XEI876" s="30" t="s">
        <v>22</v>
      </c>
      <c r="XEJ876" s="31">
        <v>20890</v>
      </c>
      <c r="XEK876" s="30">
        <v>1472014</v>
      </c>
      <c r="XEL876" s="30">
        <f ca="1">YEAR(TODAY())-YEAR(XEJ876)</f>
        <v>69</v>
      </c>
      <c r="XEM876" s="245"/>
      <c r="XEN876" s="7" t="s">
        <v>23</v>
      </c>
      <c r="XEO876" s="29"/>
      <c r="XEP876" s="44">
        <v>44198</v>
      </c>
      <c r="XEQ876" s="30" t="s">
        <v>22</v>
      </c>
      <c r="XER876" s="31">
        <v>20890</v>
      </c>
      <c r="XES876" s="30">
        <v>1472014</v>
      </c>
      <c r="XET876" s="30">
        <f ca="1">YEAR(TODAY())-YEAR(XER876)</f>
        <v>69</v>
      </c>
      <c r="XEU876" s="245"/>
      <c r="XEV876" s="7" t="s">
        <v>23</v>
      </c>
      <c r="XEW876" s="29"/>
      <c r="XEX876" s="44">
        <v>44198</v>
      </c>
      <c r="XEY876" s="30" t="s">
        <v>22</v>
      </c>
      <c r="XEZ876" s="31">
        <v>20890</v>
      </c>
      <c r="XFA876" s="30">
        <v>1472014</v>
      </c>
      <c r="XFB876" s="30">
        <f ca="1">YEAR(TODAY())-YEAR(XEZ876)</f>
        <v>69</v>
      </c>
      <c r="XFC876" s="245"/>
      <c r="XFD876" s="7" t="s">
        <v>23</v>
      </c>
    </row>
    <row r="877" spans="1:16384" customFormat="1" ht="49.5" x14ac:dyDescent="0.3">
      <c r="A877" s="439"/>
      <c r="B877" s="124"/>
      <c r="C877" s="40" t="s">
        <v>122</v>
      </c>
      <c r="D877" s="41">
        <v>40669</v>
      </c>
      <c r="E877" s="40">
        <v>4412027</v>
      </c>
      <c r="F877" s="40">
        <f t="shared" ca="1" si="81"/>
        <v>15</v>
      </c>
      <c r="G877" s="40"/>
      <c r="H877" s="40"/>
      <c r="I877" s="39"/>
      <c r="J877" s="40"/>
      <c r="K877" s="40"/>
      <c r="L877" s="55" t="s">
        <v>185</v>
      </c>
      <c r="M877" s="1"/>
      <c r="N877" s="1"/>
      <c r="O877" s="1"/>
      <c r="P877" s="5"/>
      <c r="Q877" s="5"/>
      <c r="R877" s="1"/>
    </row>
    <row r="878" spans="1:16384" customFormat="1" x14ac:dyDescent="0.3">
      <c r="A878" s="214"/>
      <c r="B878" s="124"/>
      <c r="C878" s="40" t="s">
        <v>2227</v>
      </c>
      <c r="D878" s="41">
        <v>21620</v>
      </c>
      <c r="E878" s="40">
        <v>2102019</v>
      </c>
      <c r="F878" s="40">
        <f t="shared" ca="1" si="81"/>
        <v>67</v>
      </c>
      <c r="G878" s="40" t="s">
        <v>2228</v>
      </c>
      <c r="H878" s="40"/>
      <c r="I878" s="39"/>
      <c r="J878" s="40"/>
      <c r="K878" s="40"/>
      <c r="L878" s="55"/>
      <c r="M878" s="1"/>
      <c r="N878" s="1"/>
      <c r="O878" s="1"/>
      <c r="P878" s="5"/>
      <c r="Q878" s="5"/>
      <c r="R878" s="1"/>
    </row>
    <row r="879" spans="1:16384" customFormat="1" x14ac:dyDescent="0.3">
      <c r="A879" s="214"/>
      <c r="B879" s="124"/>
      <c r="C879" s="40" t="s">
        <v>2229</v>
      </c>
      <c r="D879" s="41">
        <v>22062</v>
      </c>
      <c r="E879" s="40">
        <v>2914215</v>
      </c>
      <c r="F879" s="40">
        <f t="shared" ca="1" si="81"/>
        <v>66</v>
      </c>
      <c r="G879" s="40" t="s">
        <v>2230</v>
      </c>
      <c r="H879" s="40"/>
      <c r="I879" s="39"/>
      <c r="J879" s="40"/>
      <c r="K879" s="40"/>
      <c r="L879" s="55"/>
      <c r="M879" s="1"/>
      <c r="N879" s="1"/>
      <c r="O879" s="1"/>
      <c r="P879" s="5"/>
      <c r="Q879" s="5"/>
      <c r="R879" s="1"/>
    </row>
    <row r="880" spans="1:16384" customFormat="1" x14ac:dyDescent="0.3">
      <c r="A880" s="411" t="s">
        <v>2106</v>
      </c>
      <c r="B880" s="119">
        <v>45204</v>
      </c>
      <c r="C880" s="36" t="s">
        <v>2107</v>
      </c>
      <c r="D880" s="37">
        <v>24834</v>
      </c>
      <c r="E880" s="36">
        <v>1475710</v>
      </c>
      <c r="F880" s="36">
        <f t="shared" ca="1" si="81"/>
        <v>59</v>
      </c>
      <c r="G880" s="36" t="s">
        <v>2108</v>
      </c>
      <c r="H880" s="36"/>
      <c r="I880" s="35" t="s">
        <v>2231</v>
      </c>
      <c r="J880" s="36"/>
      <c r="K880" s="36"/>
      <c r="L880" s="8"/>
      <c r="M880" s="8"/>
      <c r="N880" s="8"/>
      <c r="O880" s="8"/>
      <c r="P880" s="9"/>
      <c r="Q880" s="3"/>
      <c r="R880" s="8"/>
    </row>
    <row r="881" spans="1:18" x14ac:dyDescent="0.3">
      <c r="A881" s="412"/>
      <c r="B881" s="120"/>
      <c r="C881" s="36" t="s">
        <v>2110</v>
      </c>
      <c r="D881" s="37">
        <v>26481</v>
      </c>
      <c r="E881" s="36">
        <v>2411621</v>
      </c>
      <c r="F881" s="36">
        <f t="shared" ca="1" si="81"/>
        <v>54</v>
      </c>
      <c r="G881" s="36" t="s">
        <v>2111</v>
      </c>
      <c r="H881" s="36"/>
      <c r="I881" s="35"/>
      <c r="J881" s="36"/>
      <c r="K881" s="36"/>
      <c r="L881" s="8"/>
      <c r="M881" s="8"/>
      <c r="N881" s="8"/>
      <c r="O881" s="8"/>
      <c r="P881" s="9"/>
      <c r="Q881" s="3"/>
      <c r="R881" s="8"/>
    </row>
    <row r="882" spans="1:18" x14ac:dyDescent="0.3">
      <c r="A882" s="412"/>
      <c r="B882" s="120"/>
      <c r="C882" s="36" t="s">
        <v>2112</v>
      </c>
      <c r="D882" s="37">
        <v>35342</v>
      </c>
      <c r="E882" s="36">
        <v>1419317</v>
      </c>
      <c r="F882" s="36">
        <f t="shared" ca="1" si="81"/>
        <v>30</v>
      </c>
      <c r="G882" s="36"/>
      <c r="H882" s="36"/>
      <c r="I882" s="35"/>
      <c r="J882" s="36"/>
      <c r="K882" s="36"/>
      <c r="L882" s="8"/>
      <c r="M882" s="8"/>
      <c r="N882" s="8"/>
      <c r="O882" s="8"/>
      <c r="P882" s="9"/>
      <c r="Q882" s="3"/>
      <c r="R882" s="8"/>
    </row>
    <row r="883" spans="1:18" x14ac:dyDescent="0.3">
      <c r="A883" s="413"/>
      <c r="B883" s="120"/>
      <c r="C883" s="36" t="s">
        <v>2113</v>
      </c>
      <c r="D883" s="37">
        <v>35839</v>
      </c>
      <c r="E883" s="36">
        <v>2419310</v>
      </c>
      <c r="F883" s="36">
        <f t="shared" ca="1" si="81"/>
        <v>28</v>
      </c>
      <c r="G883" s="36" t="s">
        <v>2114</v>
      </c>
      <c r="H883" s="36"/>
      <c r="I883" s="35"/>
      <c r="J883" s="36"/>
      <c r="K883" s="36"/>
      <c r="L883" s="8"/>
      <c r="M883" s="8"/>
      <c r="N883" s="8"/>
      <c r="O883" s="8"/>
      <c r="P883" s="9"/>
      <c r="Q883" s="3"/>
      <c r="R883" s="8"/>
    </row>
    <row r="884" spans="1:18" x14ac:dyDescent="0.3">
      <c r="A884" s="183" t="s">
        <v>1883</v>
      </c>
      <c r="B884" s="112">
        <v>45207</v>
      </c>
      <c r="C884" s="30" t="s">
        <v>22</v>
      </c>
      <c r="D884" s="31">
        <v>20890</v>
      </c>
      <c r="E884" s="30">
        <v>1472014</v>
      </c>
      <c r="F884" s="30">
        <f t="shared" ref="F884:F902" ca="1" si="82">YEAR(TODAY())-YEAR(D884)</f>
        <v>69</v>
      </c>
      <c r="G884" s="30" t="s">
        <v>1884</v>
      </c>
      <c r="H884" s="30"/>
      <c r="I884" s="29" t="s">
        <v>2232</v>
      </c>
      <c r="J884" s="30" t="s">
        <v>2233</v>
      </c>
      <c r="K884" s="30" t="s">
        <v>432</v>
      </c>
      <c r="L884" s="8"/>
      <c r="M884" s="8"/>
      <c r="N884" s="8"/>
      <c r="O884" s="8"/>
      <c r="P884" s="104"/>
      <c r="Q884" s="5"/>
      <c r="R884" s="8"/>
    </row>
    <row r="885" spans="1:18" x14ac:dyDescent="0.3">
      <c r="A885" s="187" t="s">
        <v>1808</v>
      </c>
      <c r="B885" s="118">
        <v>45207</v>
      </c>
      <c r="C885" s="207" t="s">
        <v>2035</v>
      </c>
      <c r="D885" s="208">
        <v>25162</v>
      </c>
      <c r="E885" s="207">
        <v>1388315</v>
      </c>
      <c r="F885" s="207">
        <f t="shared" ca="1" si="82"/>
        <v>58</v>
      </c>
      <c r="G885" s="207" t="s">
        <v>1810</v>
      </c>
      <c r="H885" s="207"/>
      <c r="I885" s="209" t="s">
        <v>2234</v>
      </c>
      <c r="J885" s="207" t="s">
        <v>2235</v>
      </c>
      <c r="K885" s="207" t="s">
        <v>432</v>
      </c>
      <c r="L885" s="8"/>
      <c r="M885" s="8"/>
      <c r="N885" s="8"/>
      <c r="O885" s="8"/>
      <c r="P885" s="104"/>
      <c r="Q885" s="5"/>
      <c r="R885" s="8"/>
    </row>
    <row r="886" spans="1:18" x14ac:dyDescent="0.3">
      <c r="A886" s="183" t="s">
        <v>1883</v>
      </c>
      <c r="B886" s="112">
        <v>44842</v>
      </c>
      <c r="C886" s="30" t="s">
        <v>22</v>
      </c>
      <c r="D886" s="31">
        <v>20890</v>
      </c>
      <c r="E886" s="30">
        <v>1472014</v>
      </c>
      <c r="F886" s="30">
        <f t="shared" ref="F886" ca="1" si="83">YEAR(TODAY())-YEAR(D886)</f>
        <v>69</v>
      </c>
      <c r="G886" s="30" t="s">
        <v>1884</v>
      </c>
      <c r="H886" s="30"/>
      <c r="I886" s="29" t="s">
        <v>2236</v>
      </c>
      <c r="J886" s="30" t="s">
        <v>2233</v>
      </c>
      <c r="K886" s="30" t="s">
        <v>432</v>
      </c>
      <c r="L886" s="8"/>
      <c r="M886" s="8"/>
      <c r="N886" s="8"/>
      <c r="O886" s="8"/>
      <c r="P886" s="104"/>
      <c r="Q886" s="5"/>
      <c r="R886" s="8"/>
    </row>
    <row r="887" spans="1:18" x14ac:dyDescent="0.3">
      <c r="A887" s="187" t="s">
        <v>1633</v>
      </c>
      <c r="B887" s="118">
        <v>44479</v>
      </c>
      <c r="C887" s="40" t="s">
        <v>184</v>
      </c>
      <c r="D887" s="41">
        <v>28870</v>
      </c>
      <c r="E887" s="40">
        <v>2804315</v>
      </c>
      <c r="F887" s="54">
        <f t="shared" ca="1" si="82"/>
        <v>47</v>
      </c>
      <c r="G887" s="40" t="s">
        <v>1636</v>
      </c>
      <c r="H887" s="54"/>
      <c r="I887" s="232" t="s">
        <v>432</v>
      </c>
      <c r="J887" s="54" t="s">
        <v>2237</v>
      </c>
      <c r="K887" s="54" t="s">
        <v>432</v>
      </c>
      <c r="L887" s="8"/>
      <c r="M887" s="8"/>
      <c r="N887" s="8"/>
      <c r="O887" s="8"/>
      <c r="P887" s="104"/>
      <c r="Q887" s="5"/>
      <c r="R887" s="8"/>
    </row>
    <row r="888" spans="1:18" x14ac:dyDescent="0.3">
      <c r="A888" s="1" t="s">
        <v>876</v>
      </c>
      <c r="B888" s="115">
        <v>45211</v>
      </c>
      <c r="C888" s="1" t="s">
        <v>168</v>
      </c>
      <c r="D888" s="2">
        <v>29699</v>
      </c>
      <c r="E888" s="1">
        <v>1790212</v>
      </c>
      <c r="F888" s="1">
        <f ca="1">YEAR(TODAY())-YEAR(D888)</f>
        <v>45</v>
      </c>
      <c r="G888" s="1" t="s">
        <v>877</v>
      </c>
      <c r="H888" s="1"/>
      <c r="I888" s="8" t="s">
        <v>2238</v>
      </c>
      <c r="J888" s="1" t="s">
        <v>879</v>
      </c>
      <c r="K888" s="1" t="s">
        <v>432</v>
      </c>
      <c r="L888" s="8"/>
      <c r="M888" s="8"/>
      <c r="N888" s="8"/>
      <c r="O888" s="8"/>
      <c r="P888" s="104"/>
      <c r="Q888" s="5"/>
      <c r="R888" s="8"/>
    </row>
    <row r="889" spans="1:18" x14ac:dyDescent="0.3">
      <c r="A889" s="398" t="s">
        <v>2239</v>
      </c>
      <c r="B889" s="117">
        <v>45212</v>
      </c>
      <c r="C889" s="27" t="s">
        <v>609</v>
      </c>
      <c r="D889" s="28">
        <v>22327</v>
      </c>
      <c r="E889" s="27">
        <v>1011815</v>
      </c>
      <c r="F889" s="27">
        <f ca="1">YEAR(TODAY())-YEAR(D889)</f>
        <v>65</v>
      </c>
      <c r="G889" s="27" t="s">
        <v>2240</v>
      </c>
      <c r="H889" s="27"/>
      <c r="I889" s="26" t="s">
        <v>2241</v>
      </c>
      <c r="J889" s="27" t="s">
        <v>2242</v>
      </c>
      <c r="K889" s="27" t="s">
        <v>432</v>
      </c>
      <c r="L889" s="8"/>
      <c r="M889" s="8"/>
      <c r="N889" s="8"/>
      <c r="O889" s="8"/>
      <c r="P889" s="104"/>
      <c r="Q889" s="5"/>
      <c r="R889" s="8"/>
    </row>
    <row r="890" spans="1:18" x14ac:dyDescent="0.3">
      <c r="A890" s="419"/>
      <c r="B890" s="117"/>
      <c r="C890" s="27" t="s">
        <v>2243</v>
      </c>
      <c r="D890" s="28">
        <v>22060</v>
      </c>
      <c r="E890" s="27">
        <v>2408711</v>
      </c>
      <c r="F890" s="27">
        <f ca="1">YEAR(TODAY())-YEAR(D890)</f>
        <v>66</v>
      </c>
      <c r="G890" s="27" t="s">
        <v>2244</v>
      </c>
      <c r="H890" s="27"/>
      <c r="I890" s="26"/>
      <c r="J890" s="27" t="s">
        <v>432</v>
      </c>
      <c r="K890" s="27" t="s">
        <v>432</v>
      </c>
      <c r="L890" s="8"/>
      <c r="M890" s="8"/>
      <c r="N890" s="8"/>
      <c r="O890" s="8"/>
      <c r="P890" s="104"/>
      <c r="Q890" s="5"/>
      <c r="R890" s="8"/>
    </row>
    <row r="891" spans="1:18" x14ac:dyDescent="0.3">
      <c r="A891" s="390" t="s">
        <v>1867</v>
      </c>
      <c r="B891" s="119">
        <v>44483</v>
      </c>
      <c r="C891" s="36" t="s">
        <v>342</v>
      </c>
      <c r="D891" s="136">
        <v>30367</v>
      </c>
      <c r="E891" s="135">
        <v>1114218</v>
      </c>
      <c r="F891" s="135">
        <f t="shared" ca="1" si="82"/>
        <v>43</v>
      </c>
      <c r="G891" s="135" t="s">
        <v>2245</v>
      </c>
      <c r="H891" s="135"/>
      <c r="I891" s="156" t="s">
        <v>2246</v>
      </c>
      <c r="J891" s="135" t="s">
        <v>2247</v>
      </c>
      <c r="K891" s="135" t="s">
        <v>432</v>
      </c>
      <c r="L891" s="8"/>
      <c r="M891" s="8"/>
      <c r="N891" s="8"/>
      <c r="O891" s="8"/>
      <c r="P891" s="104"/>
      <c r="Q891" s="5"/>
      <c r="R891" s="8"/>
    </row>
    <row r="892" spans="1:18" x14ac:dyDescent="0.3">
      <c r="A892" s="412"/>
      <c r="B892" s="120"/>
      <c r="C892" s="36" t="s">
        <v>343</v>
      </c>
      <c r="D892" s="136">
        <v>31978</v>
      </c>
      <c r="E892" s="135">
        <v>2411712</v>
      </c>
      <c r="F892" s="135">
        <f t="shared" ca="1" si="82"/>
        <v>39</v>
      </c>
      <c r="G892" s="135" t="s">
        <v>2248</v>
      </c>
      <c r="H892" s="135"/>
      <c r="I892" s="156"/>
      <c r="J892" s="135" t="s">
        <v>432</v>
      </c>
      <c r="K892" s="135" t="s">
        <v>432</v>
      </c>
      <c r="L892" s="8"/>
      <c r="M892" s="8"/>
      <c r="N892" s="8"/>
      <c r="O892" s="8"/>
      <c r="P892" s="104"/>
      <c r="Q892" s="5"/>
      <c r="R892" s="8"/>
    </row>
    <row r="893" spans="1:18" x14ac:dyDescent="0.3">
      <c r="A893" s="412"/>
      <c r="B893" s="120"/>
      <c r="C893" s="36" t="s">
        <v>344</v>
      </c>
      <c r="D893" s="136">
        <v>43010</v>
      </c>
      <c r="E893" s="135">
        <v>3475915</v>
      </c>
      <c r="F893" s="135">
        <f t="shared" ca="1" si="82"/>
        <v>9</v>
      </c>
      <c r="G893" s="135"/>
      <c r="H893" s="135"/>
      <c r="I893" s="156"/>
      <c r="J893" s="135"/>
      <c r="K893" s="135"/>
      <c r="L893" s="8"/>
      <c r="M893" s="8"/>
      <c r="N893" s="8"/>
      <c r="O893" s="8"/>
      <c r="P893" s="104"/>
      <c r="Q893" s="5"/>
      <c r="R893" s="8"/>
    </row>
    <row r="894" spans="1:18" s="76" customFormat="1" x14ac:dyDescent="0.3">
      <c r="A894" s="413"/>
      <c r="B894" s="120"/>
      <c r="C894" s="36" t="s">
        <v>345</v>
      </c>
      <c r="D894" s="136">
        <v>43010</v>
      </c>
      <c r="E894" s="135">
        <v>3475921</v>
      </c>
      <c r="F894" s="135">
        <f t="shared" ca="1" si="82"/>
        <v>9</v>
      </c>
      <c r="G894" s="135"/>
      <c r="H894" s="135"/>
      <c r="I894" s="156"/>
      <c r="J894" s="135"/>
      <c r="K894" s="135"/>
      <c r="L894" s="8"/>
      <c r="M894" s="8"/>
      <c r="N894" s="8"/>
      <c r="O894" s="8"/>
      <c r="P894" s="104"/>
      <c r="Q894" s="5"/>
      <c r="R894" s="8"/>
    </row>
    <row r="895" spans="1:18" s="76" customFormat="1" x14ac:dyDescent="0.3">
      <c r="A895" s="420" t="s">
        <v>1711</v>
      </c>
      <c r="B895" s="117">
        <v>44484</v>
      </c>
      <c r="C895" s="27" t="s">
        <v>346</v>
      </c>
      <c r="D895" s="28">
        <v>29504</v>
      </c>
      <c r="E895" s="27">
        <v>1094712</v>
      </c>
      <c r="F895" s="27">
        <f t="shared" ca="1" si="82"/>
        <v>46</v>
      </c>
      <c r="G895" s="27" t="s">
        <v>2249</v>
      </c>
      <c r="H895" s="27"/>
      <c r="I895" s="26" t="s">
        <v>2250</v>
      </c>
      <c r="J895" s="27" t="s">
        <v>2251</v>
      </c>
      <c r="K895" s="27" t="s">
        <v>432</v>
      </c>
      <c r="L895" s="8"/>
      <c r="M895" s="8"/>
      <c r="N895" s="8"/>
      <c r="O895" s="8"/>
      <c r="P895" s="104"/>
      <c r="Q895" s="5"/>
      <c r="R895" s="8"/>
    </row>
    <row r="896" spans="1:18" s="76" customFormat="1" x14ac:dyDescent="0.3">
      <c r="A896" s="420"/>
      <c r="B896" s="121"/>
      <c r="C896" s="27" t="s">
        <v>347</v>
      </c>
      <c r="D896" s="28">
        <v>29568</v>
      </c>
      <c r="E896" s="27">
        <v>2102016</v>
      </c>
      <c r="F896" s="27">
        <f t="shared" ca="1" si="82"/>
        <v>46</v>
      </c>
      <c r="G896" s="27" t="s">
        <v>2252</v>
      </c>
      <c r="H896" s="27"/>
      <c r="I896" s="26"/>
      <c r="J896" s="27" t="s">
        <v>432</v>
      </c>
      <c r="K896" s="27" t="s">
        <v>432</v>
      </c>
      <c r="L896" s="8"/>
      <c r="M896" s="8"/>
      <c r="N896" s="8"/>
      <c r="O896" s="8"/>
      <c r="P896" s="104"/>
      <c r="Q896" s="5"/>
      <c r="R896" s="8"/>
    </row>
    <row r="897" spans="1:18" s="76" customFormat="1" x14ac:dyDescent="0.3">
      <c r="A897" s="420"/>
      <c r="B897" s="121"/>
      <c r="C897" s="27" t="s">
        <v>348</v>
      </c>
      <c r="D897" s="28">
        <v>41918</v>
      </c>
      <c r="E897" s="27">
        <v>3111428</v>
      </c>
      <c r="F897" s="27">
        <f t="shared" ca="1" si="82"/>
        <v>12</v>
      </c>
      <c r="G897" s="27"/>
      <c r="H897" s="27"/>
      <c r="I897" s="26"/>
      <c r="J897" s="27"/>
      <c r="K897" s="27"/>
      <c r="L897" s="8"/>
      <c r="M897" s="8"/>
      <c r="N897" s="8"/>
      <c r="O897" s="8"/>
      <c r="P897" s="104"/>
      <c r="Q897" s="5"/>
      <c r="R897" s="8"/>
    </row>
    <row r="898" spans="1:18" x14ac:dyDescent="0.3">
      <c r="A898" s="240" t="s">
        <v>1845</v>
      </c>
      <c r="B898" s="112">
        <v>45214</v>
      </c>
      <c r="C898" s="30" t="s">
        <v>672</v>
      </c>
      <c r="D898" s="31">
        <v>35331</v>
      </c>
      <c r="E898" s="30">
        <v>1478915</v>
      </c>
      <c r="F898" s="30">
        <f t="shared" ca="1" si="82"/>
        <v>30</v>
      </c>
      <c r="G898" s="30" t="s">
        <v>1849</v>
      </c>
      <c r="H898" s="30"/>
      <c r="I898" s="29" t="s">
        <v>2253</v>
      </c>
      <c r="J898" s="30" t="s">
        <v>2254</v>
      </c>
      <c r="K898" s="30"/>
      <c r="L898" s="8"/>
      <c r="M898" s="8"/>
      <c r="N898" s="8"/>
      <c r="O898" s="8"/>
      <c r="P898" s="104"/>
      <c r="Q898" s="5"/>
      <c r="R898" s="8"/>
    </row>
    <row r="899" spans="1:18" x14ac:dyDescent="0.3">
      <c r="A899" s="439" t="s">
        <v>880</v>
      </c>
      <c r="B899" s="118">
        <v>45215</v>
      </c>
      <c r="C899" s="40" t="s">
        <v>527</v>
      </c>
      <c r="D899" s="41">
        <v>29797</v>
      </c>
      <c r="E899" s="40">
        <v>1795817</v>
      </c>
      <c r="F899" s="40">
        <f t="shared" ca="1" si="82"/>
        <v>45</v>
      </c>
      <c r="G899" s="40" t="s">
        <v>2255</v>
      </c>
      <c r="H899" s="40"/>
      <c r="I899" s="39"/>
      <c r="J899" s="40"/>
      <c r="K899" s="40"/>
      <c r="L899" s="8"/>
      <c r="M899" s="8"/>
      <c r="N899" s="8"/>
      <c r="O899" s="8"/>
      <c r="P899" s="104"/>
      <c r="Q899" s="5"/>
      <c r="R899" s="8"/>
    </row>
    <row r="900" spans="1:18" x14ac:dyDescent="0.3">
      <c r="A900" s="440"/>
      <c r="B900" s="124"/>
      <c r="C900" s="40" t="s">
        <v>528</v>
      </c>
      <c r="D900" s="41">
        <v>29866</v>
      </c>
      <c r="E900" s="40">
        <v>2768315</v>
      </c>
      <c r="F900" s="40">
        <f t="shared" ca="1" si="82"/>
        <v>45</v>
      </c>
      <c r="G900" s="40" t="s">
        <v>2256</v>
      </c>
      <c r="H900" s="40"/>
      <c r="I900" s="39" t="s">
        <v>2257</v>
      </c>
      <c r="J900" s="40"/>
      <c r="K900" s="40"/>
      <c r="L900" s="8"/>
      <c r="M900" s="8"/>
      <c r="N900" s="8"/>
      <c r="O900" s="8"/>
      <c r="P900" s="104"/>
      <c r="Q900" s="5"/>
      <c r="R900" s="8"/>
    </row>
    <row r="901" spans="1:18" x14ac:dyDescent="0.3">
      <c r="A901" s="440"/>
      <c r="B901" s="124"/>
      <c r="C901" s="40" t="s">
        <v>529</v>
      </c>
      <c r="D901" s="41">
        <v>40830</v>
      </c>
      <c r="E901" s="40">
        <v>3412036</v>
      </c>
      <c r="F901" s="40">
        <f t="shared" ca="1" si="82"/>
        <v>15</v>
      </c>
      <c r="G901" s="40"/>
      <c r="H901" s="40"/>
      <c r="I901" s="39"/>
      <c r="J901" s="40"/>
      <c r="K901" s="40"/>
      <c r="L901" s="8"/>
      <c r="M901" s="8"/>
      <c r="N901" s="8"/>
      <c r="O901" s="8"/>
      <c r="P901" s="104"/>
      <c r="Q901" s="5"/>
      <c r="R901" s="8"/>
    </row>
    <row r="902" spans="1:18" x14ac:dyDescent="0.3">
      <c r="A902" s="440"/>
      <c r="B902" s="124"/>
      <c r="C902" s="40" t="s">
        <v>530</v>
      </c>
      <c r="D902" s="41">
        <v>42119</v>
      </c>
      <c r="E902" s="40">
        <v>3412018</v>
      </c>
      <c r="F902" s="40">
        <f t="shared" ca="1" si="82"/>
        <v>11</v>
      </c>
      <c r="G902" s="40"/>
      <c r="H902" s="40"/>
      <c r="I902" s="39"/>
      <c r="J902" s="40"/>
      <c r="K902" s="40"/>
      <c r="L902" s="8"/>
      <c r="M902" s="8"/>
      <c r="N902" s="8"/>
      <c r="O902" s="8"/>
      <c r="P902" s="104"/>
      <c r="Q902" s="5"/>
      <c r="R902" s="8"/>
    </row>
    <row r="903" spans="1:18" x14ac:dyDescent="0.3">
      <c r="A903" s="422" t="s">
        <v>2258</v>
      </c>
      <c r="B903" s="115">
        <v>44850</v>
      </c>
      <c r="C903" s="1" t="s">
        <v>349</v>
      </c>
      <c r="D903" s="2">
        <v>28471</v>
      </c>
      <c r="E903" s="1">
        <v>1823617</v>
      </c>
      <c r="F903" s="1">
        <f t="shared" ref="F903:F932" ca="1" si="84">YEAR(TODAY())-YEAR(D903)</f>
        <v>49</v>
      </c>
      <c r="G903" s="1" t="s">
        <v>2259</v>
      </c>
      <c r="H903" s="1"/>
      <c r="I903" s="8" t="s">
        <v>2260</v>
      </c>
      <c r="J903" s="1"/>
      <c r="K903" s="1"/>
      <c r="L903" s="8"/>
      <c r="M903" s="8"/>
      <c r="N903" s="8"/>
      <c r="O903" s="8"/>
      <c r="P903" s="104"/>
      <c r="Q903" s="5"/>
      <c r="R903" s="8"/>
    </row>
    <row r="904" spans="1:18" x14ac:dyDescent="0.3">
      <c r="A904" s="422"/>
      <c r="B904" s="109"/>
      <c r="C904" s="1" t="s">
        <v>350</v>
      </c>
      <c r="D904" s="2">
        <v>29250</v>
      </c>
      <c r="E904" s="1">
        <v>2634918</v>
      </c>
      <c r="F904" s="1">
        <f t="shared" ca="1" si="84"/>
        <v>46</v>
      </c>
      <c r="G904" s="1"/>
      <c r="H904" s="1"/>
      <c r="I904" s="8"/>
      <c r="J904" s="1"/>
      <c r="K904" s="1"/>
      <c r="L904" s="8"/>
      <c r="M904" s="8"/>
      <c r="N904" s="8"/>
      <c r="O904" s="8"/>
      <c r="P904" s="104"/>
      <c r="Q904" s="5"/>
      <c r="R904" s="8"/>
    </row>
    <row r="905" spans="1:18" x14ac:dyDescent="0.3">
      <c r="A905" s="422"/>
      <c r="B905" s="109"/>
      <c r="C905" s="1" t="s">
        <v>351</v>
      </c>
      <c r="D905" s="2">
        <v>39140</v>
      </c>
      <c r="E905" s="1">
        <v>3024817</v>
      </c>
      <c r="F905" s="1">
        <f t="shared" ca="1" si="84"/>
        <v>19</v>
      </c>
      <c r="G905" s="1"/>
      <c r="H905" s="1"/>
      <c r="I905" s="8"/>
      <c r="J905" s="1"/>
      <c r="K905" s="1"/>
      <c r="L905" s="8"/>
      <c r="M905" s="8"/>
      <c r="N905" s="8"/>
      <c r="O905" s="8"/>
      <c r="P905" s="104"/>
      <c r="Q905" s="5"/>
      <c r="R905" s="8"/>
    </row>
    <row r="906" spans="1:18" x14ac:dyDescent="0.3">
      <c r="A906" s="422"/>
      <c r="B906" s="109"/>
      <c r="C906" s="1" t="s">
        <v>352</v>
      </c>
      <c r="D906" s="2">
        <v>41996</v>
      </c>
      <c r="E906" s="1">
        <v>3030013</v>
      </c>
      <c r="F906" s="1">
        <f t="shared" ca="1" si="84"/>
        <v>12</v>
      </c>
      <c r="G906" s="1"/>
      <c r="H906" s="1"/>
      <c r="I906" s="8"/>
      <c r="J906" s="1"/>
      <c r="K906" s="1"/>
      <c r="L906" s="8"/>
      <c r="M906" s="8"/>
      <c r="N906" s="8"/>
      <c r="O906" s="8"/>
      <c r="P906" s="104"/>
      <c r="Q906" s="5"/>
      <c r="R906" s="8"/>
    </row>
    <row r="907" spans="1:18" x14ac:dyDescent="0.3">
      <c r="A907" s="455" t="s">
        <v>2261</v>
      </c>
      <c r="B907" s="122">
        <v>45217</v>
      </c>
      <c r="C907" s="18" t="s">
        <v>659</v>
      </c>
      <c r="D907" s="19">
        <v>30078</v>
      </c>
      <c r="E907" s="18">
        <v>1852828</v>
      </c>
      <c r="F907" s="18">
        <f ca="1">YEAR(TODAY())-YEAR(D907)</f>
        <v>44</v>
      </c>
      <c r="G907" s="18"/>
      <c r="H907" s="18"/>
      <c r="I907" s="17" t="s">
        <v>2262</v>
      </c>
      <c r="J907" s="18"/>
      <c r="K907" s="18"/>
      <c r="L907" s="8"/>
      <c r="M907" s="8"/>
      <c r="N907" s="8"/>
      <c r="O907" s="8"/>
      <c r="P907" s="104"/>
      <c r="Q907" s="5"/>
      <c r="R907" s="8"/>
    </row>
    <row r="908" spans="1:18" x14ac:dyDescent="0.3">
      <c r="A908" s="469"/>
      <c r="B908" s="123"/>
      <c r="C908" s="18" t="s">
        <v>658</v>
      </c>
      <c r="D908" s="19">
        <v>32445</v>
      </c>
      <c r="E908" s="18">
        <v>2095814</v>
      </c>
      <c r="F908" s="18">
        <f ca="1">YEAR(TODAY())-YEAR(D908)</f>
        <v>38</v>
      </c>
      <c r="G908" s="18" t="s">
        <v>2263</v>
      </c>
      <c r="H908" s="18"/>
      <c r="I908" s="17"/>
      <c r="J908" s="18"/>
      <c r="K908" s="18"/>
      <c r="L908" s="8"/>
      <c r="M908" s="8"/>
      <c r="N908" s="8"/>
      <c r="O908" s="8"/>
      <c r="P908" s="104"/>
      <c r="Q908" s="5"/>
      <c r="R908" s="8"/>
    </row>
    <row r="909" spans="1:18" x14ac:dyDescent="0.3">
      <c r="A909" s="456"/>
      <c r="B909" s="123"/>
      <c r="C909" s="18" t="s">
        <v>660</v>
      </c>
      <c r="D909" s="19">
        <v>41696</v>
      </c>
      <c r="E909" s="18">
        <v>3853416</v>
      </c>
      <c r="F909" s="18">
        <f t="shared" ref="F909:F911" ca="1" si="85">YEAR(TODAY())-YEAR(D909)</f>
        <v>12</v>
      </c>
      <c r="G909" s="18"/>
      <c r="H909" s="18"/>
      <c r="I909" s="17"/>
      <c r="J909" s="18"/>
      <c r="K909" s="18"/>
      <c r="L909" s="8"/>
      <c r="M909" s="8"/>
      <c r="N909" s="8"/>
      <c r="O909" s="8"/>
      <c r="P909" s="104"/>
      <c r="Q909" s="5"/>
      <c r="R909" s="8"/>
    </row>
    <row r="910" spans="1:18" x14ac:dyDescent="0.3">
      <c r="A910" s="457"/>
      <c r="B910" s="123"/>
      <c r="C910" s="18" t="s">
        <v>661</v>
      </c>
      <c r="D910" s="19">
        <v>42137</v>
      </c>
      <c r="E910" s="18">
        <v>4853417</v>
      </c>
      <c r="F910" s="18">
        <f t="shared" ca="1" si="85"/>
        <v>11</v>
      </c>
      <c r="G910" s="18"/>
      <c r="H910" s="18"/>
      <c r="I910" s="17"/>
      <c r="J910" s="18"/>
      <c r="K910" s="18"/>
      <c r="L910" s="8"/>
      <c r="M910" s="8"/>
      <c r="N910" s="8"/>
      <c r="O910" s="8"/>
      <c r="P910" s="104"/>
      <c r="Q910" s="5"/>
      <c r="R910" s="8"/>
    </row>
    <row r="911" spans="1:18" x14ac:dyDescent="0.3">
      <c r="A911" s="398" t="s">
        <v>1939</v>
      </c>
      <c r="B911" s="117">
        <v>45217</v>
      </c>
      <c r="C911" s="27" t="s">
        <v>1942</v>
      </c>
      <c r="D911" s="28">
        <v>31236</v>
      </c>
      <c r="E911" s="27">
        <v>1897113</v>
      </c>
      <c r="F911" s="27">
        <f t="shared" ca="1" si="85"/>
        <v>41</v>
      </c>
      <c r="G911" s="27" t="s">
        <v>1943</v>
      </c>
      <c r="H911" s="27"/>
      <c r="I911" s="26" t="s">
        <v>2264</v>
      </c>
      <c r="J911" s="27"/>
      <c r="K911" s="27"/>
      <c r="L911" s="8"/>
      <c r="M911" s="8"/>
      <c r="N911" s="8"/>
      <c r="O911" s="8"/>
      <c r="P911" s="104"/>
      <c r="Q911" s="5"/>
      <c r="R911" s="8"/>
    </row>
    <row r="912" spans="1:18" x14ac:dyDescent="0.3">
      <c r="A912" s="399"/>
      <c r="B912" s="121"/>
      <c r="C912" s="27" t="s">
        <v>662</v>
      </c>
      <c r="D912" s="28">
        <v>20716</v>
      </c>
      <c r="E912" s="27">
        <v>2897317</v>
      </c>
      <c r="F912" s="27">
        <f ca="1">YEAR(TODAY())-YEAR(D912)</f>
        <v>70</v>
      </c>
      <c r="G912" s="27" t="s">
        <v>1944</v>
      </c>
      <c r="H912" s="27"/>
      <c r="I912" s="26"/>
      <c r="J912" s="27"/>
      <c r="K912" s="27"/>
      <c r="L912" s="8"/>
      <c r="M912" s="8"/>
      <c r="N912" s="8"/>
      <c r="O912" s="8"/>
      <c r="P912" s="104"/>
      <c r="Q912" s="5"/>
      <c r="R912" s="8"/>
    </row>
    <row r="913" spans="1:96" x14ac:dyDescent="0.3">
      <c r="A913" s="399"/>
      <c r="B913" s="121"/>
      <c r="C913" s="27" t="s">
        <v>663</v>
      </c>
      <c r="D913" s="28">
        <v>18769</v>
      </c>
      <c r="E913" s="27">
        <v>1897112</v>
      </c>
      <c r="F913" s="27">
        <f t="shared" ref="F913:F919" ca="1" si="86">YEAR(TODAY())-YEAR(D913)</f>
        <v>75</v>
      </c>
      <c r="G913" s="27" t="s">
        <v>1940</v>
      </c>
      <c r="H913" s="27"/>
      <c r="I913" s="26"/>
      <c r="J913" s="27"/>
      <c r="K913" s="27"/>
      <c r="L913" s="8"/>
      <c r="M913" s="8"/>
      <c r="N913" s="8"/>
      <c r="O913" s="8"/>
      <c r="P913" s="104"/>
      <c r="Q913" s="5"/>
      <c r="R913" s="8"/>
    </row>
    <row r="914" spans="1:96" x14ac:dyDescent="0.3">
      <c r="A914" s="408" t="s">
        <v>2265</v>
      </c>
      <c r="B914" s="112">
        <v>45218</v>
      </c>
      <c r="C914" s="30" t="s">
        <v>2266</v>
      </c>
      <c r="D914" s="31">
        <v>32515</v>
      </c>
      <c r="E914" s="30">
        <v>2820410</v>
      </c>
      <c r="F914" s="30">
        <f t="shared" ca="1" si="86"/>
        <v>37</v>
      </c>
      <c r="G914" s="30" t="s">
        <v>2267</v>
      </c>
      <c r="H914" s="30"/>
      <c r="I914" s="29" t="s">
        <v>2268</v>
      </c>
      <c r="J914" s="30"/>
      <c r="K914" s="30"/>
      <c r="L914" s="8"/>
      <c r="M914" s="8"/>
      <c r="N914" s="8"/>
      <c r="O914" s="8"/>
      <c r="P914" s="104"/>
      <c r="Q914" s="5"/>
      <c r="R914" s="8"/>
    </row>
    <row r="915" spans="1:96" x14ac:dyDescent="0.3">
      <c r="A915" s="426"/>
      <c r="B915" s="113"/>
      <c r="C915" s="30" t="s">
        <v>2269</v>
      </c>
      <c r="D915" s="31">
        <v>32047</v>
      </c>
      <c r="E915" s="30">
        <v>1001200</v>
      </c>
      <c r="F915" s="30">
        <f t="shared" ca="1" si="86"/>
        <v>39</v>
      </c>
      <c r="G915" s="30"/>
      <c r="H915" s="30"/>
      <c r="I915" s="29"/>
      <c r="J915" s="30"/>
      <c r="K915" s="30"/>
      <c r="L915" s="8"/>
      <c r="M915" s="8"/>
      <c r="N915" s="8"/>
      <c r="O915" s="8"/>
      <c r="P915" s="104"/>
      <c r="Q915" s="5"/>
      <c r="R915" s="8"/>
    </row>
    <row r="916" spans="1:96" x14ac:dyDescent="0.3">
      <c r="A916" s="426"/>
      <c r="B916" s="113"/>
      <c r="C916" s="30" t="s">
        <v>2270</v>
      </c>
      <c r="D916" s="31"/>
      <c r="E916" s="30"/>
      <c r="F916" s="30">
        <f t="shared" ca="1" si="86"/>
        <v>126</v>
      </c>
      <c r="G916" s="30"/>
      <c r="H916" s="30"/>
      <c r="I916" s="29"/>
      <c r="J916" s="30"/>
      <c r="K916" s="30"/>
      <c r="L916" s="8"/>
      <c r="M916" s="8"/>
      <c r="N916" s="8"/>
      <c r="O916" s="8"/>
      <c r="P916" s="104"/>
      <c r="Q916" s="5"/>
      <c r="R916" s="8"/>
    </row>
    <row r="917" spans="1:96" x14ac:dyDescent="0.3">
      <c r="A917" s="426"/>
      <c r="B917" s="113"/>
      <c r="C917" s="30" t="s">
        <v>2271</v>
      </c>
      <c r="D917" s="31">
        <v>44154</v>
      </c>
      <c r="E917" s="30">
        <v>4399810</v>
      </c>
      <c r="F917" s="30">
        <f t="shared" ca="1" si="86"/>
        <v>6</v>
      </c>
      <c r="G917" s="30"/>
      <c r="H917" s="30"/>
      <c r="I917" s="29"/>
      <c r="J917" s="30"/>
      <c r="K917" s="30"/>
      <c r="L917" s="8"/>
      <c r="M917" s="8"/>
      <c r="N917" s="8"/>
      <c r="O917" s="8"/>
      <c r="P917" s="104"/>
      <c r="Q917" s="5"/>
      <c r="R917" s="8"/>
    </row>
    <row r="918" spans="1:96" x14ac:dyDescent="0.3">
      <c r="A918" s="427"/>
      <c r="B918" s="113"/>
      <c r="C918" s="30" t="s">
        <v>2272</v>
      </c>
      <c r="D918" s="31">
        <v>44847</v>
      </c>
      <c r="E918" s="30">
        <v>3702674</v>
      </c>
      <c r="F918" s="30">
        <f t="shared" ca="1" si="86"/>
        <v>4</v>
      </c>
      <c r="G918" s="30"/>
      <c r="H918" s="30"/>
      <c r="I918" s="29"/>
      <c r="J918" s="30"/>
      <c r="K918" s="30"/>
      <c r="L918" s="8"/>
      <c r="M918" s="8"/>
      <c r="N918" s="8"/>
      <c r="O918" s="8"/>
      <c r="P918" s="104"/>
      <c r="Q918" s="5"/>
      <c r="R918" s="8"/>
    </row>
    <row r="919" spans="1:96" x14ac:dyDescent="0.3">
      <c r="A919" s="381" t="s">
        <v>2273</v>
      </c>
      <c r="B919" s="115">
        <v>45218</v>
      </c>
      <c r="C919" s="1" t="s">
        <v>677</v>
      </c>
      <c r="D919" s="2">
        <v>31402</v>
      </c>
      <c r="E919" s="1">
        <v>2478614</v>
      </c>
      <c r="F919" s="1">
        <f t="shared" ca="1" si="86"/>
        <v>41</v>
      </c>
      <c r="G919" s="1" t="s">
        <v>2274</v>
      </c>
      <c r="H919" s="1"/>
      <c r="I919" s="8" t="s">
        <v>2275</v>
      </c>
      <c r="J919" s="1"/>
      <c r="K919" s="1"/>
      <c r="L919" s="8"/>
      <c r="M919" s="8"/>
      <c r="N919" s="8"/>
      <c r="O919" s="8"/>
      <c r="P919" s="104"/>
      <c r="Q919" s="5"/>
      <c r="R919" s="8"/>
    </row>
    <row r="920" spans="1:96" x14ac:dyDescent="0.3">
      <c r="A920" s="434"/>
      <c r="B920" s="115"/>
      <c r="C920" s="1" t="s">
        <v>2276</v>
      </c>
      <c r="D920" s="2">
        <v>45364</v>
      </c>
      <c r="E920" s="1">
        <v>3372094</v>
      </c>
      <c r="F920" s="1"/>
      <c r="G920" s="1"/>
      <c r="H920" s="1"/>
      <c r="I920" s="8"/>
      <c r="J920" s="1"/>
      <c r="K920" s="1"/>
      <c r="L920" s="8"/>
      <c r="M920" s="8"/>
      <c r="N920" s="8"/>
      <c r="O920" s="8"/>
      <c r="P920" s="104"/>
      <c r="Q920" s="5"/>
      <c r="R920" s="8"/>
    </row>
    <row r="921" spans="1:96" x14ac:dyDescent="0.3">
      <c r="A921" s="382" t="s">
        <v>2135</v>
      </c>
      <c r="B921" s="169"/>
      <c r="C921" s="176" t="s">
        <v>2136</v>
      </c>
      <c r="D921" s="269">
        <v>36194</v>
      </c>
      <c r="E921" s="176">
        <v>2164813</v>
      </c>
      <c r="F921" s="270"/>
      <c r="G921" s="176" t="s">
        <v>2137</v>
      </c>
      <c r="H921" s="270"/>
      <c r="I921" s="270"/>
      <c r="J921" s="176"/>
      <c r="K921" s="176"/>
      <c r="L921" s="270" t="s">
        <v>2138</v>
      </c>
      <c r="M921" s="270"/>
      <c r="N921" s="270"/>
      <c r="O921" s="270"/>
      <c r="P921" s="170"/>
      <c r="Q921" s="171"/>
      <c r="R921" s="270"/>
      <c r="S921" s="270"/>
      <c r="T921" s="270"/>
      <c r="U921" s="270"/>
      <c r="V921" s="270"/>
      <c r="W921" s="270"/>
      <c r="X921" s="270"/>
      <c r="Y921" s="270"/>
      <c r="Z921" s="270"/>
      <c r="AA921" s="270"/>
      <c r="AB921" s="270"/>
      <c r="AC921" s="270"/>
      <c r="AD921" s="270"/>
      <c r="AE921" s="270"/>
      <c r="AF921" s="270"/>
      <c r="AG921" s="270"/>
      <c r="AH921" s="270"/>
      <c r="AI921" s="270"/>
      <c r="AJ921" s="270"/>
      <c r="AK921" s="270"/>
      <c r="AL921" s="270"/>
      <c r="AM921" s="270"/>
      <c r="AN921" s="270"/>
      <c r="AO921" s="270"/>
      <c r="AP921" s="270"/>
      <c r="AQ921" s="270"/>
      <c r="AR921" s="270"/>
      <c r="AS921" s="270"/>
      <c r="AT921" s="270"/>
      <c r="AU921" s="270"/>
      <c r="AV921" s="270"/>
      <c r="AW921" s="270"/>
      <c r="AX921" s="270"/>
      <c r="AY921" s="270"/>
      <c r="AZ921" s="270"/>
      <c r="BA921" s="270"/>
      <c r="BB921" s="270"/>
      <c r="BC921" s="270"/>
      <c r="BD921" s="270"/>
      <c r="BE921" s="270"/>
      <c r="BF921" s="270"/>
      <c r="BG921" s="270"/>
      <c r="BH921" s="270"/>
      <c r="BI921" s="270"/>
      <c r="BJ921" s="270"/>
      <c r="BK921" s="270"/>
      <c r="BL921" s="270"/>
      <c r="BM921" s="270"/>
      <c r="BN921" s="270"/>
      <c r="BO921" s="270"/>
      <c r="BP921" s="270"/>
      <c r="BQ921" s="270"/>
      <c r="BR921" s="270"/>
      <c r="BS921" s="270"/>
      <c r="BT921" s="270"/>
      <c r="BU921" s="270"/>
      <c r="BV921" s="270"/>
      <c r="BW921" s="270"/>
      <c r="BX921" s="270"/>
      <c r="BY921" s="270"/>
      <c r="BZ921" s="270"/>
      <c r="CA921" s="270"/>
      <c r="CB921" s="270"/>
      <c r="CC921" s="270"/>
      <c r="CD921" s="270"/>
      <c r="CE921" s="270"/>
      <c r="CF921" s="270"/>
      <c r="CG921" s="270"/>
      <c r="CH921" s="270"/>
      <c r="CI921" s="270"/>
      <c r="CJ921" s="270"/>
      <c r="CK921" s="270"/>
      <c r="CL921" s="270"/>
      <c r="CM921" s="270"/>
      <c r="CN921" s="270"/>
      <c r="CO921" s="270"/>
      <c r="CP921" s="270"/>
      <c r="CQ921" s="270"/>
      <c r="CR921" s="270"/>
    </row>
    <row r="922" spans="1:96" x14ac:dyDescent="0.3">
      <c r="A922" s="385"/>
      <c r="B922" s="169"/>
      <c r="C922" s="176" t="s">
        <v>2139</v>
      </c>
      <c r="D922" s="269">
        <v>36670</v>
      </c>
      <c r="E922" s="176">
        <v>3164816</v>
      </c>
      <c r="F922" s="270"/>
      <c r="G922" s="176" t="s">
        <v>2140</v>
      </c>
      <c r="H922" s="270"/>
      <c r="I922" s="270"/>
      <c r="J922" s="176"/>
      <c r="K922" s="176"/>
      <c r="L922" s="270" t="s">
        <v>2141</v>
      </c>
      <c r="M922" s="270"/>
      <c r="N922" s="270"/>
      <c r="O922" s="270"/>
      <c r="P922" s="170"/>
      <c r="Q922" s="171"/>
      <c r="R922" s="270"/>
      <c r="S922" s="270"/>
      <c r="T922" s="270"/>
      <c r="U922" s="270"/>
      <c r="V922" s="270"/>
      <c r="W922" s="270"/>
      <c r="X922" s="270"/>
      <c r="Y922" s="270"/>
      <c r="Z922" s="270"/>
      <c r="AA922" s="270"/>
      <c r="AB922" s="270"/>
      <c r="AC922" s="270"/>
      <c r="AD922" s="270"/>
      <c r="AE922" s="270"/>
      <c r="AF922" s="270"/>
      <c r="AG922" s="270"/>
      <c r="AH922" s="270"/>
      <c r="AI922" s="270"/>
      <c r="AJ922" s="270"/>
      <c r="AK922" s="270"/>
      <c r="AL922" s="270"/>
      <c r="AM922" s="270"/>
      <c r="AN922" s="270"/>
      <c r="AO922" s="270"/>
      <c r="AP922" s="270"/>
      <c r="AQ922" s="270"/>
      <c r="AR922" s="270"/>
      <c r="AS922" s="270"/>
      <c r="AT922" s="270"/>
      <c r="AU922" s="270"/>
      <c r="AV922" s="270"/>
      <c r="AW922" s="270"/>
      <c r="AX922" s="270"/>
      <c r="AY922" s="270"/>
      <c r="AZ922" s="270"/>
      <c r="BA922" s="270"/>
      <c r="BB922" s="270"/>
      <c r="BC922" s="270"/>
      <c r="BD922" s="270"/>
      <c r="BE922" s="270"/>
      <c r="BF922" s="270"/>
      <c r="BG922" s="270"/>
      <c r="BH922" s="270"/>
      <c r="BI922" s="270"/>
      <c r="BJ922" s="270"/>
      <c r="BK922" s="270"/>
      <c r="BL922" s="270"/>
      <c r="BM922" s="270"/>
      <c r="BN922" s="270"/>
      <c r="BO922" s="270"/>
      <c r="BP922" s="270"/>
      <c r="BQ922" s="270"/>
      <c r="BR922" s="270"/>
      <c r="BS922" s="270"/>
      <c r="BT922" s="270"/>
      <c r="BU922" s="270"/>
      <c r="BV922" s="270"/>
      <c r="BW922" s="270"/>
      <c r="BX922" s="270"/>
      <c r="BY922" s="270"/>
      <c r="BZ922" s="270"/>
      <c r="CA922" s="270"/>
      <c r="CB922" s="270"/>
      <c r="CC922" s="270"/>
      <c r="CD922" s="270"/>
      <c r="CE922" s="270"/>
      <c r="CF922" s="270"/>
      <c r="CG922" s="270"/>
      <c r="CH922" s="270"/>
      <c r="CI922" s="270"/>
      <c r="CJ922" s="270"/>
      <c r="CK922" s="270"/>
      <c r="CL922" s="270"/>
      <c r="CM922" s="270"/>
      <c r="CN922" s="270"/>
      <c r="CO922" s="270"/>
      <c r="CP922" s="270"/>
      <c r="CQ922" s="270"/>
      <c r="CR922" s="270"/>
    </row>
    <row r="923" spans="1:96" x14ac:dyDescent="0.3">
      <c r="A923" s="384"/>
      <c r="B923" s="169"/>
      <c r="C923" s="176" t="s">
        <v>2142</v>
      </c>
      <c r="D923" s="269">
        <v>26155</v>
      </c>
      <c r="E923" s="176">
        <v>2222713</v>
      </c>
      <c r="F923" s="270"/>
      <c r="G923" s="176" t="s">
        <v>2143</v>
      </c>
      <c r="H923" s="270"/>
      <c r="I923" s="270"/>
      <c r="J923" s="176"/>
      <c r="K923" s="176"/>
      <c r="L923" s="270"/>
      <c r="M923" s="270"/>
      <c r="N923" s="270"/>
      <c r="O923" s="270"/>
      <c r="P923" s="170"/>
      <c r="Q923" s="171"/>
      <c r="R923" s="270"/>
      <c r="S923" s="270"/>
      <c r="T923" s="270"/>
      <c r="U923" s="270"/>
      <c r="V923" s="270"/>
      <c r="W923" s="270"/>
      <c r="X923" s="270"/>
      <c r="Y923" s="270"/>
      <c r="Z923" s="270"/>
      <c r="AA923" s="270"/>
      <c r="AB923" s="270"/>
      <c r="AC923" s="270"/>
      <c r="AD923" s="270"/>
      <c r="AE923" s="270"/>
      <c r="AF923" s="270"/>
      <c r="AG923" s="270"/>
      <c r="AH923" s="270"/>
      <c r="AI923" s="270"/>
      <c r="AJ923" s="270"/>
      <c r="AK923" s="270"/>
      <c r="AL923" s="270"/>
      <c r="AM923" s="270"/>
      <c r="AN923" s="270"/>
      <c r="AO923" s="270"/>
      <c r="AP923" s="270"/>
      <c r="AQ923" s="270"/>
      <c r="AR923" s="270"/>
      <c r="AS923" s="270"/>
      <c r="AT923" s="270"/>
      <c r="AU923" s="270"/>
      <c r="AV923" s="270"/>
      <c r="AW923" s="270"/>
      <c r="AX923" s="270"/>
      <c r="AY923" s="270"/>
      <c r="AZ923" s="270"/>
      <c r="BA923" s="270"/>
      <c r="BB923" s="270"/>
      <c r="BC923" s="270"/>
      <c r="BD923" s="270"/>
      <c r="BE923" s="270"/>
      <c r="BF923" s="270"/>
      <c r="BG923" s="270"/>
      <c r="BH923" s="270"/>
      <c r="BI923" s="270"/>
      <c r="BJ923" s="270"/>
      <c r="BK923" s="270"/>
      <c r="BL923" s="270"/>
      <c r="BM923" s="270"/>
      <c r="BN923" s="270"/>
      <c r="BO923" s="270"/>
      <c r="BP923" s="270"/>
      <c r="BQ923" s="270"/>
      <c r="BR923" s="270"/>
      <c r="BS923" s="270"/>
      <c r="BT923" s="270"/>
      <c r="BU923" s="270"/>
      <c r="BV923" s="270"/>
      <c r="BW923" s="270"/>
      <c r="BX923" s="270"/>
      <c r="BY923" s="270"/>
      <c r="BZ923" s="270"/>
      <c r="CA923" s="270"/>
      <c r="CB923" s="270"/>
      <c r="CC923" s="270"/>
      <c r="CD923" s="270"/>
      <c r="CE923" s="270"/>
      <c r="CF923" s="270"/>
      <c r="CG923" s="270"/>
      <c r="CH923" s="270"/>
      <c r="CI923" s="270"/>
      <c r="CJ923" s="270"/>
      <c r="CK923" s="270"/>
      <c r="CL923" s="270"/>
      <c r="CM923" s="270"/>
      <c r="CN923" s="270"/>
      <c r="CO923" s="270"/>
      <c r="CP923" s="270"/>
      <c r="CQ923" s="270"/>
      <c r="CR923" s="270"/>
    </row>
    <row r="924" spans="1:96" x14ac:dyDescent="0.3">
      <c r="A924" s="379"/>
      <c r="B924" s="277">
        <v>45585</v>
      </c>
      <c r="C924" s="176" t="s">
        <v>2144</v>
      </c>
      <c r="D924" s="269">
        <v>24400</v>
      </c>
      <c r="E924" s="176">
        <v>1023314</v>
      </c>
      <c r="F924" s="270"/>
      <c r="G924" s="176" t="s">
        <v>2145</v>
      </c>
      <c r="H924" s="270"/>
      <c r="I924" s="270"/>
      <c r="J924" s="176"/>
      <c r="K924" s="176"/>
      <c r="L924" s="270"/>
      <c r="M924" s="270"/>
      <c r="N924" s="270"/>
      <c r="O924" s="270"/>
      <c r="P924" s="170"/>
      <c r="Q924" s="171"/>
      <c r="R924" s="270"/>
      <c r="S924" s="270"/>
      <c r="T924" s="270"/>
      <c r="U924" s="270"/>
      <c r="V924" s="270"/>
      <c r="W924" s="270"/>
      <c r="X924" s="270"/>
      <c r="Y924" s="270"/>
      <c r="Z924" s="270"/>
      <c r="AA924" s="270"/>
      <c r="AB924" s="270"/>
      <c r="AC924" s="270"/>
      <c r="AD924" s="270"/>
      <c r="AE924" s="270"/>
      <c r="AF924" s="270"/>
      <c r="AG924" s="270"/>
      <c r="AH924" s="270"/>
      <c r="AI924" s="270"/>
      <c r="AJ924" s="270"/>
      <c r="AK924" s="270"/>
      <c r="AL924" s="270"/>
      <c r="AM924" s="270"/>
      <c r="AN924" s="270"/>
      <c r="AO924" s="270"/>
      <c r="AP924" s="270"/>
      <c r="AQ924" s="270"/>
      <c r="AR924" s="270"/>
      <c r="AS924" s="270"/>
      <c r="AT924" s="270"/>
      <c r="AU924" s="270"/>
      <c r="AV924" s="270"/>
      <c r="AW924" s="270"/>
      <c r="AX924" s="270"/>
      <c r="AY924" s="270"/>
      <c r="AZ924" s="270"/>
      <c r="BA924" s="270"/>
      <c r="BB924" s="270"/>
      <c r="BC924" s="270"/>
      <c r="BD924" s="270"/>
      <c r="BE924" s="270"/>
      <c r="BF924" s="270"/>
      <c r="BG924" s="270"/>
      <c r="BH924" s="270"/>
      <c r="BI924" s="270"/>
      <c r="BJ924" s="270"/>
      <c r="BK924" s="270"/>
      <c r="BL924" s="270"/>
      <c r="BM924" s="270"/>
      <c r="BN924" s="270"/>
      <c r="BO924" s="270"/>
      <c r="BP924" s="270"/>
      <c r="BQ924" s="270"/>
      <c r="BR924" s="270"/>
      <c r="BS924" s="270"/>
      <c r="BT924" s="270"/>
      <c r="BU924" s="270"/>
      <c r="BV924" s="270"/>
      <c r="BW924" s="270"/>
      <c r="BX924" s="270"/>
      <c r="BY924" s="270"/>
      <c r="BZ924" s="270"/>
      <c r="CA924" s="270"/>
      <c r="CB924" s="270"/>
      <c r="CC924" s="270"/>
      <c r="CD924" s="270"/>
      <c r="CE924" s="270"/>
      <c r="CF924" s="270"/>
      <c r="CG924" s="270"/>
      <c r="CH924" s="270"/>
      <c r="CI924" s="270"/>
      <c r="CJ924" s="270"/>
      <c r="CK924" s="270"/>
      <c r="CL924" s="270"/>
      <c r="CM924" s="270"/>
      <c r="CN924" s="270"/>
      <c r="CO924" s="270"/>
      <c r="CP924" s="270"/>
      <c r="CQ924" s="270"/>
      <c r="CR924" s="270"/>
    </row>
    <row r="925" spans="1:96" x14ac:dyDescent="0.3">
      <c r="A925" s="394" t="s">
        <v>1135</v>
      </c>
      <c r="B925" s="119">
        <v>44855</v>
      </c>
      <c r="C925" s="36" t="s">
        <v>353</v>
      </c>
      <c r="D925" s="37">
        <v>20678</v>
      </c>
      <c r="E925" s="36">
        <v>1476718</v>
      </c>
      <c r="F925" s="36">
        <f t="shared" ca="1" si="84"/>
        <v>70</v>
      </c>
      <c r="G925" s="36" t="s">
        <v>2277</v>
      </c>
      <c r="H925" s="36"/>
      <c r="I925" s="35" t="s">
        <v>2278</v>
      </c>
      <c r="J925" s="36"/>
      <c r="K925" s="36"/>
      <c r="L925" s="8" t="s">
        <v>3559</v>
      </c>
      <c r="M925" s="8"/>
      <c r="N925" s="8"/>
      <c r="O925" s="8"/>
      <c r="P925" s="104"/>
      <c r="Q925" s="5"/>
      <c r="R925" s="8"/>
    </row>
    <row r="926" spans="1:96" x14ac:dyDescent="0.3">
      <c r="A926" s="401"/>
      <c r="B926" s="120"/>
      <c r="C926" s="36" t="s">
        <v>354</v>
      </c>
      <c r="D926" s="37">
        <v>22913</v>
      </c>
      <c r="E926" s="36">
        <v>2221111</v>
      </c>
      <c r="F926" s="36">
        <f t="shared" ca="1" si="84"/>
        <v>64</v>
      </c>
      <c r="G926" s="36" t="s">
        <v>2279</v>
      </c>
      <c r="H926" s="36"/>
      <c r="I926" s="35"/>
      <c r="J926" s="36"/>
      <c r="K926" s="36"/>
      <c r="L926" s="8"/>
      <c r="M926" s="8"/>
      <c r="N926" s="8"/>
      <c r="O926" s="8"/>
      <c r="P926" s="104"/>
      <c r="Q926" s="5"/>
      <c r="R926" s="8"/>
    </row>
    <row r="927" spans="1:96" x14ac:dyDescent="0.3">
      <c r="A927" s="401"/>
      <c r="B927" s="120"/>
      <c r="C927" s="36" t="s">
        <v>355</v>
      </c>
      <c r="D927" s="37">
        <v>43497</v>
      </c>
      <c r="E927" s="36">
        <v>4419518</v>
      </c>
      <c r="F927" s="36">
        <f t="shared" ca="1" si="84"/>
        <v>7</v>
      </c>
      <c r="G927" s="36"/>
      <c r="H927" s="36"/>
      <c r="I927" s="35"/>
      <c r="J927" s="36"/>
      <c r="K927" s="36"/>
      <c r="L927" s="8"/>
      <c r="M927" s="8"/>
      <c r="N927" s="8"/>
      <c r="O927" s="8"/>
      <c r="P927" s="104"/>
      <c r="Q927" s="5"/>
      <c r="R927" s="8"/>
    </row>
    <row r="928" spans="1:96" x14ac:dyDescent="0.3">
      <c r="A928" s="408" t="s">
        <v>2280</v>
      </c>
      <c r="B928" s="112">
        <v>44855</v>
      </c>
      <c r="C928" s="30" t="s">
        <v>356</v>
      </c>
      <c r="D928" s="31">
        <v>22551</v>
      </c>
      <c r="E928" s="30">
        <v>1520719</v>
      </c>
      <c r="F928" s="30">
        <f ca="1">YEAR(TODAY())-YEAR(D928)</f>
        <v>65</v>
      </c>
      <c r="G928" s="30" t="s">
        <v>2281</v>
      </c>
      <c r="H928" s="30"/>
      <c r="I928" s="29" t="s">
        <v>2282</v>
      </c>
      <c r="J928" s="30"/>
      <c r="K928" s="30"/>
      <c r="L928" s="8"/>
      <c r="M928" s="8"/>
      <c r="N928" s="8"/>
      <c r="O928" s="8"/>
      <c r="P928" s="104"/>
      <c r="Q928" s="5"/>
      <c r="R928" s="8"/>
    </row>
    <row r="929" spans="1:18" x14ac:dyDescent="0.3">
      <c r="A929" s="426"/>
      <c r="B929" s="113"/>
      <c r="C929" s="30" t="s">
        <v>357</v>
      </c>
      <c r="D929" s="31">
        <v>23426</v>
      </c>
      <c r="E929" s="30">
        <v>2850814</v>
      </c>
      <c r="F929" s="30">
        <f ca="1">YEAR(TODAY())-YEAR(D929)</f>
        <v>62</v>
      </c>
      <c r="G929" s="30" t="s">
        <v>2283</v>
      </c>
      <c r="H929" s="30"/>
      <c r="I929" s="29"/>
      <c r="J929" s="30"/>
      <c r="K929" s="30"/>
      <c r="L929" s="8"/>
      <c r="M929" s="8"/>
      <c r="N929" s="8"/>
      <c r="O929" s="8"/>
      <c r="P929" s="104"/>
      <c r="Q929" s="5"/>
      <c r="R929" s="8"/>
    </row>
    <row r="930" spans="1:18" x14ac:dyDescent="0.3">
      <c r="A930" s="427"/>
      <c r="B930" s="113" t="s">
        <v>169</v>
      </c>
      <c r="C930" s="30" t="s">
        <v>358</v>
      </c>
      <c r="D930" s="31">
        <v>34822</v>
      </c>
      <c r="E930" s="30">
        <v>1531413</v>
      </c>
      <c r="F930" s="30">
        <f ca="1">YEAR(TODAY())-YEAR(D930)</f>
        <v>31</v>
      </c>
      <c r="G930" s="30" t="s">
        <v>2284</v>
      </c>
      <c r="H930" s="30"/>
      <c r="I930" s="29"/>
      <c r="J930" s="30"/>
      <c r="K930" s="30"/>
      <c r="L930" s="8"/>
      <c r="M930" s="8"/>
      <c r="N930" s="8"/>
      <c r="O930" s="8"/>
      <c r="P930" s="104"/>
      <c r="Q930" s="5"/>
      <c r="R930" s="8"/>
    </row>
    <row r="931" spans="1:18" ht="33" x14ac:dyDescent="0.3">
      <c r="A931" s="422" t="s">
        <v>1220</v>
      </c>
      <c r="B931" s="115">
        <v>44856</v>
      </c>
      <c r="C931" s="1" t="s">
        <v>359</v>
      </c>
      <c r="D931" s="2">
        <v>20004</v>
      </c>
      <c r="E931" s="1">
        <v>1140613</v>
      </c>
      <c r="F931" s="1">
        <f t="shared" ca="1" si="84"/>
        <v>72</v>
      </c>
      <c r="G931" s="1" t="s">
        <v>2285</v>
      </c>
      <c r="H931" s="1"/>
      <c r="I931" s="8" t="s">
        <v>2286</v>
      </c>
      <c r="J931" s="55" t="s">
        <v>2287</v>
      </c>
      <c r="K931" s="1"/>
      <c r="L931" s="8"/>
      <c r="M931" s="8"/>
      <c r="N931" s="8"/>
      <c r="O931" s="8"/>
      <c r="P931" s="104"/>
      <c r="Q931" s="5"/>
      <c r="R931" s="8"/>
    </row>
    <row r="932" spans="1:18" x14ac:dyDescent="0.3">
      <c r="A932" s="422"/>
      <c r="B932" s="109"/>
      <c r="C932" s="1" t="s">
        <v>360</v>
      </c>
      <c r="D932" s="2">
        <v>22708</v>
      </c>
      <c r="E932" s="1">
        <v>2348435</v>
      </c>
      <c r="F932" s="1">
        <f t="shared" ca="1" si="84"/>
        <v>64</v>
      </c>
      <c r="G932" s="1" t="s">
        <v>2288</v>
      </c>
      <c r="H932" s="1"/>
      <c r="I932" s="8"/>
      <c r="J932" s="1"/>
      <c r="K932" s="1"/>
      <c r="L932" s="8"/>
      <c r="M932" s="8"/>
      <c r="N932" s="8"/>
      <c r="O932" s="8"/>
      <c r="P932" s="104"/>
      <c r="Q932" s="5"/>
      <c r="R932" s="8"/>
    </row>
    <row r="933" spans="1:18" x14ac:dyDescent="0.3">
      <c r="A933" s="394" t="s">
        <v>2289</v>
      </c>
      <c r="B933" s="119">
        <v>44491</v>
      </c>
      <c r="C933" s="36" t="s">
        <v>361</v>
      </c>
      <c r="D933" s="37">
        <v>22934</v>
      </c>
      <c r="E933" s="36">
        <v>1261438</v>
      </c>
      <c r="F933" s="36">
        <f t="shared" ref="F933:F940" ca="1" si="87">YEAR(TODAY())-YEAR(D933)</f>
        <v>64</v>
      </c>
      <c r="G933" s="36" t="s">
        <v>2290</v>
      </c>
      <c r="H933" s="36"/>
      <c r="I933" s="35" t="s">
        <v>2291</v>
      </c>
      <c r="J933" s="36"/>
      <c r="K933" s="36"/>
      <c r="L933" s="8"/>
      <c r="M933" s="8"/>
      <c r="N933" s="8"/>
      <c r="O933" s="8"/>
      <c r="P933" s="104"/>
      <c r="Q933" s="5"/>
      <c r="R933" s="8"/>
    </row>
    <row r="934" spans="1:18" x14ac:dyDescent="0.3">
      <c r="A934" s="394"/>
      <c r="B934" s="120"/>
      <c r="C934" s="36" t="s">
        <v>363</v>
      </c>
      <c r="D934" s="37">
        <v>24641</v>
      </c>
      <c r="E934" s="36">
        <v>2318714</v>
      </c>
      <c r="F934" s="36">
        <f t="shared" ca="1" si="87"/>
        <v>59</v>
      </c>
      <c r="G934" s="36" t="s">
        <v>2292</v>
      </c>
      <c r="H934" s="36"/>
      <c r="I934" s="35"/>
      <c r="J934" s="36"/>
      <c r="K934" s="36"/>
      <c r="L934" s="8" t="s">
        <v>3451</v>
      </c>
      <c r="M934" s="8"/>
      <c r="N934" s="8"/>
      <c r="O934" s="8"/>
      <c r="P934" s="104"/>
      <c r="Q934" s="5"/>
      <c r="R934" s="8"/>
    </row>
    <row r="935" spans="1:18" x14ac:dyDescent="0.3">
      <c r="A935" s="394"/>
      <c r="B935" s="120"/>
      <c r="C935" s="36" t="s">
        <v>364</v>
      </c>
      <c r="D935" s="37">
        <v>35792</v>
      </c>
      <c r="E935" s="36">
        <v>2261417</v>
      </c>
      <c r="F935" s="36">
        <f t="shared" ca="1" si="87"/>
        <v>29</v>
      </c>
      <c r="G935" s="36" t="s">
        <v>2293</v>
      </c>
      <c r="H935" s="36"/>
      <c r="I935" s="35"/>
      <c r="J935" s="36"/>
      <c r="K935" s="36"/>
      <c r="L935" s="8"/>
      <c r="M935" s="8"/>
      <c r="N935" s="8"/>
      <c r="O935" s="8"/>
      <c r="P935" s="104"/>
      <c r="Q935" s="5"/>
      <c r="R935" s="8"/>
    </row>
    <row r="936" spans="1:18" x14ac:dyDescent="0.3">
      <c r="A936" s="394"/>
      <c r="B936" s="120"/>
      <c r="C936" s="36" t="s">
        <v>365</v>
      </c>
      <c r="D936" s="37">
        <v>36599</v>
      </c>
      <c r="E936" s="36">
        <v>3261421</v>
      </c>
      <c r="F936" s="36">
        <f t="shared" ca="1" si="87"/>
        <v>26</v>
      </c>
      <c r="G936" s="36" t="s">
        <v>2294</v>
      </c>
      <c r="H936" s="36"/>
      <c r="I936" s="35"/>
      <c r="J936" s="36"/>
      <c r="K936" s="36"/>
      <c r="L936" s="8"/>
      <c r="M936" s="8"/>
      <c r="N936" s="8"/>
      <c r="O936" s="8"/>
      <c r="P936" s="104"/>
      <c r="Q936" s="5"/>
      <c r="R936" s="8"/>
    </row>
    <row r="937" spans="1:18" x14ac:dyDescent="0.3">
      <c r="A937" s="255" t="s">
        <v>2295</v>
      </c>
      <c r="B937" s="115">
        <v>45588</v>
      </c>
      <c r="C937" s="1" t="s">
        <v>2296</v>
      </c>
      <c r="D937" s="2">
        <v>34459</v>
      </c>
      <c r="E937" s="1">
        <v>1351122</v>
      </c>
      <c r="F937" s="1">
        <f t="shared" ca="1" si="87"/>
        <v>32</v>
      </c>
      <c r="G937" s="1" t="s">
        <v>2297</v>
      </c>
      <c r="H937" s="1"/>
      <c r="I937" s="8" t="s">
        <v>2298</v>
      </c>
      <c r="J937" s="1"/>
      <c r="K937" s="1"/>
      <c r="L937" s="8"/>
      <c r="M937" s="8"/>
      <c r="N937" s="8"/>
      <c r="O937" s="8"/>
      <c r="P937" s="9"/>
      <c r="Q937" s="3"/>
      <c r="R937" s="8"/>
    </row>
    <row r="938" spans="1:18" x14ac:dyDescent="0.3">
      <c r="A938" s="182" t="s">
        <v>2299</v>
      </c>
      <c r="B938" s="109"/>
      <c r="C938" s="1" t="s">
        <v>2300</v>
      </c>
      <c r="D938" s="2">
        <v>27322</v>
      </c>
      <c r="E938" s="1">
        <v>1731015</v>
      </c>
      <c r="F938" s="1">
        <f t="shared" ca="1" si="87"/>
        <v>52</v>
      </c>
      <c r="G938" s="1" t="s">
        <v>2301</v>
      </c>
      <c r="H938" s="1"/>
      <c r="I938" s="8"/>
      <c r="J938" s="1"/>
      <c r="K938" s="1"/>
      <c r="L938" s="8"/>
      <c r="M938" s="8"/>
      <c r="N938" s="8"/>
      <c r="O938" s="8"/>
      <c r="P938" s="9"/>
      <c r="Q938" s="3"/>
      <c r="R938" s="8"/>
    </row>
    <row r="939" spans="1:18" x14ac:dyDescent="0.3">
      <c r="A939" s="381" t="s">
        <v>2302</v>
      </c>
      <c r="B939" s="115">
        <v>45588</v>
      </c>
      <c r="C939" s="1" t="s">
        <v>2303</v>
      </c>
      <c r="D939" s="2">
        <v>27494</v>
      </c>
      <c r="E939" s="1">
        <v>2055511</v>
      </c>
      <c r="F939" s="1">
        <f t="shared" ca="1" si="87"/>
        <v>51</v>
      </c>
      <c r="G939" s="1" t="s">
        <v>2304</v>
      </c>
      <c r="H939" s="1"/>
      <c r="I939" s="8" t="s">
        <v>2305</v>
      </c>
      <c r="J939" s="1"/>
      <c r="K939" s="1"/>
      <c r="L939" s="8"/>
      <c r="M939" s="8"/>
      <c r="N939" s="8"/>
      <c r="O939" s="8"/>
      <c r="P939" s="9"/>
      <c r="Q939" s="3"/>
      <c r="R939" s="8"/>
    </row>
    <row r="940" spans="1:18" x14ac:dyDescent="0.3">
      <c r="A940" s="434"/>
      <c r="B940" s="109"/>
      <c r="C940" s="1" t="s">
        <v>2306</v>
      </c>
      <c r="D940" s="2">
        <v>18699</v>
      </c>
      <c r="E940" s="1">
        <v>2055517</v>
      </c>
      <c r="F940" s="1">
        <f t="shared" ca="1" si="87"/>
        <v>75</v>
      </c>
      <c r="G940" s="1" t="s">
        <v>2307</v>
      </c>
      <c r="H940" s="1"/>
      <c r="I940" s="8"/>
      <c r="J940" s="1"/>
      <c r="K940" s="1"/>
      <c r="L940" s="8"/>
      <c r="M940" s="8"/>
      <c r="N940" s="8"/>
      <c r="O940" s="8"/>
      <c r="P940" s="9"/>
      <c r="Q940" s="3"/>
      <c r="R940" s="8"/>
    </row>
    <row r="941" spans="1:18" x14ac:dyDescent="0.3">
      <c r="A941" s="30"/>
      <c r="B941" s="112">
        <v>44495</v>
      </c>
      <c r="C941" s="30" t="s">
        <v>32</v>
      </c>
      <c r="D941" s="31"/>
      <c r="E941" s="30" t="s">
        <v>1003</v>
      </c>
      <c r="F941" s="30"/>
      <c r="G941" s="30"/>
      <c r="H941" s="30"/>
      <c r="I941" s="29" t="s">
        <v>2308</v>
      </c>
      <c r="J941" s="30"/>
      <c r="K941" s="30"/>
      <c r="L941" s="8"/>
      <c r="M941" s="8"/>
      <c r="N941" s="8"/>
      <c r="O941" s="8"/>
      <c r="P941" s="104"/>
      <c r="Q941" s="5"/>
      <c r="R941" s="8"/>
    </row>
    <row r="942" spans="1:18" x14ac:dyDescent="0.3">
      <c r="A942" s="402" t="s">
        <v>2309</v>
      </c>
      <c r="B942" s="118">
        <v>45225</v>
      </c>
      <c r="C942" s="40" t="s">
        <v>453</v>
      </c>
      <c r="D942" s="41">
        <v>22430</v>
      </c>
      <c r="E942" s="40">
        <v>1030511</v>
      </c>
      <c r="F942" s="40">
        <f t="shared" ref="F942:F945" ca="1" si="88">YEAR(TODAY())-YEAR(D942)</f>
        <v>65</v>
      </c>
      <c r="G942" s="40" t="s">
        <v>2310</v>
      </c>
      <c r="H942" s="40"/>
      <c r="I942" s="39" t="s">
        <v>2311</v>
      </c>
      <c r="J942" s="40"/>
      <c r="K942" s="40"/>
      <c r="L942" s="8" t="s">
        <v>2312</v>
      </c>
      <c r="M942" s="8"/>
      <c r="N942" s="8"/>
      <c r="O942" s="8"/>
      <c r="P942" s="104"/>
      <c r="Q942" s="5"/>
      <c r="R942" s="8"/>
    </row>
    <row r="943" spans="1:18" x14ac:dyDescent="0.3">
      <c r="A943" s="437"/>
      <c r="B943" s="124"/>
      <c r="C943" s="40" t="s">
        <v>2313</v>
      </c>
      <c r="D943" s="41">
        <v>22307</v>
      </c>
      <c r="E943" s="40">
        <v>1533519</v>
      </c>
      <c r="F943" s="40">
        <f t="shared" ca="1" si="88"/>
        <v>65</v>
      </c>
      <c r="G943" s="40" t="s">
        <v>2314</v>
      </c>
      <c r="H943" s="40"/>
      <c r="I943" s="39"/>
      <c r="J943" s="40"/>
      <c r="K943" s="40"/>
      <c r="L943" s="8"/>
      <c r="M943" s="8"/>
      <c r="N943" s="8"/>
      <c r="O943" s="8"/>
      <c r="P943" s="104"/>
      <c r="Q943" s="5"/>
      <c r="R943" s="8"/>
    </row>
    <row r="944" spans="1:18" x14ac:dyDescent="0.3">
      <c r="A944" s="437"/>
      <c r="B944" s="124"/>
      <c r="C944" s="40" t="s">
        <v>2315</v>
      </c>
      <c r="D944" s="41">
        <v>21361</v>
      </c>
      <c r="E944" s="40">
        <v>2478419</v>
      </c>
      <c r="F944" s="40">
        <f t="shared" ca="1" si="88"/>
        <v>68</v>
      </c>
      <c r="G944" s="40" t="s">
        <v>2316</v>
      </c>
      <c r="H944" s="40"/>
      <c r="I944" s="39"/>
      <c r="J944" s="40"/>
      <c r="K944" s="40"/>
      <c r="L944" s="8"/>
      <c r="M944" s="8"/>
      <c r="N944" s="8"/>
      <c r="O944" s="8"/>
      <c r="P944" s="104"/>
      <c r="Q944" s="5"/>
      <c r="R944" s="8"/>
    </row>
    <row r="945" spans="1:18" x14ac:dyDescent="0.3">
      <c r="A945" s="403"/>
      <c r="B945" s="124"/>
      <c r="C945" s="40" t="s">
        <v>2317</v>
      </c>
      <c r="D945" s="41">
        <v>34036</v>
      </c>
      <c r="E945" s="40">
        <v>1478418</v>
      </c>
      <c r="F945" s="40">
        <f t="shared" ca="1" si="88"/>
        <v>33</v>
      </c>
      <c r="G945" s="40" t="s">
        <v>2318</v>
      </c>
      <c r="H945" s="40"/>
      <c r="I945" s="39"/>
      <c r="J945" s="40"/>
      <c r="K945" s="40"/>
      <c r="L945" s="8"/>
      <c r="M945" s="8" t="s">
        <v>70</v>
      </c>
      <c r="N945" s="8"/>
      <c r="O945" s="8"/>
      <c r="P945" s="104"/>
      <c r="Q945" s="5"/>
      <c r="R945" s="8"/>
    </row>
    <row r="946" spans="1:18" x14ac:dyDescent="0.3">
      <c r="A946" s="422" t="s">
        <v>2319</v>
      </c>
      <c r="B946" s="115">
        <v>44862</v>
      </c>
      <c r="C946" s="1" t="s">
        <v>371</v>
      </c>
      <c r="D946" s="2">
        <v>28091</v>
      </c>
      <c r="E946" s="1">
        <v>1925111</v>
      </c>
      <c r="F946" s="1">
        <f ca="1">YEAR(TODAY())-YEAR(D946)</f>
        <v>50</v>
      </c>
      <c r="G946" s="1"/>
      <c r="H946" s="1"/>
      <c r="I946" s="8" t="s">
        <v>2320</v>
      </c>
      <c r="J946" s="1"/>
      <c r="K946" s="1"/>
      <c r="L946" s="8"/>
      <c r="M946" s="8" t="s">
        <v>44</v>
      </c>
      <c r="N946" s="8"/>
      <c r="O946" s="8"/>
      <c r="P946" s="104"/>
      <c r="Q946" s="5"/>
      <c r="R946" s="8"/>
    </row>
    <row r="947" spans="1:18" x14ac:dyDescent="0.3">
      <c r="A947" s="422"/>
      <c r="B947" s="109"/>
      <c r="C947" s="1" t="s">
        <v>369</v>
      </c>
      <c r="D947" s="2">
        <v>28091</v>
      </c>
      <c r="E947" s="1">
        <v>2823820</v>
      </c>
      <c r="F947" s="1">
        <f ca="1">YEAR(TODAY())-YEAR(D947)</f>
        <v>50</v>
      </c>
      <c r="G947" s="1" t="s">
        <v>2321</v>
      </c>
      <c r="H947" s="1"/>
      <c r="I947" s="8"/>
      <c r="J947" s="1"/>
      <c r="K947" s="1"/>
      <c r="L947" s="8"/>
      <c r="M947" s="8" t="s">
        <v>44</v>
      </c>
      <c r="N947" s="8"/>
      <c r="O947" s="8"/>
      <c r="P947" s="104"/>
      <c r="Q947" s="5"/>
      <c r="R947" s="8"/>
    </row>
    <row r="948" spans="1:18" x14ac:dyDescent="0.3">
      <c r="A948" s="422"/>
      <c r="B948" s="109"/>
      <c r="C948" s="1" t="s">
        <v>370</v>
      </c>
      <c r="D948" s="2">
        <v>40509</v>
      </c>
      <c r="E948" s="1">
        <v>3860514</v>
      </c>
      <c r="F948" s="1">
        <f t="shared" ref="F948:F968" ca="1" si="89">YEAR(TODAY())-YEAR(D948)</f>
        <v>16</v>
      </c>
      <c r="G948" s="1"/>
      <c r="H948" s="1"/>
      <c r="I948" s="8"/>
      <c r="J948" s="1"/>
      <c r="K948" s="1"/>
      <c r="L948" s="8"/>
      <c r="M948" s="8" t="s">
        <v>44</v>
      </c>
      <c r="N948" s="8"/>
      <c r="O948" s="8"/>
      <c r="P948" s="104"/>
      <c r="Q948" s="5"/>
      <c r="R948" s="8"/>
    </row>
    <row r="949" spans="1:18" x14ac:dyDescent="0.3">
      <c r="A949" s="428" t="s">
        <v>2322</v>
      </c>
      <c r="B949" s="118">
        <v>44497</v>
      </c>
      <c r="C949" s="40" t="s">
        <v>372</v>
      </c>
      <c r="D949" s="41">
        <v>18438</v>
      </c>
      <c r="E949" s="40">
        <v>1221110</v>
      </c>
      <c r="F949" s="40">
        <f t="shared" ca="1" si="89"/>
        <v>76</v>
      </c>
      <c r="G949" s="40" t="s">
        <v>2323</v>
      </c>
      <c r="H949" s="40"/>
      <c r="I949" s="39" t="s">
        <v>2324</v>
      </c>
      <c r="J949" s="40"/>
      <c r="K949" s="40"/>
      <c r="L949" s="8"/>
      <c r="M949" s="8" t="s">
        <v>44</v>
      </c>
      <c r="N949" s="8"/>
      <c r="O949" s="8"/>
      <c r="P949" s="104"/>
      <c r="Q949" s="5"/>
      <c r="R949" s="8"/>
    </row>
    <row r="950" spans="1:18" x14ac:dyDescent="0.3">
      <c r="A950" s="429"/>
      <c r="B950" s="124"/>
      <c r="C950" s="40" t="s">
        <v>2325</v>
      </c>
      <c r="D950" s="41">
        <v>29528</v>
      </c>
      <c r="E950" s="40">
        <v>1042329</v>
      </c>
      <c r="F950" s="40">
        <f t="shared" ref="F950:F953" ca="1" si="90">YEAR(TODAY())-YEAR(D950)</f>
        <v>46</v>
      </c>
      <c r="G950" s="40" t="s">
        <v>2326</v>
      </c>
      <c r="H950" s="40"/>
      <c r="I950" s="39"/>
      <c r="J950" s="40"/>
      <c r="K950" s="40"/>
      <c r="L950" s="8"/>
      <c r="M950" s="8" t="s">
        <v>70</v>
      </c>
      <c r="N950" s="8"/>
      <c r="O950" s="8"/>
      <c r="P950" s="104"/>
      <c r="Q950" s="5"/>
      <c r="R950" s="8"/>
    </row>
    <row r="951" spans="1:18" s="204" customFormat="1" x14ac:dyDescent="0.3">
      <c r="A951" s="429"/>
      <c r="B951" s="124"/>
      <c r="C951" s="40" t="s">
        <v>367</v>
      </c>
      <c r="D951" s="41">
        <v>39919</v>
      </c>
      <c r="E951" s="40">
        <v>3412317</v>
      </c>
      <c r="F951" s="40">
        <f t="shared" ca="1" si="90"/>
        <v>17</v>
      </c>
      <c r="G951" s="40"/>
      <c r="H951" s="40"/>
      <c r="I951" s="39"/>
      <c r="J951" s="40"/>
      <c r="K951" s="40"/>
      <c r="L951" s="8"/>
      <c r="M951" s="8"/>
      <c r="N951" s="8"/>
      <c r="O951" s="8"/>
      <c r="P951" s="104"/>
      <c r="Q951" s="5"/>
      <c r="R951" s="8"/>
    </row>
    <row r="952" spans="1:18" s="204" customFormat="1" x14ac:dyDescent="0.3">
      <c r="A952" s="429"/>
      <c r="B952" s="124"/>
      <c r="C952" s="40" t="s">
        <v>368</v>
      </c>
      <c r="D952" s="41">
        <v>42163</v>
      </c>
      <c r="E952" s="40">
        <v>4412328</v>
      </c>
      <c r="F952" s="40">
        <f t="shared" ca="1" si="90"/>
        <v>11</v>
      </c>
      <c r="G952" s="40"/>
      <c r="H952" s="40"/>
      <c r="I952" s="39"/>
      <c r="J952" s="40"/>
      <c r="K952" s="40"/>
      <c r="L952" s="8"/>
      <c r="M952" s="8"/>
      <c r="N952" s="8"/>
      <c r="O952" s="8"/>
      <c r="P952" s="104"/>
      <c r="Q952" s="5"/>
      <c r="R952" s="8"/>
    </row>
    <row r="953" spans="1:18" s="204" customFormat="1" x14ac:dyDescent="0.3">
      <c r="A953" s="429"/>
      <c r="B953" s="118"/>
      <c r="C953" s="40" t="s">
        <v>282</v>
      </c>
      <c r="D953" s="41">
        <v>30074</v>
      </c>
      <c r="E953" s="40">
        <v>2183115</v>
      </c>
      <c r="F953" s="40">
        <f t="shared" ca="1" si="90"/>
        <v>44</v>
      </c>
      <c r="G953" s="40" t="s">
        <v>1946</v>
      </c>
      <c r="H953" s="40"/>
      <c r="I953" s="39"/>
      <c r="J953" s="40"/>
      <c r="K953" s="40"/>
      <c r="L953" s="8" t="s">
        <v>2327</v>
      </c>
      <c r="M953" s="8"/>
      <c r="N953" s="8"/>
      <c r="O953" s="8"/>
      <c r="P953" s="104"/>
      <c r="Q953" s="5"/>
      <c r="R953" s="8"/>
    </row>
    <row r="954" spans="1:18" x14ac:dyDescent="0.3">
      <c r="A954" s="430"/>
      <c r="B954" s="124"/>
      <c r="C954" s="40" t="s">
        <v>374</v>
      </c>
      <c r="D954" s="41">
        <v>20580</v>
      </c>
      <c r="E954" s="40">
        <v>2543111</v>
      </c>
      <c r="F954" s="40">
        <f t="shared" ca="1" si="89"/>
        <v>70</v>
      </c>
      <c r="G954" s="40" t="s">
        <v>2328</v>
      </c>
      <c r="H954" s="40"/>
      <c r="I954" s="39"/>
      <c r="J954" s="40"/>
      <c r="K954" s="40"/>
      <c r="L954" s="8"/>
      <c r="M954" s="8"/>
      <c r="N954" s="8"/>
      <c r="O954" s="8"/>
      <c r="P954" s="104"/>
      <c r="Q954" s="5"/>
      <c r="R954" s="8"/>
    </row>
    <row r="955" spans="1:18" x14ac:dyDescent="0.3">
      <c r="A955" s="47"/>
      <c r="B955" s="128">
        <v>44497</v>
      </c>
      <c r="C955" s="47" t="s">
        <v>375</v>
      </c>
      <c r="D955" s="48" t="s">
        <v>2329</v>
      </c>
      <c r="E955" s="47"/>
      <c r="F955" s="47"/>
      <c r="G955" s="47"/>
      <c r="H955" s="47"/>
      <c r="I955" s="246" t="s">
        <v>376</v>
      </c>
      <c r="J955" s="47"/>
      <c r="K955" s="47"/>
      <c r="L955" s="8"/>
      <c r="M955" s="8"/>
      <c r="N955" s="8"/>
      <c r="O955" s="8"/>
      <c r="P955" s="104"/>
      <c r="Q955" s="5"/>
      <c r="R955" s="8"/>
    </row>
    <row r="956" spans="1:18" x14ac:dyDescent="0.3">
      <c r="A956" s="420" t="s">
        <v>2330</v>
      </c>
      <c r="B956" s="117">
        <v>45227</v>
      </c>
      <c r="C956" s="27" t="s">
        <v>644</v>
      </c>
      <c r="D956" s="28">
        <v>26094</v>
      </c>
      <c r="E956" s="27">
        <v>1150718</v>
      </c>
      <c r="F956" s="27">
        <f t="shared" ref="F956:F965" ca="1" si="91">YEAR(TODAY())-YEAR(D956)</f>
        <v>55</v>
      </c>
      <c r="G956" s="27" t="s">
        <v>2331</v>
      </c>
      <c r="H956" s="27"/>
      <c r="I956" s="26" t="s">
        <v>2332</v>
      </c>
      <c r="J956" s="27"/>
      <c r="K956" s="27"/>
      <c r="L956" s="8"/>
      <c r="M956" s="8"/>
      <c r="N956" s="8"/>
      <c r="O956" s="8"/>
      <c r="P956" s="104"/>
      <c r="Q956" s="5"/>
      <c r="R956" s="8"/>
    </row>
    <row r="957" spans="1:18" x14ac:dyDescent="0.3">
      <c r="A957" s="421"/>
      <c r="B957" s="121"/>
      <c r="C957" s="27" t="s">
        <v>645</v>
      </c>
      <c r="D957" s="28">
        <v>25782</v>
      </c>
      <c r="E957" s="27">
        <v>2018620</v>
      </c>
      <c r="F957" s="27">
        <f t="shared" ca="1" si="91"/>
        <v>56</v>
      </c>
      <c r="G957" s="27" t="s">
        <v>2333</v>
      </c>
      <c r="H957" s="27"/>
      <c r="I957" s="26"/>
      <c r="J957" s="27"/>
      <c r="K957" s="27"/>
      <c r="L957" s="8"/>
      <c r="M957" s="8"/>
      <c r="N957" s="8"/>
      <c r="O957" s="8"/>
      <c r="P957" s="104"/>
      <c r="Q957" s="5"/>
      <c r="R957" s="8"/>
    </row>
    <row r="958" spans="1:18" x14ac:dyDescent="0.3">
      <c r="A958" s="421"/>
      <c r="B958" s="121"/>
      <c r="C958" s="27" t="s">
        <v>646</v>
      </c>
      <c r="D958" s="28">
        <v>39833</v>
      </c>
      <c r="E958" s="27">
        <v>3412612</v>
      </c>
      <c r="F958" s="27">
        <f t="shared" ca="1" si="91"/>
        <v>17</v>
      </c>
      <c r="G958" s="27"/>
      <c r="H958" s="27"/>
      <c r="I958" s="26"/>
      <c r="J958" s="27"/>
      <c r="K958" s="27"/>
      <c r="L958" s="8"/>
      <c r="M958" s="8"/>
      <c r="N958" s="8"/>
      <c r="O958" s="8"/>
      <c r="P958" s="104"/>
      <c r="Q958" s="5"/>
      <c r="R958" s="8"/>
    </row>
    <row r="959" spans="1:18" x14ac:dyDescent="0.3">
      <c r="A959" s="402" t="s">
        <v>2334</v>
      </c>
      <c r="B959" s="124"/>
      <c r="C959" s="40" t="s">
        <v>691</v>
      </c>
      <c r="D959" s="41">
        <v>29813</v>
      </c>
      <c r="E959" s="40">
        <v>2489511</v>
      </c>
      <c r="F959" s="40">
        <f t="shared" ca="1" si="91"/>
        <v>45</v>
      </c>
      <c r="G959" s="40" t="s">
        <v>2335</v>
      </c>
      <c r="H959" s="40"/>
      <c r="I959" s="39"/>
      <c r="J959" s="40"/>
      <c r="K959" s="40"/>
      <c r="L959" s="8"/>
      <c r="M959" s="8"/>
      <c r="N959" s="8"/>
      <c r="O959" s="8"/>
      <c r="P959" s="104"/>
      <c r="Q959" s="5"/>
      <c r="R959" s="8"/>
    </row>
    <row r="960" spans="1:18" x14ac:dyDescent="0.3">
      <c r="A960" s="424"/>
      <c r="B960" s="118">
        <v>45228</v>
      </c>
      <c r="C960" s="40" t="s">
        <v>692</v>
      </c>
      <c r="D960" s="41">
        <v>30207</v>
      </c>
      <c r="E960" s="40">
        <v>1491027</v>
      </c>
      <c r="F960" s="40">
        <f t="shared" ca="1" si="91"/>
        <v>44</v>
      </c>
      <c r="G960" s="40" t="s">
        <v>2336</v>
      </c>
      <c r="H960" s="40"/>
      <c r="I960" s="39" t="s">
        <v>2337</v>
      </c>
      <c r="J960" s="40"/>
      <c r="K960" s="40"/>
      <c r="L960" s="8"/>
      <c r="M960" s="8"/>
      <c r="N960" s="8"/>
      <c r="O960" s="8"/>
      <c r="P960" s="104"/>
      <c r="Q960" s="5"/>
      <c r="R960" s="8"/>
    </row>
    <row r="961" spans="1:18" x14ac:dyDescent="0.3">
      <c r="A961" s="424"/>
      <c r="B961" s="124"/>
      <c r="C961" s="40" t="s">
        <v>693</v>
      </c>
      <c r="D961" s="41">
        <v>39110</v>
      </c>
      <c r="E961" s="40">
        <v>4021021</v>
      </c>
      <c r="F961" s="40">
        <f t="shared" ca="1" si="91"/>
        <v>19</v>
      </c>
      <c r="G961" s="40"/>
      <c r="H961" s="40"/>
      <c r="I961" s="39"/>
      <c r="J961" s="40"/>
      <c r="K961" s="40"/>
      <c r="L961" s="8"/>
      <c r="M961" s="8"/>
      <c r="N961" s="8"/>
      <c r="O961" s="8"/>
      <c r="P961" s="104"/>
      <c r="Q961" s="5"/>
      <c r="R961" s="8"/>
    </row>
    <row r="962" spans="1:18" x14ac:dyDescent="0.3">
      <c r="A962" s="425"/>
      <c r="B962" s="124"/>
      <c r="C962" s="40" t="s">
        <v>694</v>
      </c>
      <c r="D962" s="41">
        <v>40936</v>
      </c>
      <c r="E962" s="40">
        <v>4214911</v>
      </c>
      <c r="F962" s="40">
        <f t="shared" ca="1" si="91"/>
        <v>14</v>
      </c>
      <c r="G962" s="40"/>
      <c r="H962" s="40"/>
      <c r="I962" s="39"/>
      <c r="J962" s="40"/>
      <c r="K962" s="40"/>
      <c r="L962" s="8"/>
      <c r="M962" s="8"/>
      <c r="N962" s="8"/>
      <c r="O962" s="8"/>
      <c r="P962" s="104"/>
      <c r="Q962" s="5"/>
      <c r="R962" s="8"/>
    </row>
    <row r="963" spans="1:18" s="8" customFormat="1" x14ac:dyDescent="0.3">
      <c r="A963" s="378" t="s">
        <v>1735</v>
      </c>
      <c r="B963" s="273"/>
      <c r="C963" s="1" t="s">
        <v>1736</v>
      </c>
      <c r="D963" s="2">
        <v>26891</v>
      </c>
      <c r="E963" s="1">
        <v>2479017</v>
      </c>
      <c r="G963" s="1" t="s">
        <v>1737</v>
      </c>
      <c r="J963" s="1"/>
      <c r="K963" s="1"/>
      <c r="L963" s="147" t="s">
        <v>1738</v>
      </c>
      <c r="P963" s="9"/>
      <c r="Q963" s="3"/>
    </row>
    <row r="964" spans="1:18" s="8" customFormat="1" x14ac:dyDescent="0.3">
      <c r="A964" s="379"/>
      <c r="B964" s="276">
        <v>45595</v>
      </c>
      <c r="C964" s="1" t="s">
        <v>1739</v>
      </c>
      <c r="D964" s="2">
        <v>26507</v>
      </c>
      <c r="E964" s="1">
        <v>1683610</v>
      </c>
      <c r="G964" s="1" t="s">
        <v>1740</v>
      </c>
      <c r="J964" s="1"/>
      <c r="K964" s="1"/>
      <c r="P964" s="9"/>
      <c r="Q964" s="3"/>
    </row>
    <row r="965" spans="1:18" x14ac:dyDescent="0.3">
      <c r="A965" s="226" t="s">
        <v>2049</v>
      </c>
      <c r="B965" s="122">
        <v>45229</v>
      </c>
      <c r="C965" s="18" t="s">
        <v>306</v>
      </c>
      <c r="D965" s="19">
        <v>25606</v>
      </c>
      <c r="E965" s="18">
        <v>1055511</v>
      </c>
      <c r="F965" s="18">
        <f t="shared" ca="1" si="91"/>
        <v>56</v>
      </c>
      <c r="G965" s="18" t="s">
        <v>2050</v>
      </c>
      <c r="H965" s="18"/>
      <c r="I965" s="17" t="s">
        <v>2338</v>
      </c>
      <c r="J965" s="18"/>
      <c r="K965" s="18"/>
      <c r="L965" s="8"/>
      <c r="M965" s="8"/>
      <c r="N965" s="8"/>
      <c r="O965" s="8"/>
      <c r="P965" s="104"/>
      <c r="Q965" s="5"/>
      <c r="R965" s="8"/>
    </row>
    <row r="966" spans="1:18" x14ac:dyDescent="0.3">
      <c r="A966" s="422" t="s">
        <v>2339</v>
      </c>
      <c r="B966" s="115">
        <v>44864</v>
      </c>
      <c r="C966" s="1" t="s">
        <v>377</v>
      </c>
      <c r="D966" s="2">
        <v>16181</v>
      </c>
      <c r="E966" s="1">
        <v>1221225</v>
      </c>
      <c r="F966" s="1">
        <f ca="1">YEAR(TODAY())-YEAR(D966)</f>
        <v>82</v>
      </c>
      <c r="G966" s="1" t="s">
        <v>2340</v>
      </c>
      <c r="H966" s="1"/>
      <c r="I966" s="8"/>
      <c r="J966" s="1"/>
      <c r="K966" s="1"/>
      <c r="L966" s="8"/>
      <c r="M966" s="8"/>
      <c r="N966" s="8"/>
      <c r="O966" s="8"/>
      <c r="P966" s="104"/>
      <c r="Q966" s="5"/>
      <c r="R966" s="8"/>
    </row>
    <row r="967" spans="1:18" x14ac:dyDescent="0.3">
      <c r="A967" s="422"/>
      <c r="B967" s="109"/>
      <c r="C967" s="1" t="s">
        <v>378</v>
      </c>
      <c r="D967" s="2">
        <v>18917</v>
      </c>
      <c r="E967" s="1">
        <v>2221228</v>
      </c>
      <c r="F967" s="1">
        <f ca="1">YEAR(TODAY())-YEAR(D967)</f>
        <v>75</v>
      </c>
      <c r="G967" s="1" t="s">
        <v>2341</v>
      </c>
      <c r="H967" s="1"/>
      <c r="I967" s="8"/>
      <c r="J967" s="1"/>
      <c r="K967" s="1" t="s">
        <v>2342</v>
      </c>
      <c r="L967" s="8"/>
      <c r="M967" s="8"/>
      <c r="N967" s="8"/>
      <c r="O967" s="8"/>
      <c r="P967" s="104"/>
      <c r="Q967" s="5"/>
      <c r="R967" s="8"/>
    </row>
    <row r="968" spans="1:18" x14ac:dyDescent="0.3">
      <c r="A968" s="247" t="s">
        <v>2049</v>
      </c>
      <c r="B968" s="128">
        <v>44864</v>
      </c>
      <c r="C968" s="47" t="s">
        <v>306</v>
      </c>
      <c r="D968" s="48">
        <v>25606</v>
      </c>
      <c r="E968" s="47">
        <v>1055511</v>
      </c>
      <c r="F968" s="47">
        <f t="shared" ca="1" si="89"/>
        <v>56</v>
      </c>
      <c r="G968" s="47" t="s">
        <v>2050</v>
      </c>
      <c r="H968" s="47"/>
      <c r="I968" s="246" t="s">
        <v>2338</v>
      </c>
      <c r="J968" s="47"/>
      <c r="K968" s="47"/>
      <c r="L968" s="8"/>
      <c r="M968" s="8"/>
      <c r="N968" s="8"/>
      <c r="O968" s="8"/>
      <c r="P968" s="104"/>
      <c r="Q968" s="5"/>
      <c r="R968" s="8"/>
    </row>
    <row r="969" spans="1:18" x14ac:dyDescent="0.3">
      <c r="A969" s="30"/>
      <c r="B969" s="112">
        <v>44499</v>
      </c>
      <c r="C969" s="30" t="s">
        <v>379</v>
      </c>
      <c r="D969" s="31" t="s">
        <v>2075</v>
      </c>
      <c r="E969" s="30"/>
      <c r="F969" s="30"/>
      <c r="G969" s="30"/>
      <c r="H969" s="30"/>
      <c r="I969" s="29" t="s">
        <v>380</v>
      </c>
      <c r="J969" s="30"/>
      <c r="K969" s="30"/>
      <c r="L969" s="8"/>
      <c r="M969" s="8"/>
      <c r="N969" s="8"/>
      <c r="O969" s="8"/>
      <c r="P969" s="104"/>
      <c r="Q969" s="5"/>
      <c r="R969" s="8"/>
    </row>
    <row r="970" spans="1:18" x14ac:dyDescent="0.3">
      <c r="A970" s="422" t="s">
        <v>2343</v>
      </c>
      <c r="B970" s="115">
        <v>45230</v>
      </c>
      <c r="C970" s="1" t="s">
        <v>508</v>
      </c>
      <c r="D970" s="2">
        <v>30255</v>
      </c>
      <c r="E970" s="1">
        <v>1386914</v>
      </c>
      <c r="F970" s="1">
        <f t="shared" ref="F970:F974" ca="1" si="92">YEAR(TODAY())-YEAR(D970)</f>
        <v>44</v>
      </c>
      <c r="G970" s="1" t="s">
        <v>2344</v>
      </c>
      <c r="H970" s="1"/>
      <c r="I970" s="8" t="s">
        <v>2345</v>
      </c>
      <c r="J970" s="1"/>
      <c r="K970" s="1"/>
      <c r="L970" s="8"/>
      <c r="M970" s="8"/>
      <c r="N970" s="8"/>
      <c r="O970" s="8"/>
      <c r="P970" s="104"/>
      <c r="Q970" s="5"/>
      <c r="R970" s="8"/>
    </row>
    <row r="971" spans="1:18" x14ac:dyDescent="0.3">
      <c r="A971" s="422"/>
      <c r="B971" s="109"/>
      <c r="C971" s="1" t="s">
        <v>509</v>
      </c>
      <c r="D971" s="2">
        <v>30307</v>
      </c>
      <c r="E971" s="1">
        <v>2380614</v>
      </c>
      <c r="F971" s="1">
        <f t="shared" ca="1" si="92"/>
        <v>44</v>
      </c>
      <c r="G971" s="1" t="s">
        <v>2346</v>
      </c>
      <c r="H971" s="1"/>
      <c r="I971" s="8"/>
      <c r="J971" s="1"/>
      <c r="K971" s="1"/>
      <c r="L971" s="8"/>
      <c r="M971" s="8"/>
      <c r="N971" s="8"/>
      <c r="O971" s="8"/>
      <c r="P971" s="104"/>
      <c r="Q971" s="5"/>
      <c r="R971" s="8"/>
    </row>
    <row r="972" spans="1:18" x14ac:dyDescent="0.3">
      <c r="A972" s="422"/>
      <c r="B972" s="109"/>
      <c r="C972" s="1" t="s">
        <v>510</v>
      </c>
      <c r="D972" s="2">
        <v>40505</v>
      </c>
      <c r="E972" s="1">
        <v>4411618</v>
      </c>
      <c r="F972" s="1">
        <f t="shared" ca="1" si="92"/>
        <v>16</v>
      </c>
      <c r="G972" s="1"/>
      <c r="H972" s="1"/>
      <c r="I972" s="8"/>
      <c r="J972" s="1"/>
      <c r="K972" s="1"/>
      <c r="L972" s="8"/>
      <c r="M972" s="8"/>
      <c r="N972" s="8"/>
      <c r="O972" s="8"/>
      <c r="P972" s="9"/>
      <c r="Q972" s="3"/>
      <c r="R972" s="8"/>
    </row>
    <row r="973" spans="1:18" x14ac:dyDescent="0.3">
      <c r="A973" s="422"/>
      <c r="B973" s="109"/>
      <c r="C973" s="1" t="s">
        <v>511</v>
      </c>
      <c r="D973" s="2">
        <v>42104</v>
      </c>
      <c r="E973" s="1">
        <v>4475921</v>
      </c>
      <c r="F973" s="1">
        <f t="shared" ca="1" si="92"/>
        <v>11</v>
      </c>
      <c r="G973" s="1"/>
      <c r="H973" s="1"/>
      <c r="I973" s="8"/>
      <c r="J973" s="1"/>
      <c r="K973" s="1"/>
      <c r="L973" s="8"/>
      <c r="M973" s="8"/>
      <c r="N973" s="8"/>
      <c r="O973" s="8"/>
      <c r="P973" s="9"/>
      <c r="Q973" s="3"/>
      <c r="R973" s="8"/>
    </row>
    <row r="974" spans="1:18" x14ac:dyDescent="0.3">
      <c r="A974" s="182"/>
      <c r="B974" s="109"/>
      <c r="C974" s="1" t="s">
        <v>2347</v>
      </c>
      <c r="D974" s="2">
        <v>42702</v>
      </c>
      <c r="E974" s="1">
        <v>3475920</v>
      </c>
      <c r="F974" s="1">
        <f t="shared" ca="1" si="92"/>
        <v>10</v>
      </c>
      <c r="G974" s="1"/>
      <c r="H974" s="1"/>
      <c r="I974" s="8"/>
      <c r="J974" s="1"/>
      <c r="K974" s="1"/>
      <c r="L974" s="8"/>
      <c r="M974" s="8"/>
      <c r="N974" s="8"/>
      <c r="O974" s="8"/>
      <c r="P974" s="9"/>
      <c r="Q974" s="3"/>
      <c r="R974" s="8"/>
    </row>
    <row r="975" spans="1:18" x14ac:dyDescent="0.3">
      <c r="A975" s="30"/>
      <c r="B975" s="112">
        <v>44501</v>
      </c>
      <c r="C975" s="30" t="s">
        <v>379</v>
      </c>
      <c r="D975" s="31" t="s">
        <v>2075</v>
      </c>
      <c r="E975" s="30"/>
      <c r="F975" s="30"/>
      <c r="G975" s="30"/>
      <c r="H975" s="30"/>
      <c r="I975" s="29" t="s">
        <v>381</v>
      </c>
      <c r="J975" s="30"/>
      <c r="K975" s="30"/>
      <c r="L975" s="8"/>
      <c r="M975" s="8"/>
      <c r="N975" s="8"/>
      <c r="O975" s="8"/>
      <c r="P975" s="104"/>
      <c r="Q975" s="5"/>
      <c r="R975" s="8"/>
    </row>
    <row r="976" spans="1:18" x14ac:dyDescent="0.3">
      <c r="A976" s="27" t="s">
        <v>933</v>
      </c>
      <c r="B976" s="117">
        <v>45231</v>
      </c>
      <c r="C976" s="27" t="s">
        <v>52</v>
      </c>
      <c r="D976" s="28">
        <v>32175</v>
      </c>
      <c r="E976" s="27">
        <v>2070213</v>
      </c>
      <c r="F976" s="27">
        <f t="shared" ref="F976:F985" ca="1" si="93">YEAR(TODAY())-YEAR(D976)</f>
        <v>38</v>
      </c>
      <c r="G976" s="27" t="s">
        <v>936</v>
      </c>
      <c r="H976" s="27"/>
      <c r="I976" s="26" t="s">
        <v>2348</v>
      </c>
      <c r="J976" s="27"/>
      <c r="K976" s="27"/>
      <c r="L976" s="8"/>
      <c r="M976" s="8"/>
      <c r="N976" s="8"/>
      <c r="O976" s="8"/>
      <c r="P976" s="104"/>
      <c r="Q976" s="5"/>
      <c r="R976" s="8"/>
    </row>
    <row r="977" spans="1:70" x14ac:dyDescent="0.3">
      <c r="A977" s="462" t="s">
        <v>817</v>
      </c>
      <c r="B977" s="150" t="s">
        <v>818</v>
      </c>
      <c r="C977" s="1" t="s">
        <v>819</v>
      </c>
      <c r="D977" s="2">
        <v>23877</v>
      </c>
      <c r="E977" s="1">
        <v>2478319</v>
      </c>
      <c r="F977" s="8"/>
      <c r="G977" s="1" t="s">
        <v>820</v>
      </c>
      <c r="H977" s="8"/>
      <c r="I977" s="8"/>
      <c r="J977" s="1"/>
      <c r="K977" s="1"/>
      <c r="L977" s="8" t="s">
        <v>821</v>
      </c>
      <c r="M977" s="8"/>
      <c r="N977" s="8"/>
      <c r="O977" s="8"/>
    </row>
    <row r="978" spans="1:70" x14ac:dyDescent="0.3">
      <c r="A978" s="464"/>
      <c r="B978" s="150"/>
      <c r="C978" s="1" t="s">
        <v>822</v>
      </c>
      <c r="D978" s="2">
        <v>22438</v>
      </c>
      <c r="E978" s="1">
        <v>1474419</v>
      </c>
      <c r="F978" s="8"/>
      <c r="G978" s="1" t="s">
        <v>823</v>
      </c>
      <c r="H978" s="8"/>
      <c r="I978" s="8"/>
      <c r="J978" s="1"/>
      <c r="K978" s="1"/>
      <c r="L978" s="8"/>
      <c r="M978" s="8"/>
      <c r="N978" s="8"/>
      <c r="O978" s="8"/>
    </row>
    <row r="979" spans="1:70" x14ac:dyDescent="0.3">
      <c r="A979" s="464"/>
      <c r="B979" s="150"/>
      <c r="C979" s="1" t="s">
        <v>824</v>
      </c>
      <c r="D979" s="2">
        <v>34413</v>
      </c>
      <c r="E979" s="1">
        <v>2466319</v>
      </c>
      <c r="F979" s="8"/>
      <c r="G979" s="1" t="s">
        <v>825</v>
      </c>
      <c r="H979" s="8"/>
      <c r="I979" s="8"/>
      <c r="J979" s="1"/>
      <c r="K979" s="1"/>
      <c r="L979" s="8" t="s">
        <v>826</v>
      </c>
      <c r="M979" s="8"/>
      <c r="N979" s="8"/>
      <c r="O979" s="8"/>
    </row>
    <row r="980" spans="1:70" x14ac:dyDescent="0.3">
      <c r="A980" s="465"/>
      <c r="B980" s="150"/>
      <c r="C980" s="1" t="s">
        <v>827</v>
      </c>
      <c r="D980" s="2">
        <v>33816</v>
      </c>
      <c r="E980" s="1">
        <v>1466327</v>
      </c>
      <c r="F980" s="8"/>
      <c r="G980" s="1" t="s">
        <v>2349</v>
      </c>
      <c r="H980" s="8"/>
      <c r="I980" s="8"/>
      <c r="J980" s="1"/>
      <c r="K980" s="1"/>
      <c r="L980" s="8"/>
      <c r="M980" s="8"/>
      <c r="N980" s="8"/>
      <c r="O980" s="8"/>
    </row>
    <row r="981" spans="1:70" x14ac:dyDescent="0.3">
      <c r="A981" s="378" t="s">
        <v>1164</v>
      </c>
      <c r="B981" s="150"/>
      <c r="C981" s="1" t="s">
        <v>2350</v>
      </c>
      <c r="D981" s="2">
        <v>22292</v>
      </c>
      <c r="E981" s="1">
        <v>1455110</v>
      </c>
      <c r="F981" s="8"/>
      <c r="G981" s="1" t="s">
        <v>1167</v>
      </c>
      <c r="H981" s="8"/>
      <c r="I981" s="8" t="s">
        <v>1168</v>
      </c>
      <c r="J981" s="1"/>
      <c r="K981" s="1"/>
      <c r="L981" s="8" t="s">
        <v>1169</v>
      </c>
      <c r="M981" s="8"/>
      <c r="N981" s="8"/>
      <c r="O981" s="8"/>
      <c r="P981" s="9"/>
      <c r="Q981" s="3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</row>
    <row r="982" spans="1:70" x14ac:dyDescent="0.3">
      <c r="A982" s="384"/>
      <c r="B982" s="168"/>
      <c r="C982" s="1" t="s">
        <v>1170</v>
      </c>
      <c r="D982" s="2">
        <v>33526</v>
      </c>
      <c r="E982" s="1">
        <v>1400711</v>
      </c>
      <c r="F982" s="8"/>
      <c r="G982" s="1" t="s">
        <v>1171</v>
      </c>
      <c r="H982" s="8"/>
      <c r="I982" s="8"/>
      <c r="J982" s="1"/>
      <c r="K982" s="1"/>
      <c r="L982" s="8" t="s">
        <v>1172</v>
      </c>
      <c r="M982" s="8"/>
      <c r="N982" s="8"/>
      <c r="O982" s="8"/>
      <c r="P982" s="9"/>
      <c r="Q982" s="3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8"/>
    </row>
    <row r="983" spans="1:70" x14ac:dyDescent="0.3">
      <c r="A983" s="379"/>
      <c r="B983" s="150" t="s">
        <v>2351</v>
      </c>
      <c r="C983" s="1" t="s">
        <v>1173</v>
      </c>
      <c r="D983" s="2">
        <v>33634</v>
      </c>
      <c r="E983" s="1">
        <v>2404019</v>
      </c>
      <c r="F983" s="8"/>
      <c r="G983" s="1" t="s">
        <v>1174</v>
      </c>
      <c r="H983" s="8"/>
      <c r="I983" s="8" t="s">
        <v>1175</v>
      </c>
      <c r="J983" s="1"/>
      <c r="K983" s="1"/>
      <c r="L983" s="8" t="s">
        <v>1176</v>
      </c>
      <c r="M983" s="8"/>
      <c r="N983" s="8"/>
      <c r="O983" s="8"/>
      <c r="P983" s="9"/>
      <c r="Q983" s="3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</row>
    <row r="984" spans="1:70" x14ac:dyDescent="0.3">
      <c r="A984" s="402" t="s">
        <v>2352</v>
      </c>
      <c r="B984" s="124"/>
      <c r="C984" s="40" t="s">
        <v>2353</v>
      </c>
      <c r="D984" s="41">
        <v>19068</v>
      </c>
      <c r="E984" s="40">
        <v>2454718</v>
      </c>
      <c r="F984" s="40">
        <f t="shared" ca="1" si="93"/>
        <v>74</v>
      </c>
      <c r="G984" s="40" t="s">
        <v>2354</v>
      </c>
      <c r="H984" s="40"/>
      <c r="I984" s="39"/>
      <c r="J984" s="40"/>
      <c r="K984" s="40" t="s">
        <v>2355</v>
      </c>
      <c r="L984" s="8"/>
      <c r="M984" s="8"/>
      <c r="N984" s="8"/>
      <c r="O984" s="8"/>
      <c r="P984" s="104"/>
      <c r="Q984" s="5"/>
      <c r="R984" s="8"/>
    </row>
    <row r="985" spans="1:70" x14ac:dyDescent="0.3">
      <c r="A985" s="403"/>
      <c r="B985" s="118">
        <v>45232</v>
      </c>
      <c r="C985" s="40" t="s">
        <v>2356</v>
      </c>
      <c r="D985" s="41">
        <v>28817</v>
      </c>
      <c r="E985" s="40">
        <v>1454718</v>
      </c>
      <c r="F985" s="40">
        <f t="shared" ca="1" si="93"/>
        <v>48</v>
      </c>
      <c r="G985" s="40" t="s">
        <v>2357</v>
      </c>
      <c r="H985" s="40"/>
      <c r="I985" s="39" t="s">
        <v>2358</v>
      </c>
      <c r="J985" s="40"/>
      <c r="K985" s="40"/>
      <c r="L985" s="8"/>
      <c r="M985" s="8"/>
      <c r="N985" s="8"/>
      <c r="O985" s="8"/>
      <c r="P985" s="104"/>
      <c r="Q985" s="5"/>
      <c r="R985" s="8"/>
    </row>
    <row r="986" spans="1:70" x14ac:dyDescent="0.3">
      <c r="A986" s="431" t="s">
        <v>2359</v>
      </c>
      <c r="B986" s="116">
        <v>44504</v>
      </c>
      <c r="C986" s="22" t="s">
        <v>382</v>
      </c>
      <c r="D986" s="25">
        <v>28212</v>
      </c>
      <c r="E986" s="22">
        <v>1005819</v>
      </c>
      <c r="F986" s="22">
        <f ca="1">YEAR(TODAY())-YEAR(D986)</f>
        <v>49</v>
      </c>
      <c r="G986" s="22" t="s">
        <v>2360</v>
      </c>
      <c r="H986" s="22"/>
      <c r="I986" s="21" t="s">
        <v>2361</v>
      </c>
      <c r="J986" s="1"/>
      <c r="K986" s="1"/>
      <c r="L986" s="8"/>
      <c r="M986" s="8"/>
      <c r="N986" s="8"/>
      <c r="O986" s="8"/>
      <c r="P986" s="104"/>
      <c r="Q986" s="5"/>
      <c r="R986" s="8"/>
    </row>
    <row r="987" spans="1:70" x14ac:dyDescent="0.3">
      <c r="A987" s="435"/>
      <c r="B987" s="127"/>
      <c r="C987" s="22" t="s">
        <v>383</v>
      </c>
      <c r="D987" s="25">
        <v>28179</v>
      </c>
      <c r="E987" s="22">
        <v>6100793</v>
      </c>
      <c r="F987" s="22">
        <f ca="1">YEAR(TODAY())-YEAR(D987)</f>
        <v>49</v>
      </c>
      <c r="G987" s="22" t="s">
        <v>2362</v>
      </c>
      <c r="H987" s="22"/>
      <c r="I987" s="21"/>
      <c r="J987" s="1"/>
      <c r="K987" s="1"/>
      <c r="L987" s="8"/>
      <c r="M987" s="8"/>
      <c r="N987" s="8"/>
      <c r="O987" s="8"/>
      <c r="P987" s="104"/>
      <c r="Q987" s="5"/>
      <c r="R987" s="8"/>
    </row>
    <row r="988" spans="1:70" x14ac:dyDescent="0.3">
      <c r="A988" s="435"/>
      <c r="B988" s="127"/>
      <c r="C988" s="22" t="s">
        <v>384</v>
      </c>
      <c r="D988" s="25">
        <v>37600</v>
      </c>
      <c r="E988" s="22">
        <v>3476019</v>
      </c>
      <c r="F988" s="22">
        <f ca="1">YEAR(TODAY())-YEAR(D988)</f>
        <v>24</v>
      </c>
      <c r="G988" s="22"/>
      <c r="H988" s="22"/>
      <c r="I988" s="21"/>
      <c r="J988" s="1"/>
      <c r="K988" s="1"/>
      <c r="L988" s="8"/>
      <c r="M988" s="8"/>
      <c r="N988" s="8"/>
      <c r="O988" s="8"/>
      <c r="P988" s="104"/>
      <c r="Q988" s="5"/>
      <c r="R988" s="8"/>
    </row>
    <row r="989" spans="1:70" x14ac:dyDescent="0.3">
      <c r="A989" s="435"/>
      <c r="B989" s="127"/>
      <c r="C989" s="22" t="s">
        <v>385</v>
      </c>
      <c r="D989" s="25">
        <v>38728</v>
      </c>
      <c r="E989" s="22">
        <v>3476010</v>
      </c>
      <c r="F989" s="22">
        <f t="shared" ref="F989:F1032" ca="1" si="94">YEAR(TODAY())-YEAR(D989)</f>
        <v>20</v>
      </c>
      <c r="G989" s="22"/>
      <c r="H989" s="22"/>
      <c r="I989" s="21"/>
      <c r="J989" s="1"/>
      <c r="K989" s="1"/>
      <c r="L989" s="8"/>
      <c r="M989" s="8"/>
      <c r="N989" s="8"/>
      <c r="O989" s="8"/>
      <c r="P989" s="104"/>
      <c r="Q989" s="5"/>
      <c r="R989" s="8"/>
    </row>
    <row r="990" spans="1:70" x14ac:dyDescent="0.3">
      <c r="A990" s="435"/>
      <c r="B990" s="127"/>
      <c r="C990" s="22" t="s">
        <v>386</v>
      </c>
      <c r="D990" s="25">
        <v>39490</v>
      </c>
      <c r="E990" s="22">
        <v>3475913</v>
      </c>
      <c r="F990" s="22">
        <f t="shared" ca="1" si="94"/>
        <v>18</v>
      </c>
      <c r="G990" s="22"/>
      <c r="H990" s="22"/>
      <c r="I990" s="21"/>
      <c r="J990" s="1"/>
      <c r="K990" s="1"/>
      <c r="L990" s="8"/>
      <c r="M990" s="8"/>
      <c r="N990" s="8"/>
      <c r="O990" s="8"/>
      <c r="P990" s="104"/>
      <c r="Q990" s="5"/>
      <c r="R990" s="8"/>
    </row>
    <row r="991" spans="1:70" x14ac:dyDescent="0.3">
      <c r="A991" s="435"/>
      <c r="B991" s="127"/>
      <c r="C991" s="22" t="s">
        <v>387</v>
      </c>
      <c r="D991" s="25">
        <v>40333</v>
      </c>
      <c r="E991" s="22">
        <v>4475926</v>
      </c>
      <c r="F991" s="22">
        <f t="shared" ca="1" si="94"/>
        <v>16</v>
      </c>
      <c r="G991" s="22"/>
      <c r="H991" s="22"/>
      <c r="I991" s="21"/>
      <c r="J991" s="1"/>
      <c r="K991" s="1"/>
      <c r="L991" s="8"/>
      <c r="M991" s="8"/>
      <c r="N991" s="8"/>
      <c r="O991" s="8"/>
      <c r="P991" s="104"/>
      <c r="Q991" s="5"/>
      <c r="R991" s="8"/>
    </row>
    <row r="992" spans="1:70" x14ac:dyDescent="0.3">
      <c r="A992" s="384"/>
      <c r="B992" s="127"/>
      <c r="C992" s="22" t="s">
        <v>2363</v>
      </c>
      <c r="D992" s="25">
        <v>20242</v>
      </c>
      <c r="E992" s="22">
        <v>2545316</v>
      </c>
      <c r="F992" s="22">
        <f t="shared" ca="1" si="94"/>
        <v>71</v>
      </c>
      <c r="G992" s="22" t="s">
        <v>2364</v>
      </c>
      <c r="H992" s="22"/>
      <c r="I992" s="21"/>
      <c r="J992" s="1"/>
      <c r="K992" s="1"/>
      <c r="L992" s="8"/>
      <c r="M992" s="8"/>
      <c r="N992" s="8"/>
      <c r="O992" s="8"/>
      <c r="P992" s="104"/>
      <c r="Q992" s="5"/>
      <c r="R992" s="8"/>
    </row>
    <row r="993" spans="1:18" x14ac:dyDescent="0.3">
      <c r="A993" s="379"/>
      <c r="B993" s="127"/>
      <c r="C993" s="22" t="s">
        <v>2365</v>
      </c>
      <c r="D993" s="25">
        <v>20481</v>
      </c>
      <c r="E993" s="22">
        <v>1005511</v>
      </c>
      <c r="F993" s="22">
        <f t="shared" ca="1" si="94"/>
        <v>70</v>
      </c>
      <c r="G993" s="22" t="s">
        <v>2366</v>
      </c>
      <c r="H993" s="22"/>
      <c r="I993" s="21"/>
      <c r="J993" s="1"/>
      <c r="K993" s="1"/>
      <c r="L993" s="8"/>
      <c r="M993" s="8"/>
      <c r="N993" s="8"/>
      <c r="O993" s="8"/>
      <c r="P993" s="104"/>
      <c r="Q993" s="5"/>
      <c r="R993" s="8"/>
    </row>
    <row r="994" spans="1:18" s="189" customFormat="1" x14ac:dyDescent="0.3">
      <c r="A994" s="420" t="s">
        <v>1037</v>
      </c>
      <c r="B994" s="117"/>
      <c r="C994" s="27" t="s">
        <v>388</v>
      </c>
      <c r="D994" s="28">
        <v>28599</v>
      </c>
      <c r="E994" s="27">
        <v>2823617</v>
      </c>
      <c r="F994" s="27">
        <f t="shared" ref="F994:F1018" ca="1" si="95">YEAR(TODAY())-YEAR(D994)</f>
        <v>48</v>
      </c>
      <c r="G994" s="27" t="s">
        <v>1038</v>
      </c>
      <c r="H994" s="27"/>
      <c r="I994" s="26"/>
      <c r="J994" s="1"/>
      <c r="K994" s="1"/>
      <c r="L994" s="8"/>
      <c r="M994" s="8"/>
      <c r="N994" s="8"/>
      <c r="O994" s="8"/>
      <c r="P994" s="104"/>
      <c r="Q994" s="5"/>
      <c r="R994" s="8"/>
    </row>
    <row r="995" spans="1:18" s="185" customFormat="1" x14ac:dyDescent="0.3">
      <c r="A995" s="420"/>
      <c r="B995" s="117">
        <v>44504</v>
      </c>
      <c r="C995" s="27" t="s">
        <v>389</v>
      </c>
      <c r="D995" s="28">
        <v>28394</v>
      </c>
      <c r="E995" s="27">
        <v>1804310</v>
      </c>
      <c r="F995" s="27">
        <f t="shared" ca="1" si="95"/>
        <v>49</v>
      </c>
      <c r="G995" s="27" t="s">
        <v>1039</v>
      </c>
      <c r="H995" s="27"/>
      <c r="I995" s="26" t="s">
        <v>2367</v>
      </c>
      <c r="J995" s="1"/>
      <c r="K995" s="1"/>
      <c r="L995" s="8"/>
      <c r="M995" s="8"/>
      <c r="N995" s="8"/>
      <c r="O995" s="8"/>
      <c r="P995" s="104"/>
      <c r="Q995" s="5"/>
      <c r="R995" s="8"/>
    </row>
    <row r="996" spans="1:18" x14ac:dyDescent="0.3">
      <c r="A996" s="420"/>
      <c r="B996" s="121"/>
      <c r="C996" s="27" t="s">
        <v>391</v>
      </c>
      <c r="D996" s="28">
        <v>40015</v>
      </c>
      <c r="E996" s="27">
        <v>3411611</v>
      </c>
      <c r="F996" s="27">
        <f t="shared" ca="1" si="95"/>
        <v>17</v>
      </c>
      <c r="G996" s="27"/>
      <c r="H996" s="27"/>
      <c r="I996" s="26"/>
      <c r="J996" s="1"/>
      <c r="K996" s="1"/>
      <c r="L996" s="8"/>
      <c r="M996" s="8"/>
      <c r="N996" s="8"/>
      <c r="O996" s="8"/>
      <c r="P996" s="104"/>
      <c r="Q996" s="5"/>
      <c r="R996" s="8"/>
    </row>
    <row r="997" spans="1:18" x14ac:dyDescent="0.3">
      <c r="A997" s="420"/>
      <c r="B997" s="121"/>
      <c r="C997" s="27" t="s">
        <v>392</v>
      </c>
      <c r="D997" s="28">
        <v>40960</v>
      </c>
      <c r="E997" s="27">
        <v>3412512</v>
      </c>
      <c r="F997" s="27">
        <f t="shared" ca="1" si="95"/>
        <v>14</v>
      </c>
      <c r="G997" s="27"/>
      <c r="H997" s="27"/>
      <c r="I997" s="26"/>
      <c r="J997" s="1"/>
      <c r="K997" s="1"/>
      <c r="L997" s="8"/>
      <c r="M997" s="8"/>
      <c r="N997" s="8"/>
      <c r="O997" s="8"/>
      <c r="P997" s="104"/>
      <c r="Q997" s="5"/>
      <c r="R997" s="8"/>
    </row>
    <row r="998" spans="1:18" x14ac:dyDescent="0.3">
      <c r="A998" s="1" t="s">
        <v>876</v>
      </c>
      <c r="B998" s="115">
        <v>45235</v>
      </c>
      <c r="C998" s="1" t="s">
        <v>168</v>
      </c>
      <c r="D998" s="2">
        <v>29699</v>
      </c>
      <c r="E998" s="1">
        <v>1790212</v>
      </c>
      <c r="F998" s="1">
        <f ca="1">YEAR(TODAY())-YEAR(D998)</f>
        <v>45</v>
      </c>
      <c r="G998" s="1" t="s">
        <v>877</v>
      </c>
      <c r="H998" s="1"/>
      <c r="I998" s="8" t="s">
        <v>2368</v>
      </c>
      <c r="J998" s="1" t="s">
        <v>879</v>
      </c>
      <c r="K998" s="1"/>
      <c r="L998" s="8"/>
      <c r="M998" s="8"/>
      <c r="N998" s="8"/>
      <c r="O998" s="8"/>
      <c r="P998" s="104"/>
      <c r="Q998" s="5"/>
      <c r="R998" s="8"/>
    </row>
    <row r="999" spans="1:18" x14ac:dyDescent="0.3">
      <c r="A999" s="183" t="s">
        <v>1697</v>
      </c>
      <c r="B999" s="112">
        <v>45235</v>
      </c>
      <c r="C999" s="30" t="s">
        <v>218</v>
      </c>
      <c r="D999" s="31">
        <v>29689</v>
      </c>
      <c r="E999" s="30">
        <v>1462415</v>
      </c>
      <c r="F999" s="30">
        <f t="shared" ref="F999" ca="1" si="96">YEAR(TODAY())-YEAR(D999)</f>
        <v>45</v>
      </c>
      <c r="G999" s="30" t="s">
        <v>1743</v>
      </c>
      <c r="H999" s="30"/>
      <c r="I999" s="29" t="s">
        <v>2369</v>
      </c>
      <c r="J999" s="1"/>
      <c r="K999" s="1"/>
      <c r="L999" s="8"/>
      <c r="M999" s="8"/>
      <c r="N999" s="8"/>
      <c r="O999" s="8"/>
      <c r="P999" s="104"/>
      <c r="Q999" s="5"/>
      <c r="R999" s="8"/>
    </row>
    <row r="1000" spans="1:18" x14ac:dyDescent="0.3">
      <c r="A1000" s="198" t="s">
        <v>1471</v>
      </c>
      <c r="B1000" s="119">
        <v>45236</v>
      </c>
      <c r="C1000" s="36" t="s">
        <v>1472</v>
      </c>
      <c r="D1000" s="37">
        <v>20092</v>
      </c>
      <c r="E1000" s="36">
        <v>1478613</v>
      </c>
      <c r="F1000" s="36">
        <f t="shared" ca="1" si="95"/>
        <v>71</v>
      </c>
      <c r="G1000" s="36" t="s">
        <v>1473</v>
      </c>
      <c r="H1000" s="36"/>
      <c r="I1000" s="35" t="s">
        <v>2370</v>
      </c>
      <c r="J1000" s="1"/>
      <c r="K1000" s="1"/>
      <c r="L1000" s="8"/>
      <c r="M1000" s="8"/>
      <c r="N1000" s="8"/>
      <c r="O1000" s="8"/>
      <c r="P1000" s="104"/>
      <c r="Q1000" s="5"/>
      <c r="R1000" s="8"/>
    </row>
    <row r="1001" spans="1:18" x14ac:dyDescent="0.3">
      <c r="A1001" s="422" t="s">
        <v>880</v>
      </c>
      <c r="B1001" s="115">
        <v>45236</v>
      </c>
      <c r="C1001" s="1" t="s">
        <v>500</v>
      </c>
      <c r="D1001" s="2">
        <v>28934</v>
      </c>
      <c r="E1001" s="1">
        <v>1090310</v>
      </c>
      <c r="F1001" s="1">
        <f t="shared" ca="1" si="95"/>
        <v>47</v>
      </c>
      <c r="G1001" s="1" t="s">
        <v>2371</v>
      </c>
      <c r="H1001" s="1"/>
      <c r="I1001" s="8" t="s">
        <v>2372</v>
      </c>
      <c r="J1001" s="1"/>
      <c r="K1001" s="1"/>
      <c r="L1001" s="8"/>
      <c r="M1001" s="8"/>
      <c r="N1001" s="8"/>
      <c r="O1001" s="8"/>
      <c r="P1001" s="104"/>
      <c r="Q1001" s="5"/>
      <c r="R1001" s="8"/>
    </row>
    <row r="1002" spans="1:18" x14ac:dyDescent="0.3">
      <c r="A1002" s="422"/>
      <c r="B1002" s="109"/>
      <c r="C1002" s="1" t="s">
        <v>501</v>
      </c>
      <c r="D1002" s="2">
        <v>30218</v>
      </c>
      <c r="E1002" s="1">
        <v>2113427</v>
      </c>
      <c r="F1002" s="1">
        <f t="shared" ca="1" si="95"/>
        <v>44</v>
      </c>
      <c r="G1002" s="1" t="s">
        <v>2373</v>
      </c>
      <c r="H1002" s="1"/>
      <c r="I1002" s="8"/>
      <c r="J1002" s="1"/>
      <c r="K1002" s="1"/>
      <c r="L1002" s="8"/>
      <c r="M1002" s="8"/>
      <c r="N1002" s="8"/>
      <c r="O1002" s="8"/>
      <c r="P1002" s="104"/>
      <c r="Q1002" s="5"/>
      <c r="R1002" s="8"/>
    </row>
    <row r="1003" spans="1:18" x14ac:dyDescent="0.3">
      <c r="A1003" s="422"/>
      <c r="B1003" s="109"/>
      <c r="C1003" s="1" t="s">
        <v>502</v>
      </c>
      <c r="D1003" s="2">
        <v>40646</v>
      </c>
      <c r="E1003" s="1">
        <v>3094212</v>
      </c>
      <c r="F1003" s="1">
        <f t="shared" ca="1" si="95"/>
        <v>15</v>
      </c>
      <c r="G1003" s="1"/>
      <c r="H1003" s="1"/>
      <c r="I1003" s="8"/>
      <c r="J1003" s="1"/>
      <c r="K1003" s="1"/>
      <c r="L1003" s="8"/>
      <c r="M1003" s="8"/>
      <c r="N1003" s="8"/>
      <c r="O1003" s="8"/>
      <c r="P1003" s="104"/>
      <c r="Q1003" s="5"/>
      <c r="R1003" s="8"/>
    </row>
    <row r="1004" spans="1:18" x14ac:dyDescent="0.3">
      <c r="A1004" s="422"/>
      <c r="B1004" s="109"/>
      <c r="C1004" s="1" t="s">
        <v>369</v>
      </c>
      <c r="D1004" s="2">
        <v>41737</v>
      </c>
      <c r="E1004" s="1">
        <v>4090414</v>
      </c>
      <c r="F1004" s="1">
        <f t="shared" ca="1" si="95"/>
        <v>12</v>
      </c>
      <c r="G1004" s="1"/>
      <c r="H1004" s="1"/>
      <c r="I1004" s="8"/>
      <c r="J1004" s="1"/>
      <c r="K1004" s="1"/>
      <c r="L1004" s="8"/>
      <c r="M1004" s="8"/>
      <c r="N1004" s="8"/>
      <c r="O1004" s="8"/>
      <c r="P1004" s="104"/>
      <c r="Q1004" s="5"/>
      <c r="R1004" s="8"/>
    </row>
    <row r="1005" spans="1:18" ht="33" x14ac:dyDescent="0.3">
      <c r="A1005" s="187" t="s">
        <v>848</v>
      </c>
      <c r="B1005" s="118">
        <v>44874</v>
      </c>
      <c r="C1005" s="40" t="s">
        <v>69</v>
      </c>
      <c r="D1005" s="41">
        <v>23049</v>
      </c>
      <c r="E1005" s="40">
        <v>2478417</v>
      </c>
      <c r="F1005" s="40">
        <f t="shared" ca="1" si="95"/>
        <v>63</v>
      </c>
      <c r="G1005" s="40" t="s">
        <v>855</v>
      </c>
      <c r="H1005" s="40"/>
      <c r="I1005" s="39" t="s">
        <v>2374</v>
      </c>
      <c r="J1005" s="180" t="s">
        <v>857</v>
      </c>
      <c r="K1005" s="40" t="s">
        <v>432</v>
      </c>
      <c r="L1005" s="8"/>
      <c r="M1005" s="8"/>
      <c r="N1005" s="8"/>
      <c r="O1005" s="8"/>
      <c r="P1005" s="104"/>
      <c r="Q1005" s="5"/>
      <c r="R1005" s="8"/>
    </row>
    <row r="1006" spans="1:18" x14ac:dyDescent="0.3">
      <c r="A1006" s="394" t="s">
        <v>1947</v>
      </c>
      <c r="B1006" s="119">
        <v>45239</v>
      </c>
      <c r="C1006" s="36" t="s">
        <v>283</v>
      </c>
      <c r="D1006" s="37">
        <v>31190</v>
      </c>
      <c r="E1006" s="36">
        <v>1473911</v>
      </c>
      <c r="F1006" s="36">
        <f t="shared" ca="1" si="95"/>
        <v>41</v>
      </c>
      <c r="G1006" s="36" t="s">
        <v>1948</v>
      </c>
      <c r="H1006" s="36"/>
      <c r="I1006" s="35" t="s">
        <v>2375</v>
      </c>
      <c r="J1006" s="1"/>
      <c r="K1006" s="1"/>
      <c r="L1006" s="8"/>
      <c r="M1006" s="8"/>
      <c r="N1006" s="8"/>
      <c r="O1006" s="8"/>
      <c r="P1006" s="104"/>
      <c r="Q1006" s="5"/>
      <c r="R1006" s="8"/>
    </row>
    <row r="1007" spans="1:18" s="185" customFormat="1" x14ac:dyDescent="0.3">
      <c r="A1007" s="401"/>
      <c r="B1007" s="120"/>
      <c r="C1007" s="36" t="s">
        <v>284</v>
      </c>
      <c r="D1007" s="37">
        <v>33121</v>
      </c>
      <c r="E1007" s="36">
        <v>2617119</v>
      </c>
      <c r="F1007" s="36">
        <f t="shared" ca="1" si="95"/>
        <v>36</v>
      </c>
      <c r="G1007" s="36" t="s">
        <v>1950</v>
      </c>
      <c r="H1007" s="36"/>
      <c r="I1007" s="35"/>
      <c r="J1007" s="1"/>
      <c r="K1007" s="1"/>
      <c r="L1007" s="8"/>
      <c r="M1007" s="8"/>
      <c r="N1007" s="8"/>
      <c r="O1007" s="8"/>
      <c r="P1007" s="104"/>
      <c r="Q1007" s="5"/>
      <c r="R1007" s="8"/>
    </row>
    <row r="1008" spans="1:18" s="185" customFormat="1" x14ac:dyDescent="0.3">
      <c r="A1008" s="401"/>
      <c r="B1008" s="120"/>
      <c r="C1008" s="36" t="s">
        <v>285</v>
      </c>
      <c r="D1008" s="37">
        <v>43866</v>
      </c>
      <c r="E1008" s="36">
        <v>3218031</v>
      </c>
      <c r="F1008" s="36">
        <f t="shared" ca="1" si="95"/>
        <v>6</v>
      </c>
      <c r="G1008" s="36"/>
      <c r="H1008" s="36"/>
      <c r="I1008" s="35"/>
      <c r="J1008" s="1"/>
      <c r="K1008" s="1"/>
      <c r="L1008" s="8"/>
      <c r="M1008" s="8"/>
      <c r="N1008" s="8"/>
      <c r="O1008" s="8"/>
      <c r="P1008" s="104"/>
      <c r="Q1008" s="5"/>
      <c r="R1008" s="8"/>
    </row>
    <row r="1009" spans="1:18" s="185" customFormat="1" x14ac:dyDescent="0.3">
      <c r="A1009" s="414" t="s">
        <v>2376</v>
      </c>
      <c r="B1009" s="112">
        <v>45239</v>
      </c>
      <c r="C1009" s="30" t="s">
        <v>580</v>
      </c>
      <c r="D1009" s="31">
        <v>20997</v>
      </c>
      <c r="E1009" s="30">
        <v>1169310</v>
      </c>
      <c r="F1009" s="30">
        <f t="shared" ca="1" si="95"/>
        <v>69</v>
      </c>
      <c r="G1009" s="30" t="s">
        <v>2377</v>
      </c>
      <c r="H1009" s="30"/>
      <c r="I1009" s="29" t="s">
        <v>2378</v>
      </c>
      <c r="J1009" s="1"/>
      <c r="K1009" s="1"/>
      <c r="L1009" s="8"/>
      <c r="M1009" s="8"/>
      <c r="N1009" s="8"/>
      <c r="O1009" s="8"/>
      <c r="P1009" s="104"/>
      <c r="Q1009" s="5"/>
      <c r="R1009" s="8"/>
    </row>
    <row r="1010" spans="1:18" x14ac:dyDescent="0.3">
      <c r="A1010" s="415"/>
      <c r="B1010" s="113"/>
      <c r="C1010" s="30" t="s">
        <v>581</v>
      </c>
      <c r="D1010" s="31">
        <v>33309</v>
      </c>
      <c r="E1010" s="30">
        <v>1169313</v>
      </c>
      <c r="F1010" s="30">
        <f t="shared" ca="1" si="95"/>
        <v>35</v>
      </c>
      <c r="G1010" s="30" t="s">
        <v>2379</v>
      </c>
      <c r="H1010" s="30"/>
      <c r="I1010" s="29"/>
      <c r="J1010" s="1"/>
      <c r="K1010" s="1"/>
      <c r="L1010" s="8"/>
      <c r="M1010" s="8"/>
      <c r="N1010" s="8"/>
      <c r="O1010" s="8"/>
      <c r="P1010" s="104"/>
      <c r="Q1010" s="5"/>
      <c r="R1010" s="8"/>
    </row>
    <row r="1011" spans="1:18" x14ac:dyDescent="0.3">
      <c r="A1011" s="182" t="s">
        <v>880</v>
      </c>
      <c r="B1011" s="115">
        <v>45240</v>
      </c>
      <c r="C1011" s="1" t="s">
        <v>515</v>
      </c>
      <c r="D1011" s="2">
        <v>27025</v>
      </c>
      <c r="E1011" s="1">
        <v>2411411</v>
      </c>
      <c r="F1011" s="1">
        <f t="shared" ca="1" si="95"/>
        <v>53</v>
      </c>
      <c r="G1011" s="1" t="s">
        <v>2380</v>
      </c>
      <c r="H1011" s="1"/>
      <c r="I1011" s="8" t="s">
        <v>2381</v>
      </c>
      <c r="J1011" s="1"/>
      <c r="K1011" s="1"/>
      <c r="L1011" s="8"/>
      <c r="M1011" s="8"/>
      <c r="N1011" s="8"/>
      <c r="O1011" s="8"/>
      <c r="P1011" s="104"/>
      <c r="Q1011" s="5"/>
      <c r="R1011" s="8"/>
    </row>
    <row r="1012" spans="1:18" x14ac:dyDescent="0.3">
      <c r="A1012" s="472" t="s">
        <v>2382</v>
      </c>
      <c r="B1012" s="120"/>
      <c r="C1012" s="36" t="s">
        <v>570</v>
      </c>
      <c r="D1012" s="37">
        <v>32566</v>
      </c>
      <c r="E1012" s="36">
        <v>2403412</v>
      </c>
      <c r="F1012" s="36">
        <f t="shared" ca="1" si="95"/>
        <v>37</v>
      </c>
      <c r="G1012" s="36" t="s">
        <v>2383</v>
      </c>
      <c r="H1012" s="36"/>
      <c r="I1012" s="35"/>
      <c r="J1012" s="1"/>
      <c r="K1012" s="1"/>
      <c r="L1012" s="8"/>
      <c r="M1012" s="8"/>
      <c r="N1012" s="8"/>
      <c r="O1012" s="8"/>
      <c r="P1012" s="104"/>
      <c r="Q1012" s="5"/>
      <c r="R1012" s="8"/>
    </row>
    <row r="1013" spans="1:18" x14ac:dyDescent="0.3">
      <c r="A1013" s="401"/>
      <c r="B1013" s="119">
        <v>45240</v>
      </c>
      <c r="C1013" s="36" t="s">
        <v>571</v>
      </c>
      <c r="D1013" s="37">
        <v>32280</v>
      </c>
      <c r="E1013" s="36">
        <v>1400711</v>
      </c>
      <c r="F1013" s="36">
        <f t="shared" ca="1" si="95"/>
        <v>38</v>
      </c>
      <c r="G1013" s="36"/>
      <c r="H1013" s="36"/>
      <c r="I1013" s="35" t="s">
        <v>2384</v>
      </c>
      <c r="J1013" s="1"/>
      <c r="K1013" s="1"/>
      <c r="L1013" s="8"/>
      <c r="M1013" s="8"/>
      <c r="N1013" s="8"/>
      <c r="O1013" s="8"/>
      <c r="P1013" s="104"/>
      <c r="Q1013" s="5"/>
      <c r="R1013" s="8"/>
    </row>
    <row r="1014" spans="1:18" x14ac:dyDescent="0.3">
      <c r="A1014" s="401"/>
      <c r="B1014" s="120"/>
      <c r="C1014" s="36" t="s">
        <v>572</v>
      </c>
      <c r="D1014" s="37">
        <v>42495</v>
      </c>
      <c r="E1014" s="36">
        <v>3411612</v>
      </c>
      <c r="F1014" s="36">
        <f t="shared" ca="1" si="95"/>
        <v>10</v>
      </c>
      <c r="G1014" s="36"/>
      <c r="H1014" s="36"/>
      <c r="I1014" s="35"/>
      <c r="J1014" s="1"/>
      <c r="K1014" s="1"/>
      <c r="L1014" s="8"/>
      <c r="M1014" s="8"/>
      <c r="N1014" s="8"/>
      <c r="O1014" s="8"/>
      <c r="P1014" s="104"/>
      <c r="Q1014" s="5"/>
      <c r="R1014" s="8"/>
    </row>
    <row r="1015" spans="1:18" x14ac:dyDescent="0.3">
      <c r="A1015" s="183" t="s">
        <v>1323</v>
      </c>
      <c r="B1015" s="112">
        <v>45240</v>
      </c>
      <c r="C1015" s="30" t="s">
        <v>708</v>
      </c>
      <c r="D1015" s="31">
        <v>28941</v>
      </c>
      <c r="E1015" s="30">
        <v>1462419</v>
      </c>
      <c r="F1015" s="30">
        <f t="shared" ca="1" si="95"/>
        <v>47</v>
      </c>
      <c r="G1015" s="30" t="s">
        <v>1924</v>
      </c>
      <c r="H1015" s="30"/>
      <c r="I1015" s="29" t="s">
        <v>2385</v>
      </c>
      <c r="J1015" s="30" t="s">
        <v>1926</v>
      </c>
      <c r="K1015" s="30" t="s">
        <v>432</v>
      </c>
      <c r="L1015" s="8"/>
      <c r="M1015" s="8"/>
      <c r="N1015" s="8"/>
      <c r="O1015" s="8"/>
      <c r="P1015" s="104"/>
      <c r="Q1015" s="5"/>
      <c r="R1015" s="8"/>
    </row>
    <row r="1016" spans="1:18" x14ac:dyDescent="0.3">
      <c r="A1016" s="381" t="s">
        <v>1912</v>
      </c>
      <c r="B1016" s="115">
        <v>44876</v>
      </c>
      <c r="C1016" s="1" t="s">
        <v>272</v>
      </c>
      <c r="D1016" s="2">
        <v>28464</v>
      </c>
      <c r="E1016" s="1">
        <v>1122725</v>
      </c>
      <c r="F1016" s="1">
        <f t="shared" ca="1" si="95"/>
        <v>49</v>
      </c>
      <c r="G1016" s="1"/>
      <c r="H1016" s="1"/>
      <c r="I1016" s="8" t="s">
        <v>2386</v>
      </c>
      <c r="J1016" s="1"/>
      <c r="K1016" s="1"/>
      <c r="L1016" s="8"/>
      <c r="M1016" s="8"/>
      <c r="N1016" s="8"/>
      <c r="O1016" s="8"/>
      <c r="P1016" s="104"/>
      <c r="Q1016" s="5"/>
      <c r="R1016" s="8"/>
    </row>
    <row r="1017" spans="1:18" x14ac:dyDescent="0.3">
      <c r="A1017" s="384"/>
      <c r="B1017" s="109"/>
      <c r="C1017" s="1" t="s">
        <v>273</v>
      </c>
      <c r="D1017" s="2">
        <v>28457</v>
      </c>
      <c r="E1017" s="1">
        <v>2122611</v>
      </c>
      <c r="F1017" s="1">
        <f t="shared" ca="1" si="95"/>
        <v>49</v>
      </c>
      <c r="G1017" s="1" t="s">
        <v>1915</v>
      </c>
      <c r="H1017" s="1"/>
      <c r="I1017" s="8"/>
      <c r="J1017" s="1"/>
      <c r="K1017" s="1"/>
      <c r="L1017" s="8"/>
      <c r="M1017" s="8"/>
      <c r="N1017" s="8"/>
      <c r="O1017" s="8"/>
      <c r="P1017" s="104"/>
      <c r="Q1017" s="5"/>
      <c r="R1017" s="8"/>
    </row>
    <row r="1018" spans="1:18" x14ac:dyDescent="0.3">
      <c r="A1018" s="379"/>
      <c r="B1018" s="109"/>
      <c r="C1018" s="1" t="s">
        <v>274</v>
      </c>
      <c r="D1018" s="2">
        <v>38767</v>
      </c>
      <c r="E1018" s="1">
        <v>4904612</v>
      </c>
      <c r="F1018" s="1">
        <f t="shared" ca="1" si="95"/>
        <v>20</v>
      </c>
      <c r="G1018" s="1"/>
      <c r="H1018" s="1"/>
      <c r="I1018" s="8"/>
      <c r="J1018" s="1"/>
      <c r="K1018" s="1"/>
      <c r="L1018" s="8"/>
      <c r="M1018" s="8"/>
      <c r="N1018" s="8"/>
      <c r="O1018" s="8"/>
      <c r="P1018" s="104"/>
      <c r="Q1018" s="5"/>
      <c r="R1018" s="8"/>
    </row>
    <row r="1019" spans="1:18" x14ac:dyDescent="0.3">
      <c r="A1019" s="388" t="s">
        <v>2387</v>
      </c>
      <c r="B1019" s="111"/>
      <c r="C1019" s="33" t="s">
        <v>393</v>
      </c>
      <c r="D1019" s="34">
        <v>34175</v>
      </c>
      <c r="E1019" s="33">
        <v>2251719</v>
      </c>
      <c r="F1019" s="33">
        <f t="shared" ca="1" si="94"/>
        <v>33</v>
      </c>
      <c r="G1019" s="33" t="s">
        <v>2388</v>
      </c>
      <c r="H1019" s="33"/>
      <c r="I1019" s="32"/>
      <c r="J1019" s="1"/>
      <c r="K1019" s="1"/>
      <c r="L1019" s="8"/>
      <c r="M1019" s="8"/>
      <c r="N1019" s="8"/>
      <c r="O1019" s="8"/>
      <c r="P1019" s="104"/>
      <c r="Q1019" s="5"/>
      <c r="R1019" s="8"/>
    </row>
    <row r="1020" spans="1:18" x14ac:dyDescent="0.3">
      <c r="A1020" s="389"/>
      <c r="B1020" s="110">
        <v>44512</v>
      </c>
      <c r="C1020" s="33" t="s">
        <v>394</v>
      </c>
      <c r="D1020" s="34">
        <v>30471</v>
      </c>
      <c r="E1020" s="33">
        <v>1476417</v>
      </c>
      <c r="F1020" s="33">
        <f t="shared" ca="1" si="94"/>
        <v>43</v>
      </c>
      <c r="G1020" s="33" t="s">
        <v>2389</v>
      </c>
      <c r="H1020" s="33"/>
      <c r="I1020" s="32" t="s">
        <v>2390</v>
      </c>
      <c r="J1020" s="1"/>
      <c r="K1020" s="1"/>
      <c r="L1020" s="8"/>
      <c r="M1020" s="8"/>
      <c r="N1020" s="8"/>
      <c r="O1020" s="8"/>
      <c r="P1020" s="104"/>
      <c r="Q1020" s="5"/>
      <c r="R1020" s="8"/>
    </row>
    <row r="1021" spans="1:18" x14ac:dyDescent="0.3">
      <c r="A1021" s="389"/>
      <c r="B1021" s="111"/>
      <c r="C1021" s="33" t="s">
        <v>395</v>
      </c>
      <c r="D1021" s="34">
        <v>21502</v>
      </c>
      <c r="E1021" s="33">
        <v>2</v>
      </c>
      <c r="F1021" s="33">
        <f t="shared" ca="1" si="94"/>
        <v>68</v>
      </c>
      <c r="G1021" s="33"/>
      <c r="H1021" s="33"/>
      <c r="I1021" s="32"/>
      <c r="J1021" s="1"/>
      <c r="K1021" s="1"/>
      <c r="L1021" s="8"/>
      <c r="M1021" s="8"/>
      <c r="N1021" s="8"/>
      <c r="O1021" s="8"/>
      <c r="P1021" s="104"/>
      <c r="Q1021" s="5"/>
      <c r="R1021" s="8"/>
    </row>
    <row r="1022" spans="1:18" x14ac:dyDescent="0.3">
      <c r="A1022" s="389"/>
      <c r="B1022" s="111"/>
      <c r="C1022" s="33" t="s">
        <v>396</v>
      </c>
      <c r="D1022" s="34">
        <v>43096</v>
      </c>
      <c r="E1022" s="33">
        <v>3478819</v>
      </c>
      <c r="F1022" s="33">
        <f t="shared" ca="1" si="94"/>
        <v>9</v>
      </c>
      <c r="G1022" s="33"/>
      <c r="H1022" s="33"/>
      <c r="I1022" s="32"/>
      <c r="J1022" s="1"/>
      <c r="K1022" s="1"/>
      <c r="L1022" s="8"/>
      <c r="M1022" s="8"/>
      <c r="N1022" s="8"/>
      <c r="O1022" s="8"/>
      <c r="P1022" s="104"/>
      <c r="Q1022" s="5"/>
      <c r="R1022" s="8"/>
    </row>
    <row r="1023" spans="1:18" x14ac:dyDescent="0.3">
      <c r="A1023" s="389"/>
      <c r="B1023" s="111"/>
      <c r="C1023" s="33" t="s">
        <v>397</v>
      </c>
      <c r="D1023" s="34">
        <v>43846</v>
      </c>
      <c r="E1023" s="33">
        <v>4478819</v>
      </c>
      <c r="F1023" s="33">
        <f t="shared" ca="1" si="94"/>
        <v>6</v>
      </c>
      <c r="G1023" s="33"/>
      <c r="H1023" s="33"/>
      <c r="I1023" s="32"/>
      <c r="J1023" s="1"/>
      <c r="K1023" s="1"/>
      <c r="L1023" s="8"/>
      <c r="M1023" s="8"/>
      <c r="N1023" s="8"/>
      <c r="O1023" s="8"/>
      <c r="P1023" s="104"/>
      <c r="Q1023" s="5"/>
      <c r="R1023" s="8"/>
    </row>
    <row r="1024" spans="1:18" x14ac:dyDescent="0.3">
      <c r="A1024" s="398" t="s">
        <v>1122</v>
      </c>
      <c r="B1024" s="121"/>
      <c r="C1024" s="27" t="s">
        <v>2391</v>
      </c>
      <c r="D1024" s="28">
        <v>18936</v>
      </c>
      <c r="E1024" s="27">
        <v>1476812</v>
      </c>
      <c r="F1024" s="27">
        <f t="shared" ca="1" si="94"/>
        <v>75</v>
      </c>
      <c r="G1024" s="27" t="s">
        <v>2392</v>
      </c>
      <c r="H1024" s="27"/>
      <c r="I1024" s="27"/>
      <c r="J1024" s="27"/>
      <c r="K1024" s="27" t="s">
        <v>2393</v>
      </c>
      <c r="L1024" s="8"/>
      <c r="M1024" s="8"/>
      <c r="N1024" s="8"/>
      <c r="O1024" s="8"/>
      <c r="P1024" s="9"/>
      <c r="Q1024" s="3"/>
      <c r="R1024" s="8"/>
    </row>
    <row r="1025" spans="1:18" x14ac:dyDescent="0.3">
      <c r="A1025" s="399"/>
      <c r="B1025" s="121"/>
      <c r="C1025" s="27" t="s">
        <v>2394</v>
      </c>
      <c r="D1025" s="28">
        <v>20856</v>
      </c>
      <c r="E1025" s="27">
        <v>2475744</v>
      </c>
      <c r="F1025" s="27">
        <f t="shared" ca="1" si="94"/>
        <v>69</v>
      </c>
      <c r="G1025" s="27" t="s">
        <v>2395</v>
      </c>
      <c r="H1025" s="27"/>
      <c r="I1025" s="27"/>
      <c r="J1025" s="27"/>
      <c r="K1025" s="27" t="s">
        <v>2396</v>
      </c>
      <c r="L1025" s="8"/>
      <c r="M1025" s="8"/>
      <c r="N1025" s="8"/>
      <c r="O1025" s="8"/>
      <c r="P1025" s="9"/>
      <c r="Q1025" s="3"/>
      <c r="R1025" s="8"/>
    </row>
    <row r="1026" spans="1:18" x14ac:dyDescent="0.3">
      <c r="A1026" s="399"/>
      <c r="B1026" s="121" t="s">
        <v>2397</v>
      </c>
      <c r="C1026" s="27" t="s">
        <v>2398</v>
      </c>
      <c r="D1026" s="28">
        <v>29907</v>
      </c>
      <c r="E1026" s="27">
        <v>2475711</v>
      </c>
      <c r="F1026" s="27">
        <f t="shared" ca="1" si="94"/>
        <v>45</v>
      </c>
      <c r="G1026" s="27" t="s">
        <v>2399</v>
      </c>
      <c r="H1026" s="27"/>
      <c r="I1026" s="27" t="s">
        <v>2400</v>
      </c>
      <c r="J1026" s="27" t="s">
        <v>2401</v>
      </c>
      <c r="K1026" s="27" t="s">
        <v>2402</v>
      </c>
      <c r="L1026" s="8"/>
      <c r="M1026" s="8"/>
      <c r="N1026" s="8"/>
      <c r="O1026" s="8"/>
      <c r="P1026" s="9"/>
      <c r="Q1026" s="3"/>
      <c r="R1026" s="8"/>
    </row>
    <row r="1027" spans="1:18" x14ac:dyDescent="0.3">
      <c r="A1027" s="433"/>
      <c r="B1027" s="121"/>
      <c r="C1027" s="27" t="s">
        <v>1123</v>
      </c>
      <c r="D1027" s="28">
        <v>31105</v>
      </c>
      <c r="E1027" s="27">
        <v>2475735</v>
      </c>
      <c r="F1027" s="27">
        <f t="shared" ca="1" si="94"/>
        <v>41</v>
      </c>
      <c r="G1027" s="27" t="s">
        <v>1124</v>
      </c>
      <c r="H1027" s="27"/>
      <c r="I1027" s="27"/>
      <c r="J1027" s="27"/>
      <c r="K1027" s="27"/>
      <c r="L1027" s="8"/>
      <c r="M1027" s="8"/>
      <c r="N1027" s="8"/>
      <c r="O1027" s="8"/>
      <c r="P1027" s="9"/>
      <c r="Q1027" s="3"/>
      <c r="R1027" s="8"/>
    </row>
    <row r="1028" spans="1:18" x14ac:dyDescent="0.3">
      <c r="A1028" s="433"/>
      <c r="B1028" s="121" t="s">
        <v>2403</v>
      </c>
      <c r="C1028" s="27" t="s">
        <v>2404</v>
      </c>
      <c r="D1028" s="28">
        <v>29662</v>
      </c>
      <c r="E1028" s="27">
        <v>1451216</v>
      </c>
      <c r="F1028" s="27">
        <f t="shared" ca="1" si="94"/>
        <v>45</v>
      </c>
      <c r="G1028" s="27" t="s">
        <v>2405</v>
      </c>
      <c r="H1028" s="27"/>
      <c r="I1028" s="27" t="s">
        <v>2406</v>
      </c>
      <c r="J1028" s="27"/>
      <c r="K1028" s="27"/>
      <c r="L1028" s="8"/>
      <c r="M1028" s="8"/>
      <c r="N1028" s="8"/>
      <c r="O1028" s="8"/>
      <c r="P1028" s="9"/>
      <c r="Q1028" s="3"/>
      <c r="R1028" s="8"/>
    </row>
    <row r="1029" spans="1:18" x14ac:dyDescent="0.3">
      <c r="A1029" s="433"/>
      <c r="B1029" s="121"/>
      <c r="C1029" s="27" t="s">
        <v>2407</v>
      </c>
      <c r="D1029" s="28">
        <v>18365</v>
      </c>
      <c r="E1029" s="27">
        <v>1451211</v>
      </c>
      <c r="F1029" s="27">
        <f t="shared" ca="1" si="94"/>
        <v>76</v>
      </c>
      <c r="G1029" s="27" t="s">
        <v>2408</v>
      </c>
      <c r="H1029" s="27"/>
      <c r="I1029" s="27"/>
      <c r="J1029" s="27"/>
      <c r="K1029" s="27"/>
      <c r="L1029" s="8"/>
      <c r="M1029" s="8"/>
      <c r="N1029" s="8"/>
      <c r="O1029" s="8"/>
      <c r="P1029" s="9"/>
      <c r="Q1029" s="3"/>
      <c r="R1029" s="8"/>
    </row>
    <row r="1030" spans="1:18" x14ac:dyDescent="0.3">
      <c r="A1030" s="433"/>
      <c r="B1030" s="121"/>
      <c r="C1030" s="27" t="s">
        <v>2409</v>
      </c>
      <c r="D1030" s="28">
        <v>19483</v>
      </c>
      <c r="E1030" s="27">
        <v>2411511</v>
      </c>
      <c r="F1030" s="27">
        <f t="shared" ca="1" si="94"/>
        <v>73</v>
      </c>
      <c r="G1030" s="27" t="s">
        <v>2410</v>
      </c>
      <c r="H1030" s="27"/>
      <c r="I1030" s="27"/>
      <c r="J1030" s="27"/>
      <c r="K1030" s="27"/>
      <c r="L1030" s="8"/>
      <c r="M1030" s="8"/>
      <c r="N1030" s="8"/>
      <c r="O1030" s="8"/>
      <c r="P1030" s="9"/>
      <c r="Q1030" s="3"/>
      <c r="R1030" s="8"/>
    </row>
    <row r="1031" spans="1:18" x14ac:dyDescent="0.3">
      <c r="A1031" s="433"/>
      <c r="B1031" s="121"/>
      <c r="C1031" s="27" t="s">
        <v>67</v>
      </c>
      <c r="D1031" s="28">
        <v>42164</v>
      </c>
      <c r="E1031" s="27">
        <v>3412911</v>
      </c>
      <c r="F1031" s="27">
        <f t="shared" ca="1" si="94"/>
        <v>11</v>
      </c>
      <c r="G1031" s="27"/>
      <c r="H1031" s="27"/>
      <c r="I1031" s="27"/>
      <c r="J1031" s="27"/>
      <c r="K1031" s="27"/>
      <c r="L1031" s="8"/>
      <c r="M1031" s="8"/>
      <c r="N1031" s="8"/>
      <c r="O1031" s="8"/>
      <c r="P1031" s="9"/>
      <c r="Q1031" s="3"/>
      <c r="R1031" s="8"/>
    </row>
    <row r="1032" spans="1:18" x14ac:dyDescent="0.3">
      <c r="A1032" s="419"/>
      <c r="B1032" s="121"/>
      <c r="C1032" s="27" t="s">
        <v>2411</v>
      </c>
      <c r="D1032" s="28">
        <v>43467</v>
      </c>
      <c r="E1032" s="27">
        <v>3412512</v>
      </c>
      <c r="F1032" s="27">
        <f t="shared" ca="1" si="94"/>
        <v>7</v>
      </c>
      <c r="G1032" s="27"/>
      <c r="H1032" s="27"/>
      <c r="I1032" s="27"/>
      <c r="J1032" s="27"/>
      <c r="K1032" s="27"/>
      <c r="L1032" s="8"/>
      <c r="M1032" s="8"/>
      <c r="N1032" s="8"/>
      <c r="O1032" s="8"/>
      <c r="P1032" s="9"/>
      <c r="Q1032" s="3"/>
      <c r="R1032" s="8"/>
    </row>
    <row r="1033" spans="1:18" ht="33" x14ac:dyDescent="0.3">
      <c r="A1033" s="422" t="s">
        <v>1553</v>
      </c>
      <c r="B1033" s="115">
        <v>44878</v>
      </c>
      <c r="C1033" s="1" t="s">
        <v>398</v>
      </c>
      <c r="D1033" s="2">
        <v>25810</v>
      </c>
      <c r="E1033" s="1">
        <v>1788319</v>
      </c>
      <c r="F1033" s="1">
        <f t="shared" ref="F1033:F1058" ca="1" si="97">YEAR(TODAY())-YEAR(D1033)</f>
        <v>56</v>
      </c>
      <c r="G1033" s="1" t="s">
        <v>1554</v>
      </c>
      <c r="H1033" s="1"/>
      <c r="I1033" s="231" t="s">
        <v>2412</v>
      </c>
      <c r="J1033" s="1"/>
      <c r="K1033" s="1"/>
      <c r="L1033" s="8"/>
      <c r="M1033" s="8"/>
      <c r="N1033" s="8"/>
      <c r="O1033" s="8"/>
      <c r="P1033" s="104"/>
      <c r="Q1033" s="5"/>
      <c r="R1033" s="8"/>
    </row>
    <row r="1034" spans="1:18" x14ac:dyDescent="0.3">
      <c r="A1034" s="423"/>
      <c r="B1034" s="109"/>
      <c r="C1034" s="1" t="s">
        <v>399</v>
      </c>
      <c r="D1034" s="2">
        <v>25766</v>
      </c>
      <c r="E1034" s="1">
        <v>2251227</v>
      </c>
      <c r="F1034" s="1">
        <f t="shared" ca="1" si="97"/>
        <v>56</v>
      </c>
      <c r="G1034" s="1" t="s">
        <v>1556</v>
      </c>
      <c r="H1034" s="1"/>
      <c r="I1034" s="8"/>
      <c r="J1034" s="1"/>
      <c r="K1034" s="1"/>
      <c r="L1034" s="8"/>
      <c r="M1034" s="8"/>
      <c r="N1034" s="8"/>
      <c r="O1034" s="8"/>
      <c r="P1034" s="104"/>
      <c r="Q1034" s="5"/>
      <c r="R1034" s="8"/>
    </row>
    <row r="1035" spans="1:18" x14ac:dyDescent="0.3">
      <c r="A1035" s="423"/>
      <c r="B1035" s="109"/>
      <c r="C1035" s="1" t="s">
        <v>400</v>
      </c>
      <c r="D1035" s="2">
        <v>36275</v>
      </c>
      <c r="E1035" s="1">
        <v>1735117</v>
      </c>
      <c r="F1035" s="1">
        <f t="shared" ca="1" si="97"/>
        <v>27</v>
      </c>
      <c r="G1035" s="1"/>
      <c r="H1035" s="1"/>
      <c r="I1035" s="8"/>
      <c r="J1035" s="1"/>
      <c r="K1035" s="1"/>
      <c r="L1035" s="8"/>
      <c r="M1035" s="8"/>
      <c r="N1035" s="8"/>
      <c r="O1035" s="8"/>
      <c r="P1035" s="104"/>
      <c r="Q1035" s="5"/>
      <c r="R1035" s="8"/>
    </row>
    <row r="1036" spans="1:18" x14ac:dyDescent="0.3">
      <c r="A1036" s="423"/>
      <c r="B1036" s="109"/>
      <c r="C1036" s="1" t="s">
        <v>401</v>
      </c>
      <c r="D1036" s="2">
        <v>37284</v>
      </c>
      <c r="E1036" s="1">
        <v>3735219</v>
      </c>
      <c r="F1036" s="1">
        <f t="shared" ca="1" si="97"/>
        <v>24</v>
      </c>
      <c r="G1036" s="1"/>
      <c r="H1036" s="1"/>
      <c r="I1036" s="8"/>
      <c r="J1036" s="1"/>
      <c r="K1036" s="1"/>
      <c r="L1036" s="8"/>
      <c r="M1036" s="8"/>
      <c r="N1036" s="8"/>
      <c r="O1036" s="8"/>
      <c r="P1036" s="104"/>
      <c r="Q1036" s="5"/>
      <c r="R1036" s="8"/>
    </row>
    <row r="1037" spans="1:18" x14ac:dyDescent="0.3">
      <c r="A1037" s="414" t="s">
        <v>2413</v>
      </c>
      <c r="B1037" s="112">
        <v>44878</v>
      </c>
      <c r="C1037" s="30" t="s">
        <v>402</v>
      </c>
      <c r="D1037" s="31">
        <v>28895</v>
      </c>
      <c r="E1037" s="30">
        <v>1273413</v>
      </c>
      <c r="F1037" s="30">
        <f t="shared" ca="1" si="97"/>
        <v>47</v>
      </c>
      <c r="G1037" s="30" t="s">
        <v>2414</v>
      </c>
      <c r="H1037" s="30"/>
      <c r="I1037" s="29" t="s">
        <v>2415</v>
      </c>
      <c r="J1037" s="1"/>
      <c r="K1037" s="1"/>
      <c r="L1037" s="8"/>
      <c r="M1037" s="8"/>
      <c r="N1037" s="8"/>
      <c r="O1037" s="8"/>
      <c r="P1037" s="104"/>
      <c r="Q1037" s="5"/>
      <c r="R1037" s="8"/>
    </row>
    <row r="1038" spans="1:18" x14ac:dyDescent="0.3">
      <c r="A1038" s="414"/>
      <c r="B1038" s="113"/>
      <c r="C1038" s="30" t="s">
        <v>403</v>
      </c>
      <c r="D1038" s="31">
        <v>29495</v>
      </c>
      <c r="E1038" s="30">
        <v>2476015</v>
      </c>
      <c r="F1038" s="30">
        <f t="shared" ca="1" si="97"/>
        <v>46</v>
      </c>
      <c r="G1038" s="30" t="s">
        <v>2416</v>
      </c>
      <c r="H1038" s="30"/>
      <c r="I1038" s="29"/>
      <c r="J1038" s="1"/>
      <c r="K1038" s="1"/>
      <c r="L1038" s="8"/>
      <c r="M1038" s="8"/>
      <c r="N1038" s="8"/>
      <c r="O1038" s="8"/>
      <c r="P1038" s="104"/>
      <c r="Q1038" s="5"/>
      <c r="R1038" s="8"/>
    </row>
    <row r="1039" spans="1:18" x14ac:dyDescent="0.3">
      <c r="A1039" s="414"/>
      <c r="B1039" s="113"/>
      <c r="C1039" s="30" t="s">
        <v>404</v>
      </c>
      <c r="D1039" s="31">
        <v>40350</v>
      </c>
      <c r="E1039" s="30">
        <v>4215211</v>
      </c>
      <c r="F1039" s="30">
        <f t="shared" ca="1" si="97"/>
        <v>16</v>
      </c>
      <c r="G1039" s="30"/>
      <c r="H1039" s="30"/>
      <c r="I1039" s="29"/>
      <c r="J1039" s="1"/>
      <c r="K1039" s="1"/>
      <c r="L1039" s="8"/>
      <c r="M1039" s="8"/>
      <c r="N1039" s="8"/>
      <c r="O1039" s="8"/>
      <c r="P1039" s="104"/>
      <c r="Q1039" s="5"/>
      <c r="R1039" s="8"/>
    </row>
    <row r="1040" spans="1:18" x14ac:dyDescent="0.3">
      <c r="A1040" s="414"/>
      <c r="B1040" s="113"/>
      <c r="C1040" s="30" t="s">
        <v>405</v>
      </c>
      <c r="D1040" s="31">
        <v>41685</v>
      </c>
      <c r="E1040" s="30">
        <v>3475913</v>
      </c>
      <c r="F1040" s="30">
        <f t="shared" ca="1" si="97"/>
        <v>12</v>
      </c>
      <c r="G1040" s="30"/>
      <c r="H1040" s="30"/>
      <c r="I1040" s="29"/>
      <c r="J1040" s="1"/>
      <c r="K1040" s="1"/>
      <c r="L1040" s="8"/>
      <c r="M1040" s="8"/>
      <c r="N1040" s="8"/>
      <c r="O1040" s="8"/>
      <c r="P1040" s="104"/>
      <c r="Q1040" s="5"/>
      <c r="R1040" s="8"/>
    </row>
    <row r="1041" spans="1:18" x14ac:dyDescent="0.3">
      <c r="A1041" s="414"/>
      <c r="B1041" s="113"/>
      <c r="C1041" s="30" t="s">
        <v>406</v>
      </c>
      <c r="D1041" s="31">
        <v>27044</v>
      </c>
      <c r="E1041" s="30">
        <v>2273617</v>
      </c>
      <c r="F1041" s="30">
        <f t="shared" ca="1" si="97"/>
        <v>52</v>
      </c>
      <c r="G1041" s="30"/>
      <c r="H1041" s="30"/>
      <c r="I1041" s="29"/>
      <c r="J1041" s="1"/>
      <c r="K1041" s="1"/>
      <c r="L1041" s="8"/>
      <c r="M1041" s="8"/>
      <c r="N1041" s="8"/>
      <c r="O1041" s="8"/>
      <c r="P1041" s="104"/>
      <c r="Q1041" s="5"/>
      <c r="R1041" s="8"/>
    </row>
    <row r="1042" spans="1:18" x14ac:dyDescent="0.3">
      <c r="A1042" s="404" t="s">
        <v>1122</v>
      </c>
      <c r="B1042" s="111"/>
      <c r="C1042" s="33" t="s">
        <v>2391</v>
      </c>
      <c r="D1042" s="34">
        <v>18936</v>
      </c>
      <c r="E1042" s="33">
        <v>1476812</v>
      </c>
      <c r="F1042" s="33">
        <f t="shared" ref="F1042:F1050" ca="1" si="98">YEAR(TODAY())-YEAR(D1042)</f>
        <v>75</v>
      </c>
      <c r="G1042" s="33" t="s">
        <v>2392</v>
      </c>
      <c r="H1042" s="33"/>
      <c r="I1042" s="33"/>
      <c r="J1042" s="33"/>
      <c r="K1042" s="33" t="s">
        <v>2393</v>
      </c>
      <c r="L1042" s="8"/>
      <c r="M1042" s="8"/>
      <c r="N1042" s="8"/>
      <c r="O1042" s="8"/>
      <c r="P1042" s="9"/>
      <c r="Q1042" s="3"/>
      <c r="R1042" s="8"/>
    </row>
    <row r="1043" spans="1:18" x14ac:dyDescent="0.3">
      <c r="A1043" s="405"/>
      <c r="B1043" s="111"/>
      <c r="C1043" s="33" t="s">
        <v>2394</v>
      </c>
      <c r="D1043" s="34">
        <v>20856</v>
      </c>
      <c r="E1043" s="33">
        <v>2475744</v>
      </c>
      <c r="F1043" s="33">
        <f t="shared" ca="1" si="98"/>
        <v>69</v>
      </c>
      <c r="G1043" s="33" t="s">
        <v>2395</v>
      </c>
      <c r="H1043" s="33"/>
      <c r="I1043" s="33"/>
      <c r="J1043" s="33"/>
      <c r="K1043" s="33" t="s">
        <v>2396</v>
      </c>
      <c r="L1043" s="8"/>
      <c r="M1043" s="8"/>
      <c r="N1043" s="8"/>
      <c r="O1043" s="8"/>
      <c r="P1043" s="9"/>
      <c r="Q1043" s="3"/>
      <c r="R1043" s="8"/>
    </row>
    <row r="1044" spans="1:18" x14ac:dyDescent="0.3">
      <c r="A1044" s="405"/>
      <c r="B1044" s="111" t="s">
        <v>2397</v>
      </c>
      <c r="C1044" s="33" t="s">
        <v>2398</v>
      </c>
      <c r="D1044" s="34">
        <v>29907</v>
      </c>
      <c r="E1044" s="33">
        <v>2475711</v>
      </c>
      <c r="F1044" s="33">
        <f t="shared" ca="1" si="98"/>
        <v>45</v>
      </c>
      <c r="G1044" s="33" t="s">
        <v>2399</v>
      </c>
      <c r="H1044" s="33"/>
      <c r="I1044" s="33" t="s">
        <v>2400</v>
      </c>
      <c r="J1044" s="33" t="s">
        <v>2401</v>
      </c>
      <c r="K1044" s="33" t="s">
        <v>2402</v>
      </c>
      <c r="L1044" s="8"/>
      <c r="M1044" s="8"/>
      <c r="N1044" s="8"/>
      <c r="O1044" s="8"/>
      <c r="P1044" s="9"/>
      <c r="Q1044" s="3"/>
      <c r="R1044" s="8"/>
    </row>
    <row r="1045" spans="1:18" x14ac:dyDescent="0.3">
      <c r="A1045" s="405"/>
      <c r="B1045" s="111"/>
      <c r="C1045" s="33" t="s">
        <v>1123</v>
      </c>
      <c r="D1045" s="34">
        <v>31105</v>
      </c>
      <c r="E1045" s="33">
        <v>2475735</v>
      </c>
      <c r="F1045" s="33">
        <f t="shared" ca="1" si="98"/>
        <v>41</v>
      </c>
      <c r="G1045" s="33" t="s">
        <v>1124</v>
      </c>
      <c r="H1045" s="33"/>
      <c r="I1045" s="33"/>
      <c r="J1045" s="33"/>
      <c r="K1045" s="33"/>
      <c r="L1045" s="8"/>
      <c r="M1045" s="8"/>
      <c r="N1045" s="8"/>
      <c r="O1045" s="8"/>
      <c r="P1045" s="9"/>
      <c r="Q1045" s="3"/>
      <c r="R1045" s="8"/>
    </row>
    <row r="1046" spans="1:18" x14ac:dyDescent="0.3">
      <c r="A1046" s="405"/>
      <c r="B1046" s="111" t="s">
        <v>2403</v>
      </c>
      <c r="C1046" s="33" t="s">
        <v>2404</v>
      </c>
      <c r="D1046" s="34">
        <v>29662</v>
      </c>
      <c r="E1046" s="33">
        <v>1451216</v>
      </c>
      <c r="F1046" s="33">
        <f t="shared" ca="1" si="98"/>
        <v>45</v>
      </c>
      <c r="G1046" s="33" t="s">
        <v>2405</v>
      </c>
      <c r="H1046" s="33"/>
      <c r="I1046" s="33" t="s">
        <v>2406</v>
      </c>
      <c r="J1046" s="33"/>
      <c r="K1046" s="33"/>
      <c r="L1046" s="8"/>
      <c r="M1046" s="8"/>
      <c r="N1046" s="8"/>
      <c r="O1046" s="8"/>
      <c r="P1046" s="9"/>
      <c r="Q1046" s="3"/>
      <c r="R1046" s="8"/>
    </row>
    <row r="1047" spans="1:18" x14ac:dyDescent="0.3">
      <c r="A1047" s="405"/>
      <c r="B1047" s="111"/>
      <c r="C1047" s="33" t="s">
        <v>2407</v>
      </c>
      <c r="D1047" s="34">
        <v>18365</v>
      </c>
      <c r="E1047" s="33">
        <v>1451211</v>
      </c>
      <c r="F1047" s="33">
        <f t="shared" ca="1" si="98"/>
        <v>76</v>
      </c>
      <c r="G1047" s="33" t="s">
        <v>2408</v>
      </c>
      <c r="H1047" s="33"/>
      <c r="I1047" s="33"/>
      <c r="J1047" s="33"/>
      <c r="K1047" s="33"/>
      <c r="L1047" s="8"/>
      <c r="M1047" s="8"/>
      <c r="N1047" s="8"/>
      <c r="O1047" s="8"/>
      <c r="P1047" s="9"/>
      <c r="Q1047" s="3"/>
      <c r="R1047" s="8"/>
    </row>
    <row r="1048" spans="1:18" x14ac:dyDescent="0.3">
      <c r="A1048" s="405"/>
      <c r="B1048" s="111"/>
      <c r="C1048" s="33" t="s">
        <v>2409</v>
      </c>
      <c r="D1048" s="34">
        <v>19483</v>
      </c>
      <c r="E1048" s="33">
        <v>2411511</v>
      </c>
      <c r="F1048" s="33">
        <f t="shared" ca="1" si="98"/>
        <v>73</v>
      </c>
      <c r="G1048" s="33" t="s">
        <v>2410</v>
      </c>
      <c r="H1048" s="33"/>
      <c r="I1048" s="33"/>
      <c r="J1048" s="33"/>
      <c r="K1048" s="33"/>
      <c r="L1048" s="8"/>
      <c r="M1048" s="8"/>
      <c r="N1048" s="8"/>
      <c r="O1048" s="8"/>
      <c r="P1048" s="9"/>
      <c r="Q1048" s="3"/>
      <c r="R1048" s="8"/>
    </row>
    <row r="1049" spans="1:18" x14ac:dyDescent="0.3">
      <c r="A1049" s="405"/>
      <c r="B1049" s="111"/>
      <c r="C1049" s="33" t="s">
        <v>67</v>
      </c>
      <c r="D1049" s="34">
        <v>42164</v>
      </c>
      <c r="E1049" s="33">
        <v>3412911</v>
      </c>
      <c r="F1049" s="33">
        <f t="shared" ca="1" si="98"/>
        <v>11</v>
      </c>
      <c r="G1049" s="33"/>
      <c r="H1049" s="33"/>
      <c r="I1049" s="33"/>
      <c r="J1049" s="33"/>
      <c r="K1049" s="33"/>
      <c r="L1049" s="8"/>
      <c r="M1049" s="8"/>
      <c r="N1049" s="8"/>
      <c r="O1049" s="8"/>
      <c r="P1049" s="9"/>
      <c r="Q1049" s="3"/>
      <c r="R1049" s="8"/>
    </row>
    <row r="1050" spans="1:18" x14ac:dyDescent="0.3">
      <c r="A1050" s="406"/>
      <c r="B1050" s="111"/>
      <c r="C1050" s="33" t="s">
        <v>2411</v>
      </c>
      <c r="D1050" s="34">
        <v>43467</v>
      </c>
      <c r="E1050" s="33">
        <v>3412512</v>
      </c>
      <c r="F1050" s="33">
        <f t="shared" ca="1" si="98"/>
        <v>7</v>
      </c>
      <c r="G1050" s="33"/>
      <c r="H1050" s="33"/>
      <c r="I1050" s="33"/>
      <c r="J1050" s="33"/>
      <c r="K1050" s="33"/>
      <c r="L1050" s="8"/>
      <c r="M1050" s="8"/>
      <c r="N1050" s="8"/>
      <c r="O1050" s="8"/>
      <c r="P1050" s="9"/>
      <c r="Q1050" s="3"/>
      <c r="R1050" s="8"/>
    </row>
    <row r="1051" spans="1:18" x14ac:dyDescent="0.3">
      <c r="A1051" s="422" t="s">
        <v>2417</v>
      </c>
      <c r="B1051" s="115">
        <v>45243</v>
      </c>
      <c r="C1051" s="1" t="s">
        <v>543</v>
      </c>
      <c r="D1051" s="2">
        <v>27520</v>
      </c>
      <c r="E1051" s="1">
        <v>1140523</v>
      </c>
      <c r="F1051" s="1">
        <f t="shared" ca="1" si="97"/>
        <v>51</v>
      </c>
      <c r="G1051" s="1" t="s">
        <v>2418</v>
      </c>
      <c r="H1051" s="1"/>
      <c r="I1051" s="8" t="s">
        <v>2419</v>
      </c>
      <c r="J1051" s="1"/>
      <c r="K1051" s="1"/>
      <c r="L1051" s="8"/>
      <c r="M1051" s="8"/>
      <c r="N1051" s="8"/>
      <c r="O1051" s="8"/>
      <c r="P1051" s="104"/>
      <c r="Q1051" s="5"/>
      <c r="R1051" s="8"/>
    </row>
    <row r="1052" spans="1:18" x14ac:dyDescent="0.3">
      <c r="A1052" s="423"/>
      <c r="B1052" s="109"/>
      <c r="C1052" s="1" t="s">
        <v>544</v>
      </c>
      <c r="D1052" s="2">
        <v>28090</v>
      </c>
      <c r="E1052" s="1">
        <v>2475747</v>
      </c>
      <c r="F1052" s="1">
        <f t="shared" ca="1" si="97"/>
        <v>50</v>
      </c>
      <c r="G1052" s="1" t="s">
        <v>2420</v>
      </c>
      <c r="H1052" s="1"/>
      <c r="I1052" s="8"/>
      <c r="J1052" s="1"/>
      <c r="K1052" s="1"/>
      <c r="L1052" s="8"/>
      <c r="M1052" s="8"/>
      <c r="N1052" s="8"/>
      <c r="O1052" s="8"/>
      <c r="P1052" s="104"/>
      <c r="Q1052" s="5"/>
      <c r="R1052" s="8"/>
    </row>
    <row r="1053" spans="1:18" x14ac:dyDescent="0.3">
      <c r="A1053" s="423"/>
      <c r="B1053" s="109"/>
      <c r="C1053" s="1" t="s">
        <v>545</v>
      </c>
      <c r="D1053" s="2">
        <v>36820</v>
      </c>
      <c r="E1053" s="1">
        <v>4419412</v>
      </c>
      <c r="F1053" s="1">
        <f t="shared" ca="1" si="97"/>
        <v>26</v>
      </c>
      <c r="G1053" s="1"/>
      <c r="H1053" s="1"/>
      <c r="I1053" s="8"/>
      <c r="J1053" s="1"/>
      <c r="K1053" s="1"/>
      <c r="L1053" s="8"/>
      <c r="M1053" s="8"/>
      <c r="N1053" s="8"/>
      <c r="O1053" s="8"/>
      <c r="P1053" s="104"/>
      <c r="Q1053" s="5"/>
      <c r="R1053" s="8"/>
    </row>
    <row r="1054" spans="1:18" x14ac:dyDescent="0.3">
      <c r="A1054" s="230" t="s">
        <v>1031</v>
      </c>
      <c r="B1054" s="118">
        <v>45244</v>
      </c>
      <c r="C1054" s="40" t="s">
        <v>1032</v>
      </c>
      <c r="D1054" s="41">
        <v>28079</v>
      </c>
      <c r="E1054" s="40">
        <v>1475912</v>
      </c>
      <c r="F1054" s="40">
        <f t="shared" ca="1" si="97"/>
        <v>50</v>
      </c>
      <c r="G1054" s="40"/>
      <c r="H1054" s="40"/>
      <c r="I1054" s="39" t="s">
        <v>2421</v>
      </c>
      <c r="J1054" s="1"/>
      <c r="K1054" s="1"/>
      <c r="L1054" s="8"/>
      <c r="M1054" s="8"/>
      <c r="N1054" s="8"/>
      <c r="O1054" s="8"/>
      <c r="P1054" s="104"/>
      <c r="Q1054" s="5"/>
      <c r="R1054" s="8"/>
    </row>
    <row r="1055" spans="1:18" x14ac:dyDescent="0.3">
      <c r="A1055" s="408" t="s">
        <v>1323</v>
      </c>
      <c r="B1055" s="112">
        <v>45244</v>
      </c>
      <c r="C1055" s="30" t="s">
        <v>708</v>
      </c>
      <c r="D1055" s="31">
        <v>28941</v>
      </c>
      <c r="E1055" s="30">
        <v>1462419</v>
      </c>
      <c r="F1055" s="30">
        <f t="shared" ca="1" si="97"/>
        <v>47</v>
      </c>
      <c r="G1055" s="30" t="s">
        <v>1924</v>
      </c>
      <c r="H1055" s="30"/>
      <c r="I1055" s="29" t="s">
        <v>2422</v>
      </c>
      <c r="J1055" s="1"/>
      <c r="K1055" s="1"/>
      <c r="L1055" s="8"/>
      <c r="M1055" s="8"/>
      <c r="N1055" s="8"/>
      <c r="O1055" s="8"/>
      <c r="P1055" s="104"/>
      <c r="Q1055" s="5"/>
      <c r="R1055" s="8"/>
    </row>
    <row r="1056" spans="1:18" x14ac:dyDescent="0.3">
      <c r="A1056" s="427"/>
      <c r="B1056" s="112"/>
      <c r="C1056" s="30" t="s">
        <v>709</v>
      </c>
      <c r="D1056" s="31">
        <v>19262</v>
      </c>
      <c r="E1056" s="30">
        <v>1462513</v>
      </c>
      <c r="F1056" s="30">
        <f t="shared" ca="1" si="97"/>
        <v>74</v>
      </c>
      <c r="G1056" s="30"/>
      <c r="H1056" s="30"/>
      <c r="I1056" s="29"/>
      <c r="J1056" s="1"/>
      <c r="K1056" s="1"/>
      <c r="L1056" s="8"/>
      <c r="M1056" s="8"/>
      <c r="N1056" s="8"/>
      <c r="O1056" s="8"/>
      <c r="P1056" s="104"/>
      <c r="Q1056" s="5"/>
      <c r="R1056" s="8"/>
    </row>
    <row r="1057" spans="1:18" x14ac:dyDescent="0.3">
      <c r="A1057" s="229" t="s">
        <v>1044</v>
      </c>
      <c r="B1057" s="117">
        <v>45245</v>
      </c>
      <c r="C1057" s="27" t="s">
        <v>1045</v>
      </c>
      <c r="D1057" s="28">
        <v>31497</v>
      </c>
      <c r="E1057" s="27">
        <v>2482613</v>
      </c>
      <c r="F1057" s="27">
        <f t="shared" ca="1" si="97"/>
        <v>40</v>
      </c>
      <c r="G1057" s="27" t="s">
        <v>1046</v>
      </c>
      <c r="H1057" s="27"/>
      <c r="I1057" s="26" t="s">
        <v>2423</v>
      </c>
      <c r="J1057" s="1"/>
      <c r="K1057" s="1"/>
      <c r="L1057" s="8"/>
      <c r="M1057" s="8"/>
      <c r="N1057" s="8"/>
      <c r="O1057" s="8"/>
      <c r="P1057" s="104"/>
      <c r="Q1057" s="5"/>
      <c r="R1057" s="8"/>
    </row>
    <row r="1058" spans="1:18" x14ac:dyDescent="0.3">
      <c r="A1058" s="248" t="s">
        <v>1744</v>
      </c>
      <c r="B1058" s="119">
        <v>45246</v>
      </c>
      <c r="C1058" s="36" t="s">
        <v>1745</v>
      </c>
      <c r="D1058" s="37">
        <v>27601</v>
      </c>
      <c r="E1058" s="36">
        <v>2537121</v>
      </c>
      <c r="F1058" s="36">
        <f t="shared" ca="1" si="97"/>
        <v>51</v>
      </c>
      <c r="G1058" s="36" t="s">
        <v>1746</v>
      </c>
      <c r="H1058" s="36"/>
      <c r="I1058" s="35" t="s">
        <v>2424</v>
      </c>
      <c r="J1058" s="1"/>
      <c r="K1058" s="1"/>
      <c r="L1058" s="8"/>
      <c r="M1058" s="8"/>
      <c r="N1058" s="8"/>
      <c r="O1058" s="8"/>
      <c r="P1058" s="104"/>
      <c r="Q1058" s="5"/>
      <c r="R1058" s="8"/>
    </row>
    <row r="1059" spans="1:18" x14ac:dyDescent="0.3">
      <c r="A1059" s="33"/>
      <c r="B1059" s="110">
        <v>44517</v>
      </c>
      <c r="C1059" s="33" t="s">
        <v>379</v>
      </c>
      <c r="D1059" s="41" t="s">
        <v>2075</v>
      </c>
      <c r="E1059" s="33"/>
      <c r="F1059" s="33"/>
      <c r="G1059" s="33"/>
      <c r="H1059" s="33"/>
      <c r="I1059" s="32" t="s">
        <v>408</v>
      </c>
      <c r="J1059" s="1"/>
      <c r="K1059" s="1"/>
      <c r="L1059" s="8"/>
      <c r="M1059" s="8"/>
      <c r="N1059" s="8"/>
      <c r="O1059" s="8"/>
      <c r="P1059" s="104"/>
      <c r="Q1059" s="5"/>
      <c r="R1059" s="8"/>
    </row>
    <row r="1060" spans="1:18" s="204" customFormat="1" x14ac:dyDescent="0.3">
      <c r="A1060" s="183" t="s">
        <v>1323</v>
      </c>
      <c r="B1060" s="112">
        <v>45247</v>
      </c>
      <c r="C1060" s="30" t="s">
        <v>709</v>
      </c>
      <c r="D1060" s="31">
        <v>19262</v>
      </c>
      <c r="E1060" s="30">
        <v>1462513</v>
      </c>
      <c r="F1060" s="30">
        <f t="shared" ref="F1060:F1070" ca="1" si="99">YEAR(TODAY())-YEAR(D1060)</f>
        <v>74</v>
      </c>
      <c r="G1060" s="30"/>
      <c r="H1060" s="30"/>
      <c r="I1060" s="29" t="s">
        <v>2425</v>
      </c>
      <c r="J1060" s="1"/>
      <c r="K1060" s="1"/>
      <c r="L1060" s="8"/>
      <c r="M1060" s="8"/>
      <c r="N1060" s="8"/>
      <c r="O1060" s="8"/>
      <c r="P1060" s="104"/>
      <c r="Q1060" s="5"/>
      <c r="R1060" s="8"/>
    </row>
    <row r="1061" spans="1:18" x14ac:dyDescent="0.3">
      <c r="A1061" s="381" t="s">
        <v>2128</v>
      </c>
      <c r="B1061" s="115">
        <v>45247</v>
      </c>
      <c r="C1061" s="1" t="s">
        <v>112</v>
      </c>
      <c r="D1061" s="2">
        <v>27127</v>
      </c>
      <c r="E1061" s="1">
        <v>1536627</v>
      </c>
      <c r="F1061" s="1">
        <f t="shared" ca="1" si="99"/>
        <v>52</v>
      </c>
      <c r="G1061" s="1" t="s">
        <v>2129</v>
      </c>
      <c r="H1061" s="1"/>
      <c r="I1061" s="8" t="s">
        <v>2426</v>
      </c>
      <c r="J1061" s="1"/>
      <c r="K1061" s="1"/>
      <c r="L1061" s="8"/>
      <c r="M1061" s="8"/>
      <c r="N1061" s="8"/>
      <c r="O1061" s="8"/>
      <c r="P1061" s="104"/>
      <c r="Q1061" s="5"/>
      <c r="R1061" s="8"/>
    </row>
    <row r="1062" spans="1:18" x14ac:dyDescent="0.3">
      <c r="A1062" s="384"/>
      <c r="B1062" s="109"/>
      <c r="C1062" s="1" t="s">
        <v>114</v>
      </c>
      <c r="D1062" s="2">
        <v>27530</v>
      </c>
      <c r="E1062" s="1">
        <v>2675911</v>
      </c>
      <c r="F1062" s="1">
        <f t="shared" ca="1" si="99"/>
        <v>51</v>
      </c>
      <c r="G1062" s="1" t="s">
        <v>2132</v>
      </c>
      <c r="H1062" s="1"/>
      <c r="I1062" s="8"/>
      <c r="J1062" s="1"/>
      <c r="K1062" s="1"/>
      <c r="L1062" s="8"/>
      <c r="M1062" s="8"/>
      <c r="N1062" s="8"/>
      <c r="O1062" s="8"/>
      <c r="P1062" s="104"/>
      <c r="Q1062" s="5"/>
      <c r="R1062" s="8"/>
    </row>
    <row r="1063" spans="1:18" x14ac:dyDescent="0.3">
      <c r="A1063" s="384"/>
      <c r="B1063" s="109"/>
      <c r="C1063" s="1" t="s">
        <v>115</v>
      </c>
      <c r="D1063" s="2">
        <v>40093</v>
      </c>
      <c r="E1063" s="1">
        <v>3211213</v>
      </c>
      <c r="F1063" s="1">
        <f t="shared" ca="1" si="99"/>
        <v>17</v>
      </c>
      <c r="G1063" s="1"/>
      <c r="H1063" s="1"/>
      <c r="I1063" s="8"/>
      <c r="J1063" s="1"/>
      <c r="K1063" s="1"/>
      <c r="L1063" s="8"/>
      <c r="M1063" s="8"/>
      <c r="N1063" s="8"/>
      <c r="O1063" s="8"/>
      <c r="P1063" s="104"/>
      <c r="Q1063" s="5"/>
      <c r="R1063" s="8"/>
    </row>
    <row r="1064" spans="1:18" x14ac:dyDescent="0.3">
      <c r="A1064" s="379"/>
      <c r="B1064" s="109"/>
      <c r="C1064" s="1" t="s">
        <v>116</v>
      </c>
      <c r="D1064" s="2">
        <v>39169</v>
      </c>
      <c r="E1064" s="1">
        <v>4253227</v>
      </c>
      <c r="F1064" s="1">
        <f t="shared" ca="1" si="99"/>
        <v>19</v>
      </c>
      <c r="G1064" s="1"/>
      <c r="H1064" s="1"/>
      <c r="I1064" s="8"/>
      <c r="J1064" s="1"/>
      <c r="K1064" s="1"/>
      <c r="L1064" s="8"/>
      <c r="M1064" s="8"/>
      <c r="N1064" s="8"/>
      <c r="O1064" s="8"/>
      <c r="P1064" s="104"/>
      <c r="Q1064" s="5"/>
      <c r="R1064" s="8"/>
    </row>
    <row r="1065" spans="1:18" x14ac:dyDescent="0.3">
      <c r="A1065" s="408" t="s">
        <v>960</v>
      </c>
      <c r="B1065" s="113"/>
      <c r="C1065" s="30" t="s">
        <v>2427</v>
      </c>
      <c r="D1065" s="31">
        <v>24785</v>
      </c>
      <c r="E1065" s="30">
        <v>2465211</v>
      </c>
      <c r="F1065" s="30">
        <f ca="1">YEAR(TODAY())-YEAR(D1065)</f>
        <v>59</v>
      </c>
      <c r="G1065" s="30" t="s">
        <v>2428</v>
      </c>
      <c r="H1065" s="30"/>
      <c r="I1065" s="30"/>
      <c r="J1065" s="30" t="s">
        <v>2429</v>
      </c>
      <c r="K1065" s="30"/>
      <c r="L1065" s="8"/>
      <c r="M1065" s="8"/>
      <c r="N1065" s="8"/>
      <c r="O1065" s="8"/>
      <c r="P1065" s="9"/>
      <c r="Q1065" s="3"/>
      <c r="R1065" s="8"/>
    </row>
    <row r="1066" spans="1:18" x14ac:dyDescent="0.3">
      <c r="A1066" s="409"/>
      <c r="B1066" s="113" t="s">
        <v>2430</v>
      </c>
      <c r="C1066" s="30" t="s">
        <v>962</v>
      </c>
      <c r="D1066" s="31">
        <v>25295</v>
      </c>
      <c r="E1066" s="30">
        <v>1810111</v>
      </c>
      <c r="F1066" s="30">
        <f t="shared" ref="F1066" ca="1" si="100">YEAR(TODAY())-YEAR(D1066)</f>
        <v>57</v>
      </c>
      <c r="G1066" s="30" t="s">
        <v>963</v>
      </c>
      <c r="H1066" s="30"/>
      <c r="I1066" s="30" t="s">
        <v>2431</v>
      </c>
      <c r="J1066" s="30"/>
      <c r="K1066" s="30"/>
      <c r="L1066" s="8"/>
      <c r="M1066" s="8"/>
      <c r="N1066" s="8"/>
      <c r="O1066" s="8"/>
      <c r="P1066" s="9"/>
      <c r="Q1066" s="3"/>
      <c r="R1066" s="8"/>
    </row>
    <row r="1067" spans="1:18" x14ac:dyDescent="0.3">
      <c r="A1067" s="409"/>
      <c r="B1067" s="113"/>
      <c r="C1067" s="30" t="s">
        <v>2432</v>
      </c>
      <c r="D1067" s="31">
        <v>38861</v>
      </c>
      <c r="E1067" s="30">
        <v>4227829</v>
      </c>
      <c r="F1067" s="30">
        <f ca="1">YEAR(TODAY())-YEAR(D1067)</f>
        <v>20</v>
      </c>
      <c r="G1067" s="30"/>
      <c r="H1067" s="30"/>
      <c r="I1067" s="30"/>
      <c r="J1067" s="30"/>
      <c r="K1067" s="30"/>
      <c r="L1067" s="8"/>
      <c r="M1067" s="8"/>
      <c r="N1067" s="8"/>
      <c r="O1067" s="8"/>
      <c r="P1067" s="9"/>
      <c r="Q1067" s="3"/>
      <c r="R1067" s="8"/>
    </row>
    <row r="1068" spans="1:18" x14ac:dyDescent="0.3">
      <c r="A1068" s="410"/>
      <c r="B1068" s="113"/>
      <c r="C1068" s="30" t="s">
        <v>2433</v>
      </c>
      <c r="D1068" s="31">
        <v>36790</v>
      </c>
      <c r="E1068" s="30">
        <v>3419316</v>
      </c>
      <c r="F1068" s="30">
        <f ca="1">YEAR(TODAY())-YEAR(D1068)</f>
        <v>26</v>
      </c>
      <c r="G1068" s="30" t="s">
        <v>2434</v>
      </c>
      <c r="H1068" s="30"/>
      <c r="I1068" s="30"/>
      <c r="J1068" s="30" t="s">
        <v>2435</v>
      </c>
      <c r="K1068" s="30"/>
      <c r="L1068" s="143" t="s">
        <v>2436</v>
      </c>
      <c r="M1068" s="8"/>
      <c r="N1068" s="8"/>
      <c r="O1068" s="8"/>
      <c r="P1068" s="9"/>
      <c r="Q1068" s="3"/>
      <c r="R1068" s="8"/>
    </row>
    <row r="1069" spans="1:18" x14ac:dyDescent="0.3">
      <c r="A1069" s="398" t="s">
        <v>2437</v>
      </c>
      <c r="B1069" s="117">
        <v>45248</v>
      </c>
      <c r="C1069" s="27" t="s">
        <v>42</v>
      </c>
      <c r="D1069" s="28">
        <v>32646</v>
      </c>
      <c r="E1069" s="27">
        <v>1542818</v>
      </c>
      <c r="F1069" s="27">
        <f t="shared" ca="1" si="99"/>
        <v>37</v>
      </c>
      <c r="G1069" s="27" t="s">
        <v>2438</v>
      </c>
      <c r="H1069" s="27"/>
      <c r="I1069" s="26" t="s">
        <v>2439</v>
      </c>
      <c r="J1069" s="1"/>
      <c r="K1069" s="1"/>
      <c r="L1069" s="8"/>
      <c r="M1069" s="8"/>
      <c r="N1069" s="8"/>
      <c r="O1069" s="8"/>
      <c r="P1069" s="104"/>
      <c r="Q1069" s="5"/>
      <c r="R1069" s="8"/>
    </row>
    <row r="1070" spans="1:18" x14ac:dyDescent="0.3">
      <c r="A1070" s="379"/>
      <c r="B1070" s="117"/>
      <c r="C1070" s="338" t="s">
        <v>3434</v>
      </c>
      <c r="D1070" s="28">
        <v>45660</v>
      </c>
      <c r="E1070" s="338">
        <v>3509762</v>
      </c>
      <c r="F1070" s="338">
        <f t="shared" ca="1" si="99"/>
        <v>1</v>
      </c>
      <c r="G1070" s="338"/>
      <c r="H1070" s="338"/>
      <c r="I1070" s="26"/>
      <c r="J1070" s="339"/>
      <c r="K1070" s="339"/>
      <c r="L1070" s="8"/>
      <c r="M1070" s="8"/>
      <c r="N1070" s="8"/>
      <c r="O1070" s="8"/>
      <c r="P1070" s="104"/>
      <c r="Q1070" s="5"/>
      <c r="R1070" s="8"/>
    </row>
    <row r="1071" spans="1:18" x14ac:dyDescent="0.3">
      <c r="A1071" s="431" t="s">
        <v>1539</v>
      </c>
      <c r="B1071" s="116">
        <v>44519</v>
      </c>
      <c r="C1071" s="22" t="s">
        <v>409</v>
      </c>
      <c r="D1071" s="25">
        <v>21670</v>
      </c>
      <c r="E1071" s="22">
        <v>1902011</v>
      </c>
      <c r="F1071" s="22">
        <f t="shared" ref="F1071:F1228" ca="1" si="101">YEAR(TODAY())-YEAR(D1071)</f>
        <v>67</v>
      </c>
      <c r="G1071" s="22" t="s">
        <v>2440</v>
      </c>
      <c r="H1071" s="22"/>
      <c r="I1071" s="21" t="s">
        <v>2441</v>
      </c>
      <c r="J1071" s="1"/>
      <c r="K1071" s="1"/>
      <c r="L1071" s="8" t="s">
        <v>3562</v>
      </c>
      <c r="M1071" s="8"/>
      <c r="N1071" s="8"/>
      <c r="O1071" s="8"/>
      <c r="P1071" s="104"/>
      <c r="Q1071" s="5"/>
      <c r="R1071" s="8"/>
    </row>
    <row r="1072" spans="1:18" s="76" customFormat="1" x14ac:dyDescent="0.3">
      <c r="A1072" s="432"/>
      <c r="B1072" s="127"/>
      <c r="C1072" s="22" t="s">
        <v>411</v>
      </c>
      <c r="D1072" s="25">
        <v>22449</v>
      </c>
      <c r="E1072" s="22">
        <v>2850822</v>
      </c>
      <c r="F1072" s="22">
        <f t="shared" ca="1" si="101"/>
        <v>65</v>
      </c>
      <c r="G1072" s="22" t="s">
        <v>2442</v>
      </c>
      <c r="H1072" s="22"/>
      <c r="I1072" s="21"/>
      <c r="J1072" s="1"/>
      <c r="K1072" s="1"/>
      <c r="L1072" s="8"/>
      <c r="M1072" s="8"/>
      <c r="N1072" s="8"/>
      <c r="O1072" s="8"/>
      <c r="P1072" s="104"/>
      <c r="Q1072" s="5"/>
      <c r="R1072" s="8"/>
    </row>
    <row r="1073" spans="1:18" x14ac:dyDescent="0.3">
      <c r="A1073" s="182" t="s">
        <v>1141</v>
      </c>
      <c r="B1073" s="115">
        <v>45251</v>
      </c>
      <c r="C1073" s="1" t="s">
        <v>2443</v>
      </c>
      <c r="D1073" s="2">
        <v>29278</v>
      </c>
      <c r="E1073" s="1">
        <v>1478925</v>
      </c>
      <c r="F1073" s="1">
        <f t="shared" ca="1" si="101"/>
        <v>46</v>
      </c>
      <c r="G1073" s="1" t="s">
        <v>2444</v>
      </c>
      <c r="H1073" s="1"/>
      <c r="I1073" s="8" t="s">
        <v>2445</v>
      </c>
      <c r="J1073" s="1"/>
      <c r="K1073" s="1"/>
      <c r="L1073" s="8"/>
      <c r="M1073" s="8"/>
      <c r="N1073" s="8"/>
      <c r="O1073" s="8"/>
      <c r="P1073" s="104"/>
      <c r="Q1073" s="5"/>
      <c r="R1073" s="8"/>
    </row>
    <row r="1074" spans="1:18" x14ac:dyDescent="0.3">
      <c r="A1074" s="230" t="s">
        <v>1031</v>
      </c>
      <c r="B1074" s="118">
        <v>45251</v>
      </c>
      <c r="C1074" s="40" t="s">
        <v>1032</v>
      </c>
      <c r="D1074" s="41">
        <v>28079</v>
      </c>
      <c r="E1074" s="40">
        <v>1475912</v>
      </c>
      <c r="F1074" s="40">
        <f t="shared" ca="1" si="101"/>
        <v>50</v>
      </c>
      <c r="G1074" s="40"/>
      <c r="H1074" s="40"/>
      <c r="I1074" s="39" t="s">
        <v>2446</v>
      </c>
      <c r="J1074" s="1"/>
      <c r="K1074" s="1"/>
      <c r="L1074" s="8"/>
      <c r="M1074" s="8"/>
      <c r="N1074" s="8"/>
      <c r="O1074" s="8"/>
      <c r="P1074" s="104"/>
      <c r="Q1074" s="5"/>
      <c r="R1074" s="8"/>
    </row>
    <row r="1075" spans="1:18" x14ac:dyDescent="0.3">
      <c r="A1075" s="390" t="s">
        <v>768</v>
      </c>
      <c r="B1075" s="119">
        <v>44521</v>
      </c>
      <c r="C1075" s="36" t="s">
        <v>412</v>
      </c>
      <c r="D1075" s="37">
        <v>24638</v>
      </c>
      <c r="E1075" s="36">
        <v>1628116</v>
      </c>
      <c r="F1075" s="36">
        <f t="shared" ca="1" si="101"/>
        <v>59</v>
      </c>
      <c r="G1075" s="36" t="s">
        <v>769</v>
      </c>
      <c r="H1075" s="36"/>
      <c r="I1075" s="35" t="s">
        <v>2447</v>
      </c>
      <c r="J1075" s="1"/>
      <c r="K1075" s="1"/>
      <c r="L1075" s="8"/>
      <c r="M1075" s="8"/>
      <c r="N1075" s="8"/>
      <c r="O1075" s="8"/>
      <c r="P1075" s="104"/>
      <c r="Q1075" s="5"/>
      <c r="R1075" s="8"/>
    </row>
    <row r="1076" spans="1:18" x14ac:dyDescent="0.3">
      <c r="A1076" s="391"/>
      <c r="B1076" s="120"/>
      <c r="C1076" s="36" t="s">
        <v>414</v>
      </c>
      <c r="D1076" s="37">
        <v>34851</v>
      </c>
      <c r="E1076" s="36">
        <v>1209410</v>
      </c>
      <c r="F1076" s="36">
        <f t="shared" ca="1" si="101"/>
        <v>31</v>
      </c>
      <c r="G1076" s="36" t="s">
        <v>773</v>
      </c>
      <c r="H1076" s="36"/>
      <c r="I1076" s="35"/>
      <c r="J1076" s="1"/>
      <c r="K1076" s="1"/>
      <c r="L1076" s="8"/>
      <c r="M1076" s="8"/>
      <c r="N1076" s="8"/>
      <c r="O1076" s="8"/>
      <c r="P1076" s="104"/>
      <c r="Q1076" s="5"/>
      <c r="R1076" s="8"/>
    </row>
    <row r="1077" spans="1:18" x14ac:dyDescent="0.3">
      <c r="A1077" s="187"/>
      <c r="B1077" s="118">
        <v>44887</v>
      </c>
      <c r="C1077" s="40" t="s">
        <v>375</v>
      </c>
      <c r="D1077" s="41"/>
      <c r="E1077" s="40"/>
      <c r="F1077" s="40"/>
      <c r="G1077" s="40"/>
      <c r="H1077" s="40"/>
      <c r="I1077" s="39" t="s">
        <v>70</v>
      </c>
      <c r="J1077" s="1"/>
      <c r="K1077" s="1"/>
      <c r="L1077" s="8"/>
      <c r="M1077" s="8"/>
      <c r="N1077" s="8"/>
      <c r="O1077" s="8"/>
      <c r="P1077" s="104"/>
      <c r="Q1077" s="5"/>
      <c r="R1077" s="8"/>
    </row>
    <row r="1078" spans="1:18" x14ac:dyDescent="0.3">
      <c r="A1078" s="420" t="s">
        <v>2448</v>
      </c>
      <c r="B1078" s="117">
        <v>44522</v>
      </c>
      <c r="C1078" s="27" t="s">
        <v>415</v>
      </c>
      <c r="D1078" s="28">
        <v>30346</v>
      </c>
      <c r="E1078" s="27">
        <v>2457210</v>
      </c>
      <c r="F1078" s="27">
        <f t="shared" ca="1" si="101"/>
        <v>43</v>
      </c>
      <c r="G1078" s="27" t="s">
        <v>2449</v>
      </c>
      <c r="H1078" s="27"/>
      <c r="I1078" s="26" t="s">
        <v>2450</v>
      </c>
      <c r="J1078" s="1"/>
      <c r="K1078" s="1"/>
      <c r="L1078" s="8"/>
      <c r="M1078" s="8"/>
      <c r="N1078" s="8"/>
      <c r="O1078" s="8"/>
      <c r="P1078" s="104"/>
      <c r="Q1078" s="5"/>
      <c r="R1078" s="8"/>
    </row>
    <row r="1079" spans="1:18" x14ac:dyDescent="0.3">
      <c r="A1079" s="420"/>
      <c r="B1079" s="121"/>
      <c r="C1079" s="27" t="s">
        <v>417</v>
      </c>
      <c r="D1079" s="28">
        <v>30225</v>
      </c>
      <c r="E1079" s="27">
        <v>1380917</v>
      </c>
      <c r="F1079" s="27">
        <f t="shared" ca="1" si="101"/>
        <v>44</v>
      </c>
      <c r="G1079" s="27" t="s">
        <v>2451</v>
      </c>
      <c r="H1079" s="27"/>
      <c r="I1079" s="26"/>
      <c r="J1079" s="1"/>
      <c r="K1079" s="1"/>
      <c r="L1079" s="8"/>
      <c r="M1079" s="8"/>
      <c r="N1079" s="8"/>
      <c r="O1079" s="8"/>
      <c r="P1079" s="104"/>
      <c r="Q1079" s="5"/>
      <c r="R1079" s="8"/>
    </row>
    <row r="1080" spans="1:18" x14ac:dyDescent="0.3">
      <c r="A1080" s="420"/>
      <c r="B1080" s="121"/>
      <c r="C1080" s="27" t="s">
        <v>418</v>
      </c>
      <c r="D1080" s="28">
        <v>41859</v>
      </c>
      <c r="E1080" s="27">
        <v>4380824</v>
      </c>
      <c r="F1080" s="27">
        <f t="shared" ca="1" si="101"/>
        <v>12</v>
      </c>
      <c r="G1080" s="27"/>
      <c r="H1080" s="27"/>
      <c r="I1080" s="26"/>
      <c r="J1080" s="1"/>
      <c r="K1080" s="1"/>
      <c r="L1080" s="8"/>
      <c r="M1080" s="8"/>
      <c r="N1080" s="8"/>
      <c r="O1080" s="8"/>
      <c r="P1080" s="104"/>
      <c r="Q1080" s="5"/>
      <c r="R1080" s="8"/>
    </row>
    <row r="1081" spans="1:18" x14ac:dyDescent="0.3">
      <c r="A1081" s="420"/>
      <c r="B1081" s="121"/>
      <c r="C1081" s="27" t="s">
        <v>419</v>
      </c>
      <c r="D1081" s="28">
        <v>42968</v>
      </c>
      <c r="E1081" s="27">
        <v>3380811</v>
      </c>
      <c r="F1081" s="27">
        <f t="shared" ca="1" si="101"/>
        <v>9</v>
      </c>
      <c r="G1081" s="27"/>
      <c r="H1081" s="27"/>
      <c r="I1081" s="26"/>
      <c r="J1081" s="1"/>
      <c r="K1081" s="1"/>
      <c r="L1081" s="8"/>
      <c r="M1081" s="8"/>
      <c r="N1081" s="8"/>
      <c r="O1081" s="8"/>
      <c r="P1081" s="104"/>
      <c r="Q1081" s="5"/>
      <c r="R1081" s="8"/>
    </row>
    <row r="1082" spans="1:18" x14ac:dyDescent="0.3">
      <c r="A1082" s="182" t="s">
        <v>2452</v>
      </c>
      <c r="B1082" s="115">
        <v>44889</v>
      </c>
      <c r="C1082" s="1" t="s">
        <v>420</v>
      </c>
      <c r="D1082" s="2">
        <v>17759</v>
      </c>
      <c r="E1082" s="1">
        <v>2457313</v>
      </c>
      <c r="F1082" s="1">
        <f ca="1">YEAR(TODAY())-YEAR(D1082)</f>
        <v>78</v>
      </c>
      <c r="G1082" s="1" t="s">
        <v>2453</v>
      </c>
      <c r="H1082" s="1"/>
      <c r="I1082" s="8" t="s">
        <v>2454</v>
      </c>
      <c r="J1082" s="1"/>
      <c r="K1082" s="1"/>
      <c r="L1082" s="8"/>
      <c r="M1082" s="8"/>
      <c r="N1082" s="8"/>
      <c r="O1082" s="8"/>
      <c r="P1082" s="104"/>
      <c r="Q1082" s="5"/>
      <c r="R1082" s="8"/>
    </row>
    <row r="1083" spans="1:18" x14ac:dyDescent="0.3">
      <c r="A1083" s="183" t="s">
        <v>2455</v>
      </c>
      <c r="B1083" s="112">
        <v>44524</v>
      </c>
      <c r="C1083" s="30" t="s">
        <v>421</v>
      </c>
      <c r="D1083" s="31">
        <v>29716</v>
      </c>
      <c r="E1083" s="30">
        <v>2478810</v>
      </c>
      <c r="F1083" s="30">
        <f t="shared" ca="1" si="101"/>
        <v>45</v>
      </c>
      <c r="G1083" s="30" t="s">
        <v>2456</v>
      </c>
      <c r="H1083" s="30"/>
      <c r="I1083" s="29" t="s">
        <v>2457</v>
      </c>
      <c r="J1083" s="1"/>
      <c r="K1083" s="1"/>
      <c r="L1083" s="8"/>
      <c r="M1083" s="8"/>
      <c r="N1083" s="8"/>
      <c r="O1083" s="8"/>
      <c r="P1083" s="104"/>
      <c r="Q1083" s="5"/>
      <c r="R1083" s="8"/>
    </row>
    <row r="1084" spans="1:18" x14ac:dyDescent="0.3">
      <c r="A1084" s="182" t="s">
        <v>2458</v>
      </c>
      <c r="B1084" s="115">
        <v>45256</v>
      </c>
      <c r="C1084" s="1" t="s">
        <v>2459</v>
      </c>
      <c r="D1084" s="2">
        <v>25379</v>
      </c>
      <c r="E1084" s="1">
        <v>1457418</v>
      </c>
      <c r="F1084" s="1">
        <f t="shared" ca="1" si="101"/>
        <v>57</v>
      </c>
      <c r="G1084" s="1" t="s">
        <v>2460</v>
      </c>
      <c r="H1084" s="1"/>
      <c r="I1084" s="8" t="s">
        <v>2461</v>
      </c>
      <c r="J1084" s="1"/>
      <c r="K1084" s="1"/>
      <c r="L1084" s="8"/>
      <c r="M1084" s="8"/>
      <c r="N1084" s="8"/>
      <c r="O1084" s="8"/>
      <c r="P1084" s="104"/>
      <c r="Q1084" s="5"/>
      <c r="R1084" s="8"/>
    </row>
    <row r="1085" spans="1:18" x14ac:dyDescent="0.3">
      <c r="A1085" s="395" t="s">
        <v>2462</v>
      </c>
      <c r="B1085" s="116">
        <v>44528</v>
      </c>
      <c r="C1085" s="22" t="s">
        <v>422</v>
      </c>
      <c r="D1085" s="25">
        <v>32177</v>
      </c>
      <c r="E1085" s="22">
        <v>2740016</v>
      </c>
      <c r="F1085" s="22">
        <f t="shared" ca="1" si="101"/>
        <v>38</v>
      </c>
      <c r="G1085" s="22" t="s">
        <v>2463</v>
      </c>
      <c r="H1085" s="22"/>
      <c r="I1085" s="21" t="s">
        <v>2464</v>
      </c>
      <c r="J1085" s="1"/>
      <c r="K1085" s="1"/>
      <c r="L1085" s="8"/>
      <c r="M1085" s="8"/>
      <c r="N1085" s="8"/>
      <c r="O1085" s="8"/>
      <c r="P1085" s="104"/>
      <c r="Q1085" s="5"/>
      <c r="R1085" s="8"/>
    </row>
    <row r="1086" spans="1:18" x14ac:dyDescent="0.3">
      <c r="A1086" s="396"/>
      <c r="B1086" s="127"/>
      <c r="C1086" s="22" t="s">
        <v>424</v>
      </c>
      <c r="D1086" s="25">
        <v>32010</v>
      </c>
      <c r="E1086" s="22">
        <v>1173311</v>
      </c>
      <c r="F1086" s="22">
        <f t="shared" ca="1" si="101"/>
        <v>39</v>
      </c>
      <c r="G1086" s="22" t="s">
        <v>2465</v>
      </c>
      <c r="H1086" s="22"/>
      <c r="I1086" s="21"/>
      <c r="J1086" s="1"/>
      <c r="K1086" s="1"/>
      <c r="L1086" s="1" t="s">
        <v>430</v>
      </c>
      <c r="M1086" s="1" t="s">
        <v>431</v>
      </c>
      <c r="N1086" s="1"/>
      <c r="O1086" s="1" t="s">
        <v>432</v>
      </c>
      <c r="P1086" s="5">
        <v>30500</v>
      </c>
      <c r="Q1086" s="5">
        <v>2000</v>
      </c>
      <c r="R1086" s="1" t="s">
        <v>433</v>
      </c>
    </row>
    <row r="1087" spans="1:18" x14ac:dyDescent="0.3">
      <c r="A1087" s="396"/>
      <c r="B1087" s="127"/>
      <c r="C1087" s="22" t="s">
        <v>425</v>
      </c>
      <c r="D1087" s="25">
        <v>22135</v>
      </c>
      <c r="E1087" s="22">
        <v>2804312</v>
      </c>
      <c r="F1087" s="22">
        <f t="shared" ca="1" si="101"/>
        <v>66</v>
      </c>
      <c r="G1087" s="22" t="s">
        <v>2466</v>
      </c>
      <c r="H1087" s="22"/>
      <c r="I1087" s="21"/>
      <c r="J1087" s="1"/>
      <c r="K1087" s="1"/>
      <c r="L1087" s="1" t="s">
        <v>430</v>
      </c>
      <c r="M1087" s="1" t="s">
        <v>431</v>
      </c>
      <c r="N1087" s="1"/>
      <c r="O1087" s="1" t="s">
        <v>432</v>
      </c>
      <c r="P1087" s="5">
        <v>23000</v>
      </c>
      <c r="Q1087" s="5"/>
      <c r="R1087" s="1" t="s">
        <v>437</v>
      </c>
    </row>
    <row r="1088" spans="1:18" x14ac:dyDescent="0.3">
      <c r="A1088" s="396"/>
      <c r="B1088" s="127"/>
      <c r="C1088" s="22" t="s">
        <v>426</v>
      </c>
      <c r="D1088" s="25">
        <v>42810</v>
      </c>
      <c r="E1088" s="22">
        <v>4412810</v>
      </c>
      <c r="F1088" s="22">
        <f t="shared" ca="1" si="101"/>
        <v>9</v>
      </c>
      <c r="G1088" s="22"/>
      <c r="H1088" s="22"/>
      <c r="I1088" s="21"/>
      <c r="J1088" s="1"/>
      <c r="K1088" s="1"/>
      <c r="L1088" s="1" t="s">
        <v>430</v>
      </c>
      <c r="M1088" s="1"/>
      <c r="N1088" s="1"/>
      <c r="O1088" s="1"/>
      <c r="P1088" s="5"/>
      <c r="Q1088" s="5"/>
      <c r="R1088" s="1"/>
    </row>
    <row r="1089" spans="1:18" x14ac:dyDescent="0.3">
      <c r="A1089" s="396"/>
      <c r="B1089" s="127"/>
      <c r="C1089" s="22" t="s">
        <v>427</v>
      </c>
      <c r="D1089" s="25">
        <v>43907</v>
      </c>
      <c r="E1089" s="22">
        <v>3476015</v>
      </c>
      <c r="F1089" s="22">
        <f t="shared" ca="1" si="101"/>
        <v>6</v>
      </c>
      <c r="G1089" s="22"/>
      <c r="H1089" s="22"/>
      <c r="I1089" s="21"/>
      <c r="J1089" s="1"/>
      <c r="K1089" s="1"/>
      <c r="L1089" s="1" t="s">
        <v>430</v>
      </c>
      <c r="M1089" s="1"/>
      <c r="N1089" s="1"/>
      <c r="O1089" s="1"/>
      <c r="P1089" s="5"/>
      <c r="Q1089" s="5"/>
      <c r="R1089" s="1"/>
    </row>
    <row r="1090" spans="1:18" x14ac:dyDescent="0.3">
      <c r="A1090" s="40" t="s">
        <v>1633</v>
      </c>
      <c r="B1090" s="118">
        <v>45258</v>
      </c>
      <c r="C1090" s="40" t="s">
        <v>186</v>
      </c>
      <c r="D1090" s="41">
        <v>28014</v>
      </c>
      <c r="E1090" s="40">
        <v>1109410</v>
      </c>
      <c r="F1090" s="40">
        <f t="shared" ca="1" si="101"/>
        <v>50</v>
      </c>
      <c r="G1090" s="40" t="s">
        <v>1634</v>
      </c>
      <c r="H1090" s="40"/>
      <c r="I1090" s="39" t="s">
        <v>2467</v>
      </c>
      <c r="J1090" s="1"/>
      <c r="K1090" s="1"/>
      <c r="L1090" s="8"/>
      <c r="M1090" s="8"/>
      <c r="N1090" s="8"/>
      <c r="O1090" s="8"/>
      <c r="P1090" s="104"/>
      <c r="Q1090" s="5"/>
      <c r="R1090" s="8"/>
    </row>
    <row r="1091" spans="1:18" s="189" customFormat="1" x14ac:dyDescent="0.3">
      <c r="A1091" s="397" t="s">
        <v>1308</v>
      </c>
      <c r="B1091" s="126"/>
      <c r="C1091" s="51" t="s">
        <v>428</v>
      </c>
      <c r="D1091" s="52">
        <v>27660</v>
      </c>
      <c r="E1091" s="51">
        <v>1473510</v>
      </c>
      <c r="F1091" s="51">
        <f t="shared" ref="F1091:F1096" ca="1" si="102">YEAR(TODAY())-YEAR(D1091)</f>
        <v>51</v>
      </c>
      <c r="G1091" s="51" t="s">
        <v>433</v>
      </c>
      <c r="H1091" s="51"/>
      <c r="I1091" s="50"/>
      <c r="J1091" s="1" t="s">
        <v>429</v>
      </c>
      <c r="K1091" s="1"/>
      <c r="L1091" s="1"/>
      <c r="M1091" s="1"/>
      <c r="N1091" s="1"/>
      <c r="O1091" s="1"/>
      <c r="P1091" s="5"/>
      <c r="Q1091" s="5"/>
      <c r="R1091" s="1"/>
    </row>
    <row r="1092" spans="1:18" s="189" customFormat="1" x14ac:dyDescent="0.3">
      <c r="A1092" s="397"/>
      <c r="B1092" s="125">
        <v>44528</v>
      </c>
      <c r="C1092" s="51" t="s">
        <v>434</v>
      </c>
      <c r="D1092" s="52">
        <v>28533</v>
      </c>
      <c r="E1092" s="51">
        <v>2411717</v>
      </c>
      <c r="F1092" s="51">
        <f t="shared" ca="1" si="102"/>
        <v>48</v>
      </c>
      <c r="G1092" s="51" t="s">
        <v>437</v>
      </c>
      <c r="H1092" s="51"/>
      <c r="I1092" s="50" t="s">
        <v>2468</v>
      </c>
      <c r="J1092" s="1" t="s">
        <v>436</v>
      </c>
      <c r="K1092" s="1"/>
      <c r="L1092" s="8"/>
      <c r="M1092" s="8"/>
      <c r="N1092" s="8"/>
      <c r="O1092" s="8"/>
      <c r="P1092" s="104"/>
      <c r="Q1092" s="5"/>
      <c r="R1092" s="8"/>
    </row>
    <row r="1093" spans="1:18" s="189" customFormat="1" x14ac:dyDescent="0.3">
      <c r="A1093" s="397"/>
      <c r="B1093" s="126"/>
      <c r="C1093" s="51" t="s">
        <v>438</v>
      </c>
      <c r="D1093" s="52">
        <v>38799</v>
      </c>
      <c r="E1093" s="51">
        <v>3411914</v>
      </c>
      <c r="F1093" s="51">
        <f t="shared" ca="1" si="102"/>
        <v>20</v>
      </c>
      <c r="G1093" s="51"/>
      <c r="H1093" s="51"/>
      <c r="I1093" s="50"/>
      <c r="J1093" s="1"/>
      <c r="K1093" s="1"/>
      <c r="L1093" s="8"/>
      <c r="M1093" s="8"/>
      <c r="N1093" s="8"/>
      <c r="O1093" s="8"/>
      <c r="P1093" s="104"/>
      <c r="Q1093" s="5"/>
      <c r="R1093" s="8"/>
    </row>
    <row r="1094" spans="1:18" s="189" customFormat="1" x14ac:dyDescent="0.3">
      <c r="A1094" s="397"/>
      <c r="B1094" s="126"/>
      <c r="C1094" s="51" t="s">
        <v>439</v>
      </c>
      <c r="D1094" s="52">
        <v>39657</v>
      </c>
      <c r="E1094" s="51">
        <v>4411914</v>
      </c>
      <c r="F1094" s="51">
        <f t="shared" ca="1" si="102"/>
        <v>18</v>
      </c>
      <c r="G1094" s="51"/>
      <c r="H1094" s="51"/>
      <c r="I1094" s="50"/>
      <c r="J1094" s="1"/>
      <c r="K1094" s="1"/>
      <c r="L1094" s="8"/>
      <c r="M1094" s="8"/>
      <c r="N1094" s="8"/>
      <c r="O1094" s="8"/>
      <c r="P1094" s="104"/>
      <c r="Q1094" s="5"/>
      <c r="R1094" s="8"/>
    </row>
    <row r="1095" spans="1:18" s="189" customFormat="1" x14ac:dyDescent="0.3">
      <c r="A1095" s="414" t="s">
        <v>2469</v>
      </c>
      <c r="B1095" s="113" t="s">
        <v>2470</v>
      </c>
      <c r="C1095" s="30" t="s">
        <v>575</v>
      </c>
      <c r="D1095" s="31">
        <v>28984</v>
      </c>
      <c r="E1095" s="30">
        <v>1535610</v>
      </c>
      <c r="F1095" s="30">
        <f t="shared" ca="1" si="102"/>
        <v>47</v>
      </c>
      <c r="G1095" s="30" t="s">
        <v>2471</v>
      </c>
      <c r="H1095" s="30"/>
      <c r="I1095" s="29" t="s">
        <v>2472</v>
      </c>
      <c r="J1095" s="1"/>
      <c r="K1095" s="1"/>
      <c r="L1095" s="1"/>
      <c r="M1095" s="1"/>
      <c r="N1095" s="1"/>
      <c r="O1095" s="1"/>
      <c r="P1095" s="5"/>
      <c r="Q1095" s="5"/>
      <c r="R1095" s="1"/>
    </row>
    <row r="1096" spans="1:18" s="189" customFormat="1" x14ac:dyDescent="0.3">
      <c r="A1096" s="414"/>
      <c r="B1096" s="113"/>
      <c r="C1096" s="30" t="s">
        <v>574</v>
      </c>
      <c r="D1096" s="31">
        <v>30106</v>
      </c>
      <c r="E1096" s="30">
        <v>2402811</v>
      </c>
      <c r="F1096" s="30">
        <f t="shared" ca="1" si="102"/>
        <v>44</v>
      </c>
      <c r="G1096" s="30" t="s">
        <v>2473</v>
      </c>
      <c r="H1096" s="30"/>
      <c r="I1096" s="29"/>
      <c r="J1096" s="1"/>
      <c r="K1096" s="1"/>
      <c r="L1096" s="8"/>
      <c r="M1096" s="8"/>
      <c r="N1096" s="8"/>
      <c r="O1096" s="8"/>
      <c r="P1096" s="104"/>
      <c r="Q1096" s="5"/>
      <c r="R1096" s="8"/>
    </row>
    <row r="1097" spans="1:18" x14ac:dyDescent="0.3">
      <c r="A1097" s="415"/>
      <c r="B1097" s="113"/>
      <c r="C1097" s="30" t="s">
        <v>576</v>
      </c>
      <c r="D1097" s="31">
        <v>41851</v>
      </c>
      <c r="E1097" s="30">
        <v>4</v>
      </c>
      <c r="F1097" s="30">
        <f t="shared" ref="F1097:F1098" ca="1" si="103">YEAR(TODAY())-YEAR(D1097)</f>
        <v>12</v>
      </c>
      <c r="G1097" s="30"/>
      <c r="H1097" s="30"/>
      <c r="I1097" s="29"/>
      <c r="J1097" s="1"/>
      <c r="K1097" s="1"/>
      <c r="L1097" s="8"/>
      <c r="M1097" s="8"/>
      <c r="N1097" s="8"/>
      <c r="O1097" s="8"/>
      <c r="P1097" s="104"/>
      <c r="Q1097" s="5"/>
      <c r="R1097" s="8"/>
    </row>
    <row r="1098" spans="1:18" x14ac:dyDescent="0.3">
      <c r="A1098" s="415"/>
      <c r="B1098" s="113"/>
      <c r="C1098" s="30" t="s">
        <v>577</v>
      </c>
      <c r="D1098" s="31">
        <v>42633</v>
      </c>
      <c r="E1098" s="30">
        <v>3412612</v>
      </c>
      <c r="F1098" s="30">
        <f t="shared" ca="1" si="103"/>
        <v>10</v>
      </c>
      <c r="G1098" s="30"/>
      <c r="H1098" s="30"/>
      <c r="I1098" s="29"/>
      <c r="J1098" s="1"/>
      <c r="K1098" s="1"/>
      <c r="L1098" s="8"/>
      <c r="M1098" s="8"/>
      <c r="N1098" s="8"/>
      <c r="O1098" s="8"/>
      <c r="P1098" s="104"/>
      <c r="Q1098" s="5"/>
      <c r="R1098" s="8"/>
    </row>
    <row r="1099" spans="1:18" x14ac:dyDescent="0.3">
      <c r="A1099" s="190" t="s">
        <v>2474</v>
      </c>
      <c r="B1099" s="110">
        <v>44894</v>
      </c>
      <c r="C1099" s="33" t="s">
        <v>440</v>
      </c>
      <c r="D1099" s="34">
        <v>24150</v>
      </c>
      <c r="E1099" s="33">
        <v>2551111</v>
      </c>
      <c r="F1099" s="33">
        <f t="shared" ca="1" si="101"/>
        <v>60</v>
      </c>
      <c r="G1099" s="33" t="s">
        <v>2475</v>
      </c>
      <c r="H1099" s="33"/>
      <c r="I1099" s="32" t="s">
        <v>2476</v>
      </c>
      <c r="J1099" s="1"/>
      <c r="K1099" s="1"/>
      <c r="L1099" s="8"/>
      <c r="M1099" s="8"/>
      <c r="N1099" s="8"/>
      <c r="O1099" s="8"/>
      <c r="P1099" s="104"/>
      <c r="Q1099" s="5"/>
      <c r="R1099" s="8"/>
    </row>
    <row r="1100" spans="1:18" x14ac:dyDescent="0.3">
      <c r="A1100" s="408" t="s">
        <v>1680</v>
      </c>
      <c r="B1100" s="112">
        <v>45260</v>
      </c>
      <c r="C1100" s="30" t="s">
        <v>1684</v>
      </c>
      <c r="D1100" s="31">
        <v>21948</v>
      </c>
      <c r="E1100" s="30">
        <v>1249712</v>
      </c>
      <c r="F1100" s="30">
        <f t="shared" ca="1" si="101"/>
        <v>66</v>
      </c>
      <c r="G1100" s="30" t="s">
        <v>1685</v>
      </c>
      <c r="H1100" s="30"/>
      <c r="I1100" s="29" t="s">
        <v>2477</v>
      </c>
      <c r="J1100" s="1"/>
      <c r="K1100" s="1"/>
      <c r="L1100" s="8"/>
      <c r="M1100" s="8"/>
      <c r="N1100" s="8"/>
      <c r="O1100" s="8"/>
      <c r="P1100" s="104"/>
      <c r="Q1100" s="5"/>
      <c r="R1100" s="8"/>
    </row>
    <row r="1101" spans="1:18" x14ac:dyDescent="0.3">
      <c r="A1101" s="410"/>
      <c r="B1101" s="112"/>
      <c r="C1101" s="30" t="s">
        <v>1681</v>
      </c>
      <c r="D1101" s="31">
        <v>22761</v>
      </c>
      <c r="E1101" s="30">
        <v>2412014</v>
      </c>
      <c r="F1101" s="30">
        <f t="shared" ca="1" si="101"/>
        <v>64</v>
      </c>
      <c r="G1101" s="30" t="s">
        <v>1682</v>
      </c>
      <c r="H1101" s="30"/>
      <c r="I1101" s="29"/>
      <c r="J1101" s="1"/>
      <c r="K1101" s="1"/>
      <c r="L1101" s="8"/>
      <c r="M1101" s="8"/>
      <c r="N1101" s="8"/>
      <c r="O1101" s="8"/>
      <c r="P1101" s="104"/>
      <c r="Q1101" s="5"/>
      <c r="R1101" s="8"/>
    </row>
    <row r="1102" spans="1:18" x14ac:dyDescent="0.3">
      <c r="A1102" s="226" t="s">
        <v>1209</v>
      </c>
      <c r="B1102" s="122">
        <v>45260</v>
      </c>
      <c r="C1102" s="18" t="s">
        <v>723</v>
      </c>
      <c r="D1102" s="19">
        <v>29081</v>
      </c>
      <c r="E1102" s="18">
        <v>1451324</v>
      </c>
      <c r="F1102" s="18">
        <f t="shared" ca="1" si="101"/>
        <v>47</v>
      </c>
      <c r="G1102" s="18" t="s">
        <v>1213</v>
      </c>
      <c r="H1102" s="18"/>
      <c r="I1102" s="17" t="s">
        <v>2478</v>
      </c>
      <c r="J1102" s="1"/>
      <c r="K1102" s="1"/>
      <c r="L1102" s="8"/>
      <c r="M1102" s="8"/>
      <c r="N1102" s="8"/>
      <c r="O1102" s="8"/>
      <c r="P1102" s="104"/>
      <c r="Q1102" s="5"/>
      <c r="R1102" s="8"/>
    </row>
    <row r="1103" spans="1:18" x14ac:dyDescent="0.3">
      <c r="A1103" s="422" t="s">
        <v>880</v>
      </c>
      <c r="B1103" s="115">
        <v>45260</v>
      </c>
      <c r="C1103" s="1" t="s">
        <v>527</v>
      </c>
      <c r="D1103" s="2">
        <v>29797</v>
      </c>
      <c r="E1103" s="1">
        <v>1795817</v>
      </c>
      <c r="F1103" s="1">
        <f t="shared" ca="1" si="101"/>
        <v>45</v>
      </c>
      <c r="G1103" s="1" t="s">
        <v>2255</v>
      </c>
      <c r="H1103" s="1"/>
      <c r="I1103" s="8" t="s">
        <v>2479</v>
      </c>
      <c r="J1103" s="1"/>
      <c r="K1103" s="1"/>
      <c r="L1103" s="8"/>
      <c r="M1103" s="8"/>
      <c r="N1103" s="8"/>
      <c r="O1103" s="8"/>
      <c r="P1103" s="104"/>
      <c r="Q1103" s="5"/>
      <c r="R1103" s="8"/>
    </row>
    <row r="1104" spans="1:18" s="185" customFormat="1" x14ac:dyDescent="0.3">
      <c r="A1104" s="423"/>
      <c r="B1104" s="109"/>
      <c r="C1104" s="1" t="s">
        <v>528</v>
      </c>
      <c r="D1104" s="2">
        <v>29866</v>
      </c>
      <c r="E1104" s="1">
        <v>2768315</v>
      </c>
      <c r="F1104" s="1">
        <f t="shared" ca="1" si="101"/>
        <v>45</v>
      </c>
      <c r="G1104" s="1" t="s">
        <v>2256</v>
      </c>
      <c r="H1104" s="1"/>
      <c r="I1104" s="8"/>
      <c r="J1104" s="1"/>
      <c r="K1104" s="1"/>
      <c r="L1104" s="8"/>
      <c r="M1104" s="8"/>
      <c r="N1104" s="8"/>
      <c r="O1104" s="8"/>
      <c r="P1104" s="104"/>
      <c r="Q1104" s="5"/>
      <c r="R1104" s="8"/>
    </row>
    <row r="1105" spans="1:18" s="185" customFormat="1" x14ac:dyDescent="0.3">
      <c r="A1105" s="423"/>
      <c r="B1105" s="109"/>
      <c r="C1105" s="1" t="s">
        <v>529</v>
      </c>
      <c r="D1105" s="2">
        <v>40830</v>
      </c>
      <c r="E1105" s="1">
        <v>3412036</v>
      </c>
      <c r="F1105" s="1">
        <f t="shared" ca="1" si="101"/>
        <v>15</v>
      </c>
      <c r="G1105" s="1"/>
      <c r="H1105" s="1"/>
      <c r="I1105" s="8"/>
      <c r="J1105" s="1"/>
      <c r="K1105" s="1"/>
      <c r="L1105" s="8"/>
      <c r="M1105" s="8"/>
      <c r="N1105" s="8"/>
      <c r="O1105" s="8"/>
      <c r="P1105" s="104"/>
      <c r="Q1105" s="5"/>
      <c r="R1105" s="8"/>
    </row>
    <row r="1106" spans="1:18" s="185" customFormat="1" x14ac:dyDescent="0.3">
      <c r="A1106" s="423"/>
      <c r="B1106" s="109"/>
      <c r="C1106" s="1" t="s">
        <v>530</v>
      </c>
      <c r="D1106" s="2">
        <v>42119</v>
      </c>
      <c r="E1106" s="1">
        <v>3412018</v>
      </c>
      <c r="F1106" s="1">
        <f t="shared" ca="1" si="101"/>
        <v>11</v>
      </c>
      <c r="G1106" s="1"/>
      <c r="H1106" s="1"/>
      <c r="I1106" s="8"/>
      <c r="J1106" s="1"/>
      <c r="K1106" s="1"/>
      <c r="L1106" s="8"/>
      <c r="M1106" s="8"/>
      <c r="N1106" s="8"/>
      <c r="O1106" s="8"/>
      <c r="P1106" s="104"/>
      <c r="Q1106" s="5"/>
      <c r="R1106" s="8"/>
    </row>
    <row r="1107" spans="1:18" x14ac:dyDescent="0.3">
      <c r="A1107" s="408" t="s">
        <v>1977</v>
      </c>
      <c r="B1107" s="112">
        <v>45260</v>
      </c>
      <c r="C1107" s="30" t="s">
        <v>1978</v>
      </c>
      <c r="D1107" s="31">
        <v>26926</v>
      </c>
      <c r="E1107" s="30">
        <v>2267416</v>
      </c>
      <c r="F1107" s="30">
        <f t="shared" ca="1" si="101"/>
        <v>53</v>
      </c>
      <c r="G1107" s="30" t="s">
        <v>1979</v>
      </c>
      <c r="H1107" s="30"/>
      <c r="I1107" s="29" t="s">
        <v>2480</v>
      </c>
      <c r="J1107" s="1"/>
      <c r="K1107" s="1"/>
      <c r="L1107" s="8"/>
      <c r="M1107" s="8"/>
      <c r="N1107" s="8"/>
      <c r="O1107" s="8"/>
      <c r="P1107" s="104"/>
      <c r="Q1107" s="5"/>
      <c r="R1107" s="8"/>
    </row>
    <row r="1108" spans="1:18" x14ac:dyDescent="0.3">
      <c r="A1108" s="410"/>
      <c r="B1108" s="113"/>
      <c r="C1108" s="30" t="s">
        <v>1981</v>
      </c>
      <c r="D1108" s="31">
        <v>17583</v>
      </c>
      <c r="E1108" s="30">
        <v>2267411</v>
      </c>
      <c r="F1108" s="30">
        <f t="shared" ca="1" si="101"/>
        <v>78</v>
      </c>
      <c r="G1108" s="30" t="s">
        <v>1982</v>
      </c>
      <c r="H1108" s="30"/>
      <c r="I1108" s="29"/>
      <c r="J1108" s="1"/>
      <c r="K1108" s="1"/>
      <c r="L1108" s="8"/>
      <c r="M1108" s="8"/>
      <c r="N1108" s="8"/>
      <c r="O1108" s="8"/>
      <c r="P1108" s="104"/>
      <c r="Q1108" s="5"/>
      <c r="R1108" s="8"/>
    </row>
    <row r="1109" spans="1:18" x14ac:dyDescent="0.3">
      <c r="A1109" s="390" t="s">
        <v>1997</v>
      </c>
      <c r="B1109" s="120"/>
      <c r="C1109" s="36" t="s">
        <v>2000</v>
      </c>
      <c r="D1109" s="37">
        <v>31921</v>
      </c>
      <c r="E1109" s="36">
        <v>2411513</v>
      </c>
      <c r="F1109" s="36">
        <f t="shared" ca="1" si="101"/>
        <v>39</v>
      </c>
      <c r="G1109" s="36"/>
      <c r="H1109" s="36"/>
      <c r="I1109" s="35"/>
      <c r="J1109" s="1"/>
      <c r="K1109" s="1"/>
      <c r="L1109" s="8"/>
      <c r="M1109" s="8"/>
      <c r="N1109" s="8"/>
      <c r="O1109" s="8"/>
      <c r="P1109" s="104"/>
      <c r="Q1109" s="5"/>
      <c r="R1109" s="8"/>
    </row>
    <row r="1110" spans="1:18" x14ac:dyDescent="0.3">
      <c r="A1110" s="458"/>
      <c r="B1110" s="119">
        <v>45263</v>
      </c>
      <c r="C1110" s="36" t="s">
        <v>2001</v>
      </c>
      <c r="D1110" s="37">
        <v>32722</v>
      </c>
      <c r="E1110" s="36">
        <v>2411711</v>
      </c>
      <c r="F1110" s="36">
        <f t="shared" ca="1" si="101"/>
        <v>37</v>
      </c>
      <c r="G1110" s="36"/>
      <c r="H1110" s="36"/>
      <c r="I1110" s="35" t="s">
        <v>2481</v>
      </c>
      <c r="J1110" s="1"/>
      <c r="K1110" s="1"/>
      <c r="L1110" s="8"/>
      <c r="M1110" s="8"/>
      <c r="N1110" s="8"/>
      <c r="O1110" s="8"/>
      <c r="P1110" s="104"/>
      <c r="Q1110" s="5"/>
      <c r="R1110" s="8"/>
    </row>
    <row r="1111" spans="1:18" x14ac:dyDescent="0.3">
      <c r="A1111" s="391"/>
      <c r="B1111" s="120"/>
      <c r="C1111" s="36" t="s">
        <v>1998</v>
      </c>
      <c r="D1111" s="37">
        <v>32577</v>
      </c>
      <c r="E1111" s="36">
        <v>1178712</v>
      </c>
      <c r="F1111" s="36">
        <f t="shared" ca="1" si="101"/>
        <v>37</v>
      </c>
      <c r="G1111" s="36"/>
      <c r="H1111" s="36"/>
      <c r="I1111" s="35"/>
      <c r="J1111" s="1"/>
      <c r="K1111" s="1"/>
      <c r="L1111" s="8"/>
      <c r="M1111" s="8"/>
      <c r="N1111" s="8"/>
      <c r="O1111" s="8"/>
      <c r="P1111" s="104"/>
      <c r="Q1111" s="5"/>
      <c r="R1111" s="8"/>
    </row>
    <row r="1112" spans="1:18" x14ac:dyDescent="0.3">
      <c r="A1112" s="378" t="s">
        <v>1618</v>
      </c>
      <c r="B1112" s="109"/>
      <c r="C1112" s="1" t="s">
        <v>1619</v>
      </c>
      <c r="D1112" s="2">
        <v>15234</v>
      </c>
      <c r="E1112" s="1">
        <v>2657021</v>
      </c>
      <c r="F1112" s="1">
        <f ca="1">YEAR(TODAY())-YEAR(D1112)</f>
        <v>85</v>
      </c>
      <c r="G1112" s="1" t="s">
        <v>1620</v>
      </c>
      <c r="H1112" s="1"/>
      <c r="I1112" s="8"/>
      <c r="J1112" s="1"/>
      <c r="K1112" s="1"/>
      <c r="L1112" s="8" t="s">
        <v>1621</v>
      </c>
      <c r="M1112" s="8"/>
      <c r="N1112" s="8"/>
      <c r="O1112" s="8"/>
      <c r="P1112" s="9"/>
      <c r="Q1112" s="3"/>
      <c r="R1112" s="8"/>
    </row>
    <row r="1113" spans="1:18" ht="17.25" x14ac:dyDescent="0.3">
      <c r="A1113" s="384"/>
      <c r="B1113" s="152" t="s">
        <v>2482</v>
      </c>
      <c r="C1113" s="1" t="s">
        <v>1623</v>
      </c>
      <c r="D1113" s="2">
        <v>25101</v>
      </c>
      <c r="E1113" s="1">
        <v>2477910</v>
      </c>
      <c r="F1113" s="1">
        <f ca="1">YEAR(TODAY())-YEAR(D1113)</f>
        <v>58</v>
      </c>
      <c r="G1113" s="1" t="s">
        <v>1624</v>
      </c>
      <c r="H1113" s="1"/>
      <c r="I1113" s="8" t="s">
        <v>924</v>
      </c>
      <c r="J1113" s="1"/>
      <c r="K1113" s="1"/>
      <c r="L1113" s="146" t="s">
        <v>1625</v>
      </c>
      <c r="M1113" s="8"/>
      <c r="N1113" s="8"/>
      <c r="O1113" s="8"/>
      <c r="P1113" s="9"/>
      <c r="Q1113" s="3"/>
      <c r="R1113" s="8"/>
    </row>
    <row r="1114" spans="1:18" x14ac:dyDescent="0.3">
      <c r="A1114" s="384"/>
      <c r="B1114" s="109"/>
      <c r="C1114" s="1" t="s">
        <v>1626</v>
      </c>
      <c r="D1114" s="2">
        <v>34466</v>
      </c>
      <c r="E1114" s="1">
        <v>1411835</v>
      </c>
      <c r="F1114" s="1">
        <f ca="1">YEAR(TODAY())-YEAR(D1114)</f>
        <v>32</v>
      </c>
      <c r="G1114" s="1" t="s">
        <v>1627</v>
      </c>
      <c r="H1114" s="1"/>
      <c r="I1114" s="8"/>
      <c r="J1114" s="1"/>
      <c r="K1114" s="1"/>
      <c r="L1114" s="146" t="s">
        <v>1625</v>
      </c>
      <c r="M1114" s="8"/>
      <c r="N1114" s="8"/>
      <c r="O1114" s="8"/>
      <c r="P1114" s="9"/>
      <c r="Q1114" s="3"/>
      <c r="R1114" s="8"/>
    </row>
    <row r="1115" spans="1:18" x14ac:dyDescent="0.3">
      <c r="A1115" s="384"/>
      <c r="B1115" s="109"/>
      <c r="C1115" s="1" t="s">
        <v>1628</v>
      </c>
      <c r="D1115" s="2">
        <v>24329</v>
      </c>
      <c r="E1115" s="1">
        <v>1657012</v>
      </c>
      <c r="F1115" s="1">
        <f ca="1">YEAR(TODAY())-YEAR(D1115)</f>
        <v>60</v>
      </c>
      <c r="G1115" s="1" t="s">
        <v>1629</v>
      </c>
      <c r="H1115" s="1"/>
      <c r="I1115" s="8"/>
      <c r="J1115" s="1"/>
      <c r="K1115" s="1"/>
      <c r="L1115" s="146" t="s">
        <v>1625</v>
      </c>
      <c r="M1115" s="8"/>
      <c r="N1115" s="8"/>
      <c r="O1115" s="8"/>
      <c r="P1115" s="9"/>
      <c r="Q1115" s="3"/>
      <c r="R1115" s="8"/>
    </row>
    <row r="1116" spans="1:18" x14ac:dyDescent="0.3">
      <c r="A1116" s="379"/>
      <c r="B1116" s="109"/>
      <c r="C1116" s="1" t="s">
        <v>1630</v>
      </c>
      <c r="D1116" s="2">
        <v>33975</v>
      </c>
      <c r="E1116" s="1">
        <v>2411818</v>
      </c>
      <c r="F1116" s="1">
        <f ca="1">YEAR(TODAY())-YEAR(D1116)</f>
        <v>33</v>
      </c>
      <c r="G1116" s="1" t="s">
        <v>1631</v>
      </c>
      <c r="H1116" s="1"/>
      <c r="I1116" s="8"/>
      <c r="J1116" s="1"/>
      <c r="K1116" s="1"/>
      <c r="L1116" s="147" t="s">
        <v>1632</v>
      </c>
      <c r="M1116" s="8"/>
      <c r="N1116" s="8"/>
      <c r="O1116" s="8"/>
      <c r="P1116" s="9"/>
      <c r="Q1116" s="3"/>
      <c r="R1116" s="8"/>
    </row>
    <row r="1117" spans="1:18" s="76" customFormat="1" x14ac:dyDescent="0.3">
      <c r="A1117" s="420" t="s">
        <v>1331</v>
      </c>
      <c r="B1117" s="121"/>
      <c r="C1117" s="27" t="s">
        <v>105</v>
      </c>
      <c r="D1117" s="28">
        <v>25065</v>
      </c>
      <c r="E1117" s="27">
        <v>1122629</v>
      </c>
      <c r="F1117" s="27">
        <f t="shared" ca="1" si="101"/>
        <v>58</v>
      </c>
      <c r="G1117" s="27" t="s">
        <v>1332</v>
      </c>
      <c r="H1117" s="27"/>
      <c r="I1117" s="26"/>
      <c r="J1117" s="1"/>
      <c r="K1117" s="1"/>
      <c r="L1117" s="8"/>
      <c r="M1117" s="8"/>
      <c r="N1117" s="8"/>
      <c r="O1117" s="8"/>
      <c r="P1117" s="104"/>
      <c r="Q1117" s="5"/>
      <c r="R1117" s="8"/>
    </row>
    <row r="1118" spans="1:18" x14ac:dyDescent="0.3">
      <c r="A1118" s="421"/>
      <c r="B1118" s="117">
        <v>44535</v>
      </c>
      <c r="C1118" s="27" t="s">
        <v>442</v>
      </c>
      <c r="D1118" s="28">
        <v>25206</v>
      </c>
      <c r="E1118" s="27">
        <v>2779018</v>
      </c>
      <c r="F1118" s="27">
        <f t="shared" ca="1" si="101"/>
        <v>57</v>
      </c>
      <c r="G1118" s="27" t="s">
        <v>2483</v>
      </c>
      <c r="H1118" s="27"/>
      <c r="I1118" s="26" t="s">
        <v>2484</v>
      </c>
      <c r="J1118" s="1"/>
      <c r="K1118" s="1"/>
      <c r="L1118" s="8"/>
      <c r="M1118" s="8"/>
      <c r="N1118" s="8"/>
      <c r="O1118" s="8"/>
      <c r="P1118" s="104"/>
      <c r="Q1118" s="5"/>
      <c r="R1118" s="8"/>
    </row>
    <row r="1119" spans="1:18" x14ac:dyDescent="0.3">
      <c r="A1119" s="421"/>
      <c r="B1119" s="121"/>
      <c r="C1119" s="27" t="s">
        <v>444</v>
      </c>
      <c r="D1119" s="28">
        <v>33596</v>
      </c>
      <c r="E1119" s="27">
        <v>1125816</v>
      </c>
      <c r="F1119" s="27">
        <f t="shared" ca="1" si="101"/>
        <v>35</v>
      </c>
      <c r="G1119" s="27" t="s">
        <v>2485</v>
      </c>
      <c r="H1119" s="27"/>
      <c r="I1119" s="26"/>
      <c r="J1119" s="1"/>
      <c r="K1119" s="1"/>
      <c r="L1119" s="8"/>
      <c r="M1119" s="8"/>
      <c r="N1119" s="8"/>
      <c r="O1119" s="8"/>
      <c r="P1119" s="104"/>
      <c r="Q1119" s="5"/>
      <c r="R1119" s="8"/>
    </row>
    <row r="1120" spans="1:18" s="249" customFormat="1" x14ac:dyDescent="0.3">
      <c r="A1120" s="421"/>
      <c r="B1120" s="121"/>
      <c r="C1120" s="27" t="s">
        <v>445</v>
      </c>
      <c r="D1120" s="28">
        <v>34646</v>
      </c>
      <c r="E1120" s="27">
        <v>1125818</v>
      </c>
      <c r="F1120" s="27">
        <f t="shared" ca="1" si="101"/>
        <v>32</v>
      </c>
      <c r="G1120" s="27" t="s">
        <v>2486</v>
      </c>
      <c r="H1120" s="27"/>
      <c r="I1120" s="26"/>
      <c r="J1120" s="1"/>
      <c r="K1120" s="1"/>
      <c r="L1120" s="8"/>
      <c r="M1120" s="8"/>
      <c r="N1120" s="8"/>
      <c r="O1120" s="8"/>
      <c r="P1120" s="104"/>
      <c r="Q1120" s="5"/>
      <c r="R1120" s="8"/>
    </row>
    <row r="1121" spans="1:18" x14ac:dyDescent="0.3">
      <c r="A1121" s="378" t="s">
        <v>2487</v>
      </c>
      <c r="B1121" s="150"/>
      <c r="C1121" s="1" t="s">
        <v>2488</v>
      </c>
      <c r="D1121" s="2">
        <v>28896</v>
      </c>
      <c r="E1121" s="1">
        <v>2009411</v>
      </c>
      <c r="F1121" s="8"/>
      <c r="G1121" s="1" t="s">
        <v>2489</v>
      </c>
      <c r="H1121" s="8"/>
      <c r="I1121" s="8"/>
      <c r="J1121" s="1"/>
      <c r="K1121" s="1"/>
      <c r="L1121" t="s">
        <v>2490</v>
      </c>
    </row>
    <row r="1122" spans="1:18" x14ac:dyDescent="0.3">
      <c r="A1122" s="384"/>
      <c r="B1122" s="150"/>
      <c r="C1122" s="1" t="s">
        <v>2491</v>
      </c>
      <c r="D1122" s="2">
        <v>39819</v>
      </c>
      <c r="E1122" s="1">
        <v>4411910</v>
      </c>
      <c r="F1122" s="8"/>
      <c r="G1122" s="8"/>
      <c r="H1122" s="8"/>
      <c r="I1122" s="8"/>
      <c r="J1122" s="1"/>
      <c r="K1122" s="1"/>
      <c r="L1122" t="s">
        <v>2492</v>
      </c>
    </row>
    <row r="1123" spans="1:18" x14ac:dyDescent="0.3">
      <c r="A1123" s="384"/>
      <c r="B1123" s="154"/>
      <c r="C1123" s="265" t="s">
        <v>2493</v>
      </c>
      <c r="D1123" s="266">
        <v>40281</v>
      </c>
      <c r="E1123" s="265">
        <v>4411912</v>
      </c>
      <c r="F1123" s="267"/>
      <c r="G1123" s="267"/>
      <c r="H1123" s="267"/>
      <c r="I1123" s="267"/>
      <c r="J1123" s="265"/>
      <c r="K1123" s="265"/>
    </row>
    <row r="1124" spans="1:18" x14ac:dyDescent="0.3">
      <c r="A1124" s="384"/>
      <c r="B1124" s="150" t="s">
        <v>2494</v>
      </c>
      <c r="C1124" s="1" t="s">
        <v>2495</v>
      </c>
      <c r="D1124" s="2">
        <v>28339</v>
      </c>
      <c r="E1124" s="1">
        <v>1466317</v>
      </c>
      <c r="F1124" s="8"/>
      <c r="G1124" s="1" t="s">
        <v>2496</v>
      </c>
      <c r="H1124" s="8"/>
      <c r="I1124" s="8"/>
      <c r="J1124" s="1"/>
      <c r="K1124" s="1"/>
      <c r="L1124" s="8"/>
    </row>
    <row r="1125" spans="1:18" ht="33" x14ac:dyDescent="0.3">
      <c r="A1125" s="384"/>
      <c r="B1125" s="150"/>
      <c r="C1125" s="1" t="s">
        <v>2497</v>
      </c>
      <c r="D1125" s="2">
        <v>18776</v>
      </c>
      <c r="E1125" s="1">
        <v>2031428</v>
      </c>
      <c r="F1125" s="8"/>
      <c r="G1125" s="1" t="s">
        <v>2498</v>
      </c>
      <c r="H1125" s="8"/>
      <c r="I1125" s="8"/>
      <c r="J1125" s="1"/>
      <c r="K1125" s="1"/>
      <c r="L1125" s="231" t="s">
        <v>3347</v>
      </c>
    </row>
    <row r="1126" spans="1:18" x14ac:dyDescent="0.3">
      <c r="A1126" s="379"/>
      <c r="B1126" s="163" t="s">
        <v>2499</v>
      </c>
      <c r="C1126" s="265" t="s">
        <v>2500</v>
      </c>
      <c r="D1126" s="266">
        <v>17630</v>
      </c>
      <c r="E1126" s="265">
        <v>1055126</v>
      </c>
      <c r="F1126" s="267"/>
      <c r="G1126" s="265" t="s">
        <v>2501</v>
      </c>
      <c r="H1126" s="267"/>
      <c r="I1126" s="267"/>
      <c r="J1126" s="265"/>
      <c r="K1126" s="265"/>
      <c r="L1126" s="267"/>
    </row>
    <row r="1127" spans="1:18" x14ac:dyDescent="0.3">
      <c r="A1127" s="250" t="s">
        <v>1653</v>
      </c>
      <c r="B1127" s="153">
        <v>45267</v>
      </c>
      <c r="C1127" s="251" t="s">
        <v>212</v>
      </c>
      <c r="D1127" s="252">
        <v>21353</v>
      </c>
      <c r="E1127" s="251">
        <v>1079515</v>
      </c>
      <c r="F1127" s="251">
        <f ca="1">YEAR(TODAY())-YEAR(D1127)</f>
        <v>68</v>
      </c>
      <c r="G1127" s="251" t="s">
        <v>1654</v>
      </c>
      <c r="H1127" s="251"/>
      <c r="I1127" s="253" t="s">
        <v>2502</v>
      </c>
      <c r="J1127" s="1"/>
      <c r="K1127" s="1"/>
      <c r="L1127" s="8"/>
      <c r="M1127" s="8"/>
      <c r="N1127" s="8"/>
      <c r="O1127" s="8"/>
      <c r="P1127" s="104"/>
      <c r="Q1127" s="5"/>
      <c r="R1127" s="8"/>
    </row>
    <row r="1128" spans="1:18" x14ac:dyDescent="0.3">
      <c r="A1128" s="182" t="s">
        <v>1803</v>
      </c>
      <c r="B1128" s="115">
        <v>44903</v>
      </c>
      <c r="C1128" s="1" t="s">
        <v>446</v>
      </c>
      <c r="D1128" s="2">
        <v>26952</v>
      </c>
      <c r="E1128" s="1">
        <v>1252315</v>
      </c>
      <c r="F1128" s="1">
        <f t="shared" ref="F1128:F1177" ca="1" si="104">YEAR(TODAY())-YEAR(D1128)</f>
        <v>53</v>
      </c>
      <c r="G1128" s="1" t="s">
        <v>2503</v>
      </c>
      <c r="H1128" s="1"/>
      <c r="I1128" s="8" t="s">
        <v>2504</v>
      </c>
      <c r="J1128" s="1"/>
      <c r="K1128" s="1"/>
      <c r="L1128" s="147"/>
      <c r="M1128" s="147"/>
      <c r="N1128" s="147"/>
      <c r="O1128" s="147"/>
      <c r="P1128" s="218"/>
      <c r="Q1128" s="219"/>
      <c r="R1128" s="147"/>
    </row>
    <row r="1129" spans="1:18" s="204" customFormat="1" x14ac:dyDescent="0.3">
      <c r="A1129" s="187" t="s">
        <v>1086</v>
      </c>
      <c r="B1129" s="118">
        <v>45269</v>
      </c>
      <c r="C1129" s="40" t="s">
        <v>481</v>
      </c>
      <c r="D1129" s="41">
        <v>18905</v>
      </c>
      <c r="E1129" s="40">
        <v>1148416</v>
      </c>
      <c r="F1129" s="40">
        <f t="shared" ca="1" si="104"/>
        <v>75</v>
      </c>
      <c r="G1129" s="40" t="s">
        <v>1087</v>
      </c>
      <c r="H1129" s="40"/>
      <c r="I1129" s="39" t="s">
        <v>2505</v>
      </c>
      <c r="J1129" s="1"/>
      <c r="K1129" s="1"/>
      <c r="L1129" s="8"/>
      <c r="M1129" s="8"/>
      <c r="N1129" s="8"/>
      <c r="O1129" s="8"/>
      <c r="P1129" s="104"/>
      <c r="Q1129" s="5"/>
      <c r="R1129" s="8"/>
    </row>
    <row r="1130" spans="1:18" x14ac:dyDescent="0.3">
      <c r="A1130" s="407" t="s">
        <v>2506</v>
      </c>
      <c r="B1130" s="112">
        <v>45271</v>
      </c>
      <c r="C1130" s="30" t="s">
        <v>2507</v>
      </c>
      <c r="D1130" s="31">
        <v>25642</v>
      </c>
      <c r="E1130" s="30">
        <v>1478317</v>
      </c>
      <c r="F1130" s="30">
        <f ca="1">YEAR(TODAY())-YEAR(D1130)</f>
        <v>56</v>
      </c>
      <c r="G1130" s="30" t="s">
        <v>2508</v>
      </c>
      <c r="H1130" s="30"/>
      <c r="I1130" s="29" t="s">
        <v>2509</v>
      </c>
      <c r="J1130" s="30"/>
      <c r="K1130" s="30"/>
      <c r="L1130" s="143" t="s">
        <v>2510</v>
      </c>
      <c r="M1130" s="8"/>
      <c r="N1130" s="8"/>
      <c r="O1130" s="8"/>
      <c r="P1130" s="9"/>
      <c r="Q1130" s="3"/>
      <c r="R1130" s="8"/>
    </row>
    <row r="1131" spans="1:18" x14ac:dyDescent="0.3">
      <c r="A1131" s="379"/>
      <c r="B1131" s="112"/>
      <c r="C1131" s="30" t="s">
        <v>2511</v>
      </c>
      <c r="D1131" s="31">
        <v>25609</v>
      </c>
      <c r="E1131" s="30">
        <v>2471843</v>
      </c>
      <c r="F1131" s="30"/>
      <c r="G1131" s="30" t="s">
        <v>2512</v>
      </c>
      <c r="H1131" s="30"/>
      <c r="I1131" s="29"/>
      <c r="J1131" s="30"/>
      <c r="K1131" s="30"/>
      <c r="L1131" s="143"/>
      <c r="M1131" s="8"/>
      <c r="N1131" s="8"/>
      <c r="O1131" s="8"/>
      <c r="P1131" s="9"/>
      <c r="Q1131" s="3"/>
      <c r="R1131" s="8"/>
    </row>
    <row r="1132" spans="1:18" s="189" customFormat="1" x14ac:dyDescent="0.3">
      <c r="A1132" s="229" t="s">
        <v>1044</v>
      </c>
      <c r="B1132" s="117">
        <v>45272</v>
      </c>
      <c r="C1132" s="27" t="s">
        <v>1045</v>
      </c>
      <c r="D1132" s="28">
        <v>31497</v>
      </c>
      <c r="E1132" s="27">
        <v>2482613</v>
      </c>
      <c r="F1132" s="27">
        <f t="shared" ca="1" si="104"/>
        <v>40</v>
      </c>
      <c r="G1132" s="27" t="s">
        <v>1046</v>
      </c>
      <c r="H1132" s="27"/>
      <c r="I1132" s="26" t="s">
        <v>2513</v>
      </c>
      <c r="J1132" s="1"/>
      <c r="K1132" s="1"/>
      <c r="L1132" s="29"/>
      <c r="M1132" s="29"/>
      <c r="N1132" s="29"/>
      <c r="O1132" s="29"/>
      <c r="P1132" s="102"/>
      <c r="Q1132" s="103"/>
      <c r="R1132" s="29"/>
    </row>
    <row r="1133" spans="1:18" s="189" customFormat="1" x14ac:dyDescent="0.3">
      <c r="A1133" s="381" t="s">
        <v>1068</v>
      </c>
      <c r="B1133" s="115">
        <v>45272</v>
      </c>
      <c r="C1133" s="1" t="s">
        <v>1069</v>
      </c>
      <c r="D1133" s="2">
        <v>23884</v>
      </c>
      <c r="E1133" s="1">
        <v>1683016</v>
      </c>
      <c r="F1133" s="1">
        <f t="shared" ca="1" si="104"/>
        <v>61</v>
      </c>
      <c r="G1133" s="1" t="s">
        <v>1070</v>
      </c>
      <c r="H1133" s="1"/>
      <c r="I1133" s="8" t="s">
        <v>2514</v>
      </c>
      <c r="J1133" s="1"/>
      <c r="K1133" s="1"/>
      <c r="L1133" s="29"/>
      <c r="M1133" s="29"/>
      <c r="N1133" s="29"/>
      <c r="O1133" s="29"/>
      <c r="P1133" s="102"/>
      <c r="Q1133" s="103"/>
      <c r="R1133" s="29"/>
    </row>
    <row r="1134" spans="1:18" s="189" customFormat="1" x14ac:dyDescent="0.3">
      <c r="A1134" s="379"/>
      <c r="B1134" s="115"/>
      <c r="C1134" s="1" t="s">
        <v>2515</v>
      </c>
      <c r="D1134" s="2">
        <v>26367</v>
      </c>
      <c r="E1134" s="1">
        <v>2716412</v>
      </c>
      <c r="F1134" s="1"/>
      <c r="G1134" s="1"/>
      <c r="H1134" s="1"/>
      <c r="I1134" s="8"/>
      <c r="J1134" s="1"/>
      <c r="K1134" s="1"/>
      <c r="L1134" s="29"/>
      <c r="M1134" s="29"/>
      <c r="N1134" s="29"/>
      <c r="O1134" s="29"/>
      <c r="P1134" s="102"/>
      <c r="Q1134" s="103"/>
      <c r="R1134" s="29"/>
    </row>
    <row r="1135" spans="1:18" s="189" customFormat="1" x14ac:dyDescent="0.3">
      <c r="A1135" s="214" t="s">
        <v>1689</v>
      </c>
      <c r="B1135" s="254">
        <v>45272</v>
      </c>
      <c r="C1135" s="40" t="s">
        <v>192</v>
      </c>
      <c r="D1135" s="208">
        <v>29496</v>
      </c>
      <c r="E1135" s="207">
        <v>1457316</v>
      </c>
      <c r="F1135" s="207">
        <f t="shared" ca="1" si="104"/>
        <v>46</v>
      </c>
      <c r="G1135" s="207" t="s">
        <v>1692</v>
      </c>
      <c r="H1135" s="207"/>
      <c r="I1135" s="209" t="s">
        <v>2516</v>
      </c>
      <c r="J1135" s="78"/>
      <c r="K1135" s="78"/>
      <c r="L1135" s="29"/>
      <c r="M1135" s="29"/>
      <c r="N1135" s="29"/>
      <c r="O1135" s="29"/>
      <c r="P1135" s="102"/>
      <c r="Q1135" s="103"/>
      <c r="R1135" s="29"/>
    </row>
    <row r="1136" spans="1:18" s="189" customFormat="1" x14ac:dyDescent="0.3">
      <c r="A1136" s="255" t="s">
        <v>1803</v>
      </c>
      <c r="B1136" s="115">
        <v>45272</v>
      </c>
      <c r="C1136" s="1" t="s">
        <v>231</v>
      </c>
      <c r="D1136" s="2">
        <v>29262</v>
      </c>
      <c r="E1136" s="1">
        <v>2682711</v>
      </c>
      <c r="F1136" s="1">
        <f ca="1">YEAR(TODAY())-YEAR(D1136)</f>
        <v>46</v>
      </c>
      <c r="G1136" s="1" t="s">
        <v>1804</v>
      </c>
      <c r="H1136" s="1"/>
      <c r="I1136" s="8" t="s">
        <v>2517</v>
      </c>
      <c r="J1136" s="1"/>
      <c r="K1136" s="1"/>
      <c r="L1136" s="29"/>
      <c r="M1136" s="29"/>
      <c r="N1136" s="29"/>
      <c r="O1136" s="29"/>
      <c r="P1136" s="102"/>
      <c r="Q1136" s="103"/>
      <c r="R1136" s="29"/>
    </row>
    <row r="1137" spans="1:18" x14ac:dyDescent="0.3">
      <c r="A1137" s="411" t="s">
        <v>2106</v>
      </c>
      <c r="B1137" s="119">
        <v>45273</v>
      </c>
      <c r="C1137" s="36" t="s">
        <v>2107</v>
      </c>
      <c r="D1137" s="37">
        <v>24834</v>
      </c>
      <c r="E1137" s="36">
        <v>1475710</v>
      </c>
      <c r="F1137" s="36">
        <f t="shared" ref="F1137:F1140" ca="1" si="105">YEAR(TODAY())-YEAR(D1137)</f>
        <v>59</v>
      </c>
      <c r="G1137" s="36" t="s">
        <v>2108</v>
      </c>
      <c r="H1137" s="36"/>
      <c r="I1137" s="35" t="s">
        <v>2518</v>
      </c>
      <c r="J1137" s="36"/>
      <c r="K1137" s="36"/>
      <c r="L1137" s="8"/>
      <c r="M1137" s="8"/>
      <c r="N1137" s="8"/>
      <c r="O1137" s="8"/>
      <c r="P1137" s="9"/>
      <c r="Q1137" s="3"/>
      <c r="R1137" s="8"/>
    </row>
    <row r="1138" spans="1:18" x14ac:dyDescent="0.3">
      <c r="A1138" s="412"/>
      <c r="B1138" s="120"/>
      <c r="C1138" s="36" t="s">
        <v>2110</v>
      </c>
      <c r="D1138" s="37">
        <v>26481</v>
      </c>
      <c r="E1138" s="36">
        <v>2411621</v>
      </c>
      <c r="F1138" s="36">
        <f t="shared" ca="1" si="105"/>
        <v>54</v>
      </c>
      <c r="G1138" s="36" t="s">
        <v>2111</v>
      </c>
      <c r="H1138" s="36"/>
      <c r="I1138" s="35"/>
      <c r="J1138" s="36"/>
      <c r="K1138" s="36"/>
      <c r="L1138" s="8"/>
      <c r="M1138" s="8"/>
      <c r="N1138" s="8"/>
      <c r="O1138" s="8"/>
      <c r="P1138" s="9"/>
      <c r="Q1138" s="3"/>
      <c r="R1138" s="8"/>
    </row>
    <row r="1139" spans="1:18" x14ac:dyDescent="0.3">
      <c r="A1139" s="412"/>
      <c r="B1139" s="120"/>
      <c r="C1139" s="36" t="s">
        <v>2112</v>
      </c>
      <c r="D1139" s="37">
        <v>35342</v>
      </c>
      <c r="E1139" s="36">
        <v>1419317</v>
      </c>
      <c r="F1139" s="36">
        <f t="shared" ca="1" si="105"/>
        <v>30</v>
      </c>
      <c r="G1139" s="36"/>
      <c r="H1139" s="36"/>
      <c r="I1139" s="35"/>
      <c r="J1139" s="36"/>
      <c r="K1139" s="36"/>
      <c r="L1139" s="8"/>
      <c r="M1139" s="8"/>
      <c r="N1139" s="8"/>
      <c r="O1139" s="8"/>
      <c r="P1139" s="9"/>
      <c r="Q1139" s="3"/>
      <c r="R1139" s="8"/>
    </row>
    <row r="1140" spans="1:18" x14ac:dyDescent="0.3">
      <c r="A1140" s="413"/>
      <c r="B1140" s="120"/>
      <c r="C1140" s="36" t="s">
        <v>2113</v>
      </c>
      <c r="D1140" s="37">
        <v>35839</v>
      </c>
      <c r="E1140" s="36">
        <v>2419310</v>
      </c>
      <c r="F1140" s="36">
        <f t="shared" ca="1" si="105"/>
        <v>28</v>
      </c>
      <c r="G1140" s="36" t="s">
        <v>2114</v>
      </c>
      <c r="H1140" s="36"/>
      <c r="I1140" s="35"/>
      <c r="J1140" s="36"/>
      <c r="K1140" s="36"/>
      <c r="L1140" s="8"/>
      <c r="M1140" s="8"/>
      <c r="N1140" s="8"/>
      <c r="O1140" s="8"/>
      <c r="P1140" s="9"/>
      <c r="Q1140" s="3"/>
      <c r="R1140" s="8"/>
    </row>
    <row r="1141" spans="1:18" s="189" customFormat="1" x14ac:dyDescent="0.3">
      <c r="A1141" s="408" t="s">
        <v>1288</v>
      </c>
      <c r="B1141" s="112"/>
      <c r="C1141" s="30" t="s">
        <v>1289</v>
      </c>
      <c r="D1141" s="31">
        <v>25563</v>
      </c>
      <c r="E1141" s="30">
        <v>2477917</v>
      </c>
      <c r="F1141" s="30">
        <f t="shared" ref="F1141:F1145" ca="1" si="106">YEAR(TODAY())-YEAR(D1141)</f>
        <v>57</v>
      </c>
      <c r="G1141" s="30" t="s">
        <v>1290</v>
      </c>
      <c r="H1141" s="30"/>
      <c r="I1141" s="29"/>
      <c r="J1141" s="30"/>
      <c r="K1141" s="30"/>
      <c r="L1141" s="29"/>
      <c r="M1141" s="29"/>
      <c r="N1141" s="29"/>
      <c r="O1141" s="29"/>
      <c r="P1141" s="102"/>
      <c r="Q1141" s="103"/>
      <c r="R1141" s="29"/>
    </row>
    <row r="1142" spans="1:18" s="204" customFormat="1" x14ac:dyDescent="0.3">
      <c r="A1142" s="409"/>
      <c r="B1142" s="113"/>
      <c r="C1142" s="30" t="s">
        <v>1294</v>
      </c>
      <c r="D1142" s="31">
        <v>25341</v>
      </c>
      <c r="E1142" s="30">
        <v>1457723</v>
      </c>
      <c r="F1142" s="30">
        <f t="shared" ca="1" si="106"/>
        <v>57</v>
      </c>
      <c r="G1142" s="30" t="s">
        <v>1295</v>
      </c>
      <c r="H1142" s="30"/>
      <c r="I1142" s="29"/>
      <c r="J1142" s="30"/>
      <c r="K1142" s="30"/>
      <c r="L1142" s="8"/>
      <c r="M1142" s="8"/>
      <c r="N1142" s="8"/>
      <c r="O1142" s="8"/>
      <c r="P1142" s="104"/>
      <c r="Q1142" s="5"/>
      <c r="R1142" s="8"/>
    </row>
    <row r="1143" spans="1:18" s="193" customFormat="1" x14ac:dyDescent="0.3">
      <c r="A1143" s="409"/>
      <c r="B1143" s="112">
        <v>45274</v>
      </c>
      <c r="C1143" s="30" t="s">
        <v>1298</v>
      </c>
      <c r="D1143" s="31">
        <v>34616</v>
      </c>
      <c r="E1143" s="30">
        <v>1479011</v>
      </c>
      <c r="F1143" s="30">
        <f t="shared" ca="1" si="106"/>
        <v>32</v>
      </c>
      <c r="G1143" s="30" t="s">
        <v>1299</v>
      </c>
      <c r="H1143" s="30"/>
      <c r="I1143" s="29" t="s">
        <v>2519</v>
      </c>
      <c r="J1143" s="30"/>
      <c r="K1143" s="30"/>
      <c r="L1143" s="8"/>
      <c r="M1143" s="8"/>
      <c r="N1143" s="8"/>
      <c r="O1143" s="8"/>
      <c r="P1143" s="104"/>
      <c r="Q1143" s="5"/>
      <c r="R1143" s="8"/>
    </row>
    <row r="1144" spans="1:18" x14ac:dyDescent="0.3">
      <c r="A1144" s="409"/>
      <c r="B1144" s="113"/>
      <c r="C1144" s="30" t="s">
        <v>1301</v>
      </c>
      <c r="D1144" s="31">
        <v>36605</v>
      </c>
      <c r="E1144" s="30">
        <v>3479025</v>
      </c>
      <c r="F1144" s="30">
        <f t="shared" ca="1" si="106"/>
        <v>26</v>
      </c>
      <c r="G1144" s="30" t="s">
        <v>1302</v>
      </c>
      <c r="H1144" s="30"/>
      <c r="I1144" s="29"/>
      <c r="J1144" s="30"/>
      <c r="K1144" s="30"/>
      <c r="L1144" s="8"/>
      <c r="M1144" s="8"/>
      <c r="N1144" s="8"/>
      <c r="O1144" s="8"/>
      <c r="P1144" s="104"/>
      <c r="Q1144" s="5"/>
      <c r="R1144" s="8"/>
    </row>
    <row r="1145" spans="1:18" x14ac:dyDescent="0.3">
      <c r="A1145" s="410"/>
      <c r="B1145" s="113"/>
      <c r="C1145" s="30" t="s">
        <v>1304</v>
      </c>
      <c r="D1145" s="31">
        <v>16360</v>
      </c>
      <c r="E1145" s="30">
        <v>2477921</v>
      </c>
      <c r="F1145" s="30">
        <f t="shared" ca="1" si="106"/>
        <v>82</v>
      </c>
      <c r="G1145" s="30" t="s">
        <v>1290</v>
      </c>
      <c r="H1145" s="30"/>
      <c r="I1145" s="29"/>
      <c r="J1145" s="30"/>
      <c r="K1145" s="30"/>
      <c r="L1145" s="8"/>
      <c r="M1145" s="8"/>
      <c r="N1145" s="8"/>
      <c r="O1145" s="8"/>
      <c r="P1145" s="104"/>
      <c r="Q1145" s="5"/>
      <c r="R1145" s="8"/>
    </row>
    <row r="1146" spans="1:18" x14ac:dyDescent="0.3">
      <c r="A1146" s="404" t="s">
        <v>1122</v>
      </c>
      <c r="B1146" s="111"/>
      <c r="C1146" s="33" t="s">
        <v>2391</v>
      </c>
      <c r="D1146" s="34">
        <v>18936</v>
      </c>
      <c r="E1146" s="33">
        <v>1476812</v>
      </c>
      <c r="F1146" s="33">
        <f t="shared" ref="F1146:F1154" ca="1" si="107">YEAR(TODAY())-YEAR(D1146)</f>
        <v>75</v>
      </c>
      <c r="G1146" s="33" t="s">
        <v>2392</v>
      </c>
      <c r="H1146" s="33"/>
      <c r="I1146" s="33"/>
      <c r="J1146" s="33"/>
      <c r="K1146" s="33" t="s">
        <v>2393</v>
      </c>
      <c r="L1146" s="8"/>
      <c r="M1146" s="8"/>
      <c r="N1146" s="8"/>
      <c r="O1146" s="8"/>
      <c r="P1146" s="9"/>
      <c r="Q1146" s="3"/>
      <c r="R1146" s="8"/>
    </row>
    <row r="1147" spans="1:18" x14ac:dyDescent="0.3">
      <c r="A1147" s="405"/>
      <c r="B1147" s="111"/>
      <c r="C1147" s="33" t="s">
        <v>2394</v>
      </c>
      <c r="D1147" s="34">
        <v>20856</v>
      </c>
      <c r="E1147" s="33">
        <v>2475744</v>
      </c>
      <c r="F1147" s="33">
        <f t="shared" ca="1" si="107"/>
        <v>69</v>
      </c>
      <c r="G1147" s="33" t="s">
        <v>2395</v>
      </c>
      <c r="H1147" s="33"/>
      <c r="I1147" s="33"/>
      <c r="J1147" s="33"/>
      <c r="K1147" s="33" t="s">
        <v>2396</v>
      </c>
      <c r="L1147" s="8"/>
      <c r="M1147" s="8"/>
      <c r="N1147" s="8"/>
      <c r="O1147" s="8"/>
      <c r="P1147" s="9"/>
      <c r="Q1147" s="3"/>
      <c r="R1147" s="8"/>
    </row>
    <row r="1148" spans="1:18" x14ac:dyDescent="0.3">
      <c r="A1148" s="405"/>
      <c r="B1148" s="111" t="s">
        <v>2397</v>
      </c>
      <c r="C1148" s="33" t="s">
        <v>2398</v>
      </c>
      <c r="D1148" s="34">
        <v>29907</v>
      </c>
      <c r="E1148" s="33">
        <v>2475711</v>
      </c>
      <c r="F1148" s="33">
        <f t="shared" ca="1" si="107"/>
        <v>45</v>
      </c>
      <c r="G1148" s="33" t="s">
        <v>2399</v>
      </c>
      <c r="H1148" s="33"/>
      <c r="I1148" s="33" t="s">
        <v>2400</v>
      </c>
      <c r="J1148" s="33" t="s">
        <v>2401</v>
      </c>
      <c r="K1148" s="33" t="s">
        <v>2402</v>
      </c>
      <c r="L1148" s="8"/>
      <c r="M1148" s="8"/>
      <c r="N1148" s="8"/>
      <c r="O1148" s="8"/>
      <c r="P1148" s="9"/>
      <c r="Q1148" s="3"/>
      <c r="R1148" s="8"/>
    </row>
    <row r="1149" spans="1:18" x14ac:dyDescent="0.3">
      <c r="A1149" s="384"/>
      <c r="B1149" s="111"/>
      <c r="C1149" s="33" t="s">
        <v>1123</v>
      </c>
      <c r="D1149" s="34">
        <v>31105</v>
      </c>
      <c r="E1149" s="33">
        <v>2475735</v>
      </c>
      <c r="F1149" s="33">
        <f t="shared" ca="1" si="107"/>
        <v>41</v>
      </c>
      <c r="G1149" s="33" t="s">
        <v>1124</v>
      </c>
      <c r="H1149" s="33"/>
      <c r="I1149" s="33"/>
      <c r="J1149" s="33"/>
      <c r="K1149" s="33"/>
      <c r="L1149" s="8"/>
      <c r="M1149" s="8"/>
      <c r="N1149" s="8"/>
      <c r="O1149" s="8"/>
      <c r="P1149" s="9"/>
      <c r="Q1149" s="3"/>
      <c r="R1149" s="8"/>
    </row>
    <row r="1150" spans="1:18" x14ac:dyDescent="0.3">
      <c r="A1150" s="384"/>
      <c r="B1150" s="111" t="s">
        <v>2403</v>
      </c>
      <c r="C1150" s="33" t="s">
        <v>2404</v>
      </c>
      <c r="D1150" s="34">
        <v>29662</v>
      </c>
      <c r="E1150" s="33">
        <v>1451216</v>
      </c>
      <c r="F1150" s="33">
        <f t="shared" ca="1" si="107"/>
        <v>45</v>
      </c>
      <c r="G1150" s="33" t="s">
        <v>2405</v>
      </c>
      <c r="H1150" s="33"/>
      <c r="I1150" s="33" t="s">
        <v>2406</v>
      </c>
      <c r="J1150" s="33"/>
      <c r="K1150" s="33"/>
      <c r="L1150" s="8"/>
      <c r="M1150" s="8"/>
      <c r="N1150" s="8"/>
      <c r="O1150" s="8"/>
      <c r="P1150" s="9"/>
      <c r="Q1150" s="3"/>
      <c r="R1150" s="8"/>
    </row>
    <row r="1151" spans="1:18" x14ac:dyDescent="0.3">
      <c r="A1151" s="384"/>
      <c r="B1151" s="111"/>
      <c r="C1151" s="33" t="s">
        <v>2407</v>
      </c>
      <c r="D1151" s="34">
        <v>18365</v>
      </c>
      <c r="E1151" s="33">
        <v>1451211</v>
      </c>
      <c r="F1151" s="33">
        <f t="shared" ca="1" si="107"/>
        <v>76</v>
      </c>
      <c r="G1151" s="33" t="s">
        <v>2408</v>
      </c>
      <c r="H1151" s="33"/>
      <c r="I1151" s="33"/>
      <c r="J1151" s="33"/>
      <c r="K1151" s="33"/>
      <c r="L1151" s="8"/>
      <c r="M1151" s="8"/>
      <c r="N1151" s="8"/>
      <c r="O1151" s="8"/>
      <c r="P1151" s="9"/>
      <c r="Q1151" s="3"/>
      <c r="R1151" s="8"/>
    </row>
    <row r="1152" spans="1:18" x14ac:dyDescent="0.3">
      <c r="A1152" s="384"/>
      <c r="B1152" s="111"/>
      <c r="C1152" s="33" t="s">
        <v>2409</v>
      </c>
      <c r="D1152" s="34">
        <v>19483</v>
      </c>
      <c r="E1152" s="33">
        <v>2411511</v>
      </c>
      <c r="F1152" s="33">
        <f t="shared" ca="1" si="107"/>
        <v>73</v>
      </c>
      <c r="G1152" s="33" t="s">
        <v>2410</v>
      </c>
      <c r="H1152" s="33"/>
      <c r="I1152" s="33"/>
      <c r="J1152" s="33"/>
      <c r="K1152" s="33"/>
      <c r="L1152" s="8"/>
      <c r="M1152" s="8"/>
      <c r="N1152" s="8"/>
      <c r="O1152" s="8"/>
      <c r="P1152" s="9"/>
      <c r="Q1152" s="3"/>
      <c r="R1152" s="8"/>
    </row>
    <row r="1153" spans="1:18" x14ac:dyDescent="0.3">
      <c r="A1153" s="384"/>
      <c r="B1153" s="111"/>
      <c r="C1153" s="33" t="s">
        <v>67</v>
      </c>
      <c r="D1153" s="34">
        <v>42164</v>
      </c>
      <c r="E1153" s="33">
        <v>3412911</v>
      </c>
      <c r="F1153" s="33">
        <f t="shared" ca="1" si="107"/>
        <v>11</v>
      </c>
      <c r="G1153" s="33"/>
      <c r="H1153" s="33"/>
      <c r="I1153" s="33"/>
      <c r="J1153" s="33"/>
      <c r="K1153" s="33"/>
      <c r="L1153" s="8"/>
      <c r="M1153" s="8"/>
      <c r="N1153" s="8"/>
      <c r="O1153" s="8"/>
      <c r="P1153" s="9"/>
      <c r="Q1153" s="3"/>
      <c r="R1153" s="8"/>
    </row>
    <row r="1154" spans="1:18" x14ac:dyDescent="0.3">
      <c r="A1154" s="379"/>
      <c r="B1154" s="111"/>
      <c r="C1154" s="33" t="s">
        <v>2411</v>
      </c>
      <c r="D1154" s="34">
        <v>43467</v>
      </c>
      <c r="E1154" s="33">
        <v>3412512</v>
      </c>
      <c r="F1154" s="33">
        <f t="shared" ca="1" si="107"/>
        <v>7</v>
      </c>
      <c r="G1154" s="33"/>
      <c r="H1154" s="33"/>
      <c r="I1154" s="33"/>
      <c r="J1154" s="33"/>
      <c r="K1154" s="33"/>
      <c r="L1154" s="8"/>
      <c r="M1154" s="8"/>
      <c r="N1154" s="8"/>
      <c r="O1154" s="8"/>
      <c r="P1154" s="9"/>
      <c r="Q1154" s="3"/>
      <c r="R1154" s="8"/>
    </row>
    <row r="1155" spans="1:18" x14ac:dyDescent="0.3">
      <c r="A1155" s="240"/>
      <c r="B1155" s="113" t="s">
        <v>2403</v>
      </c>
      <c r="C1155" s="30" t="s">
        <v>2520</v>
      </c>
      <c r="D1155" s="31" t="s">
        <v>1346</v>
      </c>
      <c r="E1155" s="30"/>
      <c r="F1155" s="30"/>
      <c r="G1155" s="30"/>
      <c r="H1155" s="30"/>
      <c r="I1155" s="29" t="s">
        <v>2521</v>
      </c>
      <c r="J1155" s="30"/>
      <c r="K1155" s="30"/>
      <c r="L1155" s="8"/>
      <c r="M1155" s="8"/>
      <c r="N1155" s="8"/>
      <c r="O1155" s="8"/>
      <c r="P1155" s="104"/>
      <c r="Q1155" s="5"/>
      <c r="R1155" s="8"/>
    </row>
    <row r="1156" spans="1:18" x14ac:dyDescent="0.3">
      <c r="A1156" s="256"/>
      <c r="B1156" s="172" t="s">
        <v>2403</v>
      </c>
      <c r="C1156" s="57" t="s">
        <v>2404</v>
      </c>
      <c r="D1156" s="58">
        <v>29662</v>
      </c>
      <c r="E1156" s="57">
        <v>1451216</v>
      </c>
      <c r="F1156" s="57">
        <f t="shared" ref="F1156" ca="1" si="108">YEAR(TODAY())-YEAR(D1156)</f>
        <v>45</v>
      </c>
      <c r="G1156" s="57" t="s">
        <v>2405</v>
      </c>
      <c r="H1156" s="57"/>
      <c r="I1156" s="57" t="s">
        <v>2406</v>
      </c>
      <c r="J1156" s="27"/>
      <c r="K1156" s="27"/>
      <c r="L1156" s="8"/>
      <c r="M1156" s="8"/>
      <c r="N1156" s="8"/>
      <c r="O1156" s="8"/>
      <c r="P1156" s="9"/>
      <c r="Q1156" s="3"/>
      <c r="R1156" s="8"/>
    </row>
    <row r="1157" spans="1:18" s="212" customFormat="1" x14ac:dyDescent="0.3">
      <c r="A1157" s="398" t="s">
        <v>2522</v>
      </c>
      <c r="B1157" s="117">
        <v>45275</v>
      </c>
      <c r="C1157" s="27" t="s">
        <v>2523</v>
      </c>
      <c r="D1157" s="28">
        <v>29316</v>
      </c>
      <c r="E1157" s="27">
        <v>2853126</v>
      </c>
      <c r="F1157" s="27">
        <f t="shared" ca="1" si="104"/>
        <v>46</v>
      </c>
      <c r="G1157" s="27" t="s">
        <v>2524</v>
      </c>
      <c r="H1157" s="27"/>
      <c r="I1157" s="26" t="s">
        <v>2525</v>
      </c>
      <c r="J1157" s="1"/>
      <c r="K1157" s="1"/>
      <c r="L1157" s="8"/>
      <c r="M1157" s="8"/>
      <c r="N1157" s="8"/>
      <c r="O1157" s="8"/>
      <c r="P1157" s="104"/>
      <c r="Q1157" s="5"/>
      <c r="R1157" s="8"/>
    </row>
    <row r="1158" spans="1:18" x14ac:dyDescent="0.3">
      <c r="A1158" s="399"/>
      <c r="B1158" s="121"/>
      <c r="C1158" s="27" t="s">
        <v>2526</v>
      </c>
      <c r="D1158" s="28">
        <v>28945</v>
      </c>
      <c r="E1158" s="27">
        <v>1852517</v>
      </c>
      <c r="F1158" s="27">
        <f t="shared" ca="1" si="104"/>
        <v>47</v>
      </c>
      <c r="G1158" s="27" t="s">
        <v>2527</v>
      </c>
      <c r="H1158" s="27"/>
      <c r="I1158" s="26"/>
      <c r="J1158" s="1"/>
      <c r="K1158" s="1"/>
      <c r="L1158" s="8"/>
      <c r="M1158" s="8"/>
      <c r="N1158" s="8"/>
      <c r="O1158" s="8"/>
      <c r="P1158" s="104"/>
      <c r="Q1158" s="5"/>
      <c r="R1158" s="8"/>
    </row>
    <row r="1159" spans="1:18" x14ac:dyDescent="0.3">
      <c r="A1159" s="379"/>
      <c r="B1159" s="121"/>
      <c r="C1159" s="347" t="s">
        <v>3492</v>
      </c>
      <c r="D1159" s="28">
        <v>43938</v>
      </c>
      <c r="E1159" s="347">
        <v>3412931</v>
      </c>
      <c r="F1159" s="347"/>
      <c r="G1159" s="347"/>
      <c r="H1159" s="347"/>
      <c r="I1159" s="26"/>
      <c r="J1159" s="348"/>
      <c r="K1159" s="348"/>
      <c r="L1159" s="8"/>
      <c r="M1159" s="8"/>
      <c r="N1159" s="8"/>
      <c r="O1159" s="8"/>
      <c r="P1159" s="104"/>
      <c r="Q1159" s="5"/>
      <c r="R1159" s="8"/>
    </row>
    <row r="1160" spans="1:18" s="204" customFormat="1" x14ac:dyDescent="0.3">
      <c r="A1160" s="187" t="s">
        <v>1711</v>
      </c>
      <c r="B1160" s="110">
        <v>45277</v>
      </c>
      <c r="C1160" s="33" t="s">
        <v>211</v>
      </c>
      <c r="D1160" s="34">
        <v>27885</v>
      </c>
      <c r="E1160" s="33">
        <v>1106117</v>
      </c>
      <c r="F1160" s="33">
        <f t="shared" ca="1" si="104"/>
        <v>50</v>
      </c>
      <c r="G1160" s="33" t="s">
        <v>1802</v>
      </c>
      <c r="H1160" s="33"/>
      <c r="I1160" s="32" t="s">
        <v>2528</v>
      </c>
      <c r="J1160" s="1" t="s">
        <v>90</v>
      </c>
      <c r="K1160" s="1"/>
      <c r="L1160" s="8"/>
      <c r="M1160" s="8"/>
      <c r="N1160" s="8"/>
      <c r="O1160" s="8"/>
      <c r="P1160" s="104"/>
      <c r="Q1160" s="5"/>
      <c r="R1160" s="8"/>
    </row>
    <row r="1161" spans="1:18" s="204" customFormat="1" x14ac:dyDescent="0.3">
      <c r="A1161" s="390" t="s">
        <v>2529</v>
      </c>
      <c r="B1161" s="119">
        <v>45278</v>
      </c>
      <c r="C1161" s="36" t="s">
        <v>668</v>
      </c>
      <c r="D1161" s="37">
        <v>17801</v>
      </c>
      <c r="E1161" s="36">
        <v>1467312</v>
      </c>
      <c r="F1161" s="36">
        <f t="shared" ca="1" si="104"/>
        <v>78</v>
      </c>
      <c r="G1161" s="36"/>
      <c r="H1161" s="36"/>
      <c r="I1161" s="35" t="s">
        <v>2530</v>
      </c>
      <c r="J1161" s="1"/>
      <c r="K1161" s="1"/>
      <c r="L1161" s="8"/>
      <c r="M1161" s="8"/>
      <c r="N1161" s="8"/>
      <c r="O1161" s="8"/>
      <c r="P1161" s="104"/>
      <c r="Q1161" s="5"/>
      <c r="R1161" s="8"/>
    </row>
    <row r="1162" spans="1:18" s="204" customFormat="1" x14ac:dyDescent="0.3">
      <c r="A1162" s="391"/>
      <c r="B1162" s="120"/>
      <c r="C1162" s="36" t="s">
        <v>2531</v>
      </c>
      <c r="D1162" s="37">
        <v>19448</v>
      </c>
      <c r="E1162" s="36">
        <v>2528525</v>
      </c>
      <c r="F1162" s="36">
        <f t="shared" ca="1" si="104"/>
        <v>73</v>
      </c>
      <c r="G1162" s="36"/>
      <c r="H1162" s="36"/>
      <c r="I1162" s="35"/>
      <c r="J1162" s="1"/>
      <c r="K1162" s="1"/>
      <c r="L1162" s="8"/>
      <c r="M1162" s="8"/>
      <c r="N1162" s="8"/>
      <c r="O1162" s="8"/>
      <c r="P1162" s="104"/>
      <c r="Q1162" s="5"/>
      <c r="R1162" s="8"/>
    </row>
    <row r="1163" spans="1:18" s="185" customFormat="1" x14ac:dyDescent="0.3">
      <c r="A1163" s="211" t="s">
        <v>1184</v>
      </c>
      <c r="B1163" s="122">
        <v>45280</v>
      </c>
      <c r="C1163" s="18" t="s">
        <v>619</v>
      </c>
      <c r="D1163" s="19">
        <v>30400</v>
      </c>
      <c r="E1163" s="18">
        <v>1476114</v>
      </c>
      <c r="F1163" s="18">
        <f t="shared" ca="1" si="104"/>
        <v>43</v>
      </c>
      <c r="G1163" s="18"/>
      <c r="H1163" s="18"/>
      <c r="I1163" s="17" t="s">
        <v>2532</v>
      </c>
      <c r="J1163" s="1"/>
      <c r="K1163" s="1"/>
      <c r="L1163" s="8"/>
      <c r="M1163" s="8"/>
      <c r="N1163" s="8"/>
      <c r="O1163" s="8"/>
      <c r="P1163" s="104"/>
      <c r="Q1163" s="5"/>
      <c r="R1163" s="8"/>
    </row>
    <row r="1164" spans="1:18" s="185" customFormat="1" x14ac:dyDescent="0.3">
      <c r="A1164" s="182" t="s">
        <v>2533</v>
      </c>
      <c r="B1164" s="115">
        <v>45280</v>
      </c>
      <c r="C1164" s="1" t="s">
        <v>2534</v>
      </c>
      <c r="D1164" s="2">
        <v>23289</v>
      </c>
      <c r="E1164" s="1">
        <v>6860013</v>
      </c>
      <c r="F1164" s="1">
        <f t="shared" ca="1" si="104"/>
        <v>63</v>
      </c>
      <c r="G1164" s="1" t="s">
        <v>2535</v>
      </c>
      <c r="H1164" s="1"/>
      <c r="I1164" s="8" t="s">
        <v>2536</v>
      </c>
      <c r="J1164" s="1"/>
      <c r="K1164" s="1"/>
      <c r="L1164" s="8"/>
      <c r="M1164" s="8"/>
      <c r="N1164" s="8"/>
      <c r="O1164" s="8"/>
      <c r="P1164" s="104"/>
      <c r="Q1164" s="5"/>
      <c r="R1164" s="8"/>
    </row>
    <row r="1165" spans="1:18" x14ac:dyDescent="0.3">
      <c r="A1165" s="398" t="s">
        <v>1442</v>
      </c>
      <c r="B1165" s="117">
        <v>45281</v>
      </c>
      <c r="C1165" s="27" t="s">
        <v>665</v>
      </c>
      <c r="D1165" s="28">
        <v>30931</v>
      </c>
      <c r="E1165" s="27">
        <v>1079113</v>
      </c>
      <c r="F1165" s="27">
        <f t="shared" ca="1" si="104"/>
        <v>42</v>
      </c>
      <c r="G1165" s="27" t="s">
        <v>1443</v>
      </c>
      <c r="H1165" s="27"/>
      <c r="I1165" s="26" t="s">
        <v>2537</v>
      </c>
      <c r="J1165" s="1"/>
      <c r="K1165" s="1"/>
      <c r="L1165" s="8"/>
      <c r="M1165" s="8"/>
      <c r="N1165" s="8"/>
      <c r="O1165" s="8"/>
      <c r="P1165" s="104"/>
      <c r="Q1165" s="5"/>
      <c r="R1165" s="8"/>
    </row>
    <row r="1166" spans="1:18" s="189" customFormat="1" x14ac:dyDescent="0.3">
      <c r="A1166" s="433"/>
      <c r="B1166" s="121"/>
      <c r="C1166" s="27" t="s">
        <v>666</v>
      </c>
      <c r="D1166" s="28">
        <v>31495</v>
      </c>
      <c r="E1166" s="27">
        <v>2203315</v>
      </c>
      <c r="F1166" s="27">
        <f t="shared" ca="1" si="104"/>
        <v>40</v>
      </c>
      <c r="G1166" s="27" t="s">
        <v>2538</v>
      </c>
      <c r="H1166" s="27"/>
      <c r="I1166" s="26"/>
      <c r="J1166" s="1"/>
      <c r="K1166" s="1"/>
      <c r="L1166" s="8"/>
      <c r="M1166" s="8"/>
      <c r="N1166" s="8"/>
      <c r="O1166" s="8"/>
      <c r="P1166" s="104"/>
      <c r="Q1166" s="5"/>
      <c r="R1166" s="8"/>
    </row>
    <row r="1167" spans="1:18" s="76" customFormat="1" x14ac:dyDescent="0.3">
      <c r="A1167" s="419"/>
      <c r="B1167" s="121"/>
      <c r="C1167" s="27" t="s">
        <v>459</v>
      </c>
      <c r="D1167" s="28">
        <v>44726</v>
      </c>
      <c r="E1167" s="27">
        <v>4305455</v>
      </c>
      <c r="F1167" s="27">
        <f t="shared" ca="1" si="104"/>
        <v>4</v>
      </c>
      <c r="G1167" s="27"/>
      <c r="H1167" s="27"/>
      <c r="I1167" s="26"/>
      <c r="J1167" s="1"/>
      <c r="K1167" s="1"/>
      <c r="L1167" s="39"/>
      <c r="M1167" s="39"/>
      <c r="N1167" s="39"/>
      <c r="O1167" s="39"/>
      <c r="P1167" s="140"/>
      <c r="Q1167" s="141"/>
      <c r="R1167" s="39"/>
    </row>
    <row r="1168" spans="1:18" s="189" customFormat="1" x14ac:dyDescent="0.3">
      <c r="A1168" s="390" t="s">
        <v>2539</v>
      </c>
      <c r="B1168" s="119">
        <v>45281</v>
      </c>
      <c r="C1168" s="135" t="s">
        <v>687</v>
      </c>
      <c r="D1168" s="136">
        <v>27277</v>
      </c>
      <c r="E1168" s="135">
        <v>1637713</v>
      </c>
      <c r="F1168" s="36">
        <f t="shared" ca="1" si="104"/>
        <v>52</v>
      </c>
      <c r="G1168" s="36" t="s">
        <v>2540</v>
      </c>
      <c r="H1168" s="36"/>
      <c r="I1168" s="35" t="s">
        <v>2541</v>
      </c>
      <c r="J1168" s="1"/>
      <c r="K1168" s="1"/>
      <c r="L1168" s="8"/>
      <c r="M1168" s="8"/>
      <c r="N1168" s="8"/>
      <c r="O1168" s="8"/>
      <c r="P1168" s="104"/>
      <c r="Q1168" s="5"/>
      <c r="R1168" s="8"/>
    </row>
    <row r="1169" spans="1:18" s="189" customFormat="1" x14ac:dyDescent="0.3">
      <c r="A1169" s="391"/>
      <c r="B1169" s="120"/>
      <c r="C1169" s="135" t="s">
        <v>688</v>
      </c>
      <c r="D1169" s="136">
        <v>29038</v>
      </c>
      <c r="E1169" s="135">
        <v>2637219</v>
      </c>
      <c r="F1169" s="36">
        <f t="shared" ca="1" si="104"/>
        <v>47</v>
      </c>
      <c r="G1169" s="36" t="s">
        <v>2542</v>
      </c>
      <c r="H1169" s="36"/>
      <c r="I1169" s="35"/>
      <c r="J1169" s="1"/>
      <c r="K1169" s="1"/>
      <c r="L1169" s="8"/>
      <c r="M1169" s="8"/>
      <c r="N1169" s="8"/>
      <c r="O1169" s="8"/>
      <c r="P1169" s="104"/>
      <c r="Q1169" s="5"/>
      <c r="R1169" s="8"/>
    </row>
    <row r="1170" spans="1:18" s="189" customFormat="1" x14ac:dyDescent="0.3">
      <c r="A1170" s="229" t="s">
        <v>1044</v>
      </c>
      <c r="B1170" s="117">
        <v>45281</v>
      </c>
      <c r="C1170" s="27" t="s">
        <v>1045</v>
      </c>
      <c r="D1170" s="28">
        <v>31497</v>
      </c>
      <c r="E1170" s="27">
        <v>2482613</v>
      </c>
      <c r="F1170" s="27">
        <f t="shared" ca="1" si="104"/>
        <v>40</v>
      </c>
      <c r="G1170" s="27" t="s">
        <v>1046</v>
      </c>
      <c r="H1170" s="27"/>
      <c r="I1170" s="26" t="s">
        <v>2543</v>
      </c>
      <c r="J1170" s="1"/>
      <c r="K1170" s="1"/>
      <c r="L1170" s="8"/>
      <c r="M1170" s="8"/>
      <c r="N1170" s="8"/>
      <c r="O1170" s="8"/>
      <c r="P1170" s="104"/>
      <c r="Q1170" s="5"/>
      <c r="R1170" s="8"/>
    </row>
    <row r="1171" spans="1:18" x14ac:dyDescent="0.3">
      <c r="A1171" s="40"/>
      <c r="B1171" s="118">
        <v>45282</v>
      </c>
      <c r="C1171" s="40" t="s">
        <v>32</v>
      </c>
      <c r="D1171" s="41"/>
      <c r="E1171" s="40" t="s">
        <v>1003</v>
      </c>
      <c r="F1171" s="40"/>
      <c r="G1171" s="40"/>
      <c r="H1171" s="40"/>
      <c r="I1171" s="39" t="s">
        <v>2544</v>
      </c>
      <c r="J1171" s="40"/>
      <c r="K1171" s="40"/>
      <c r="L1171" s="8"/>
      <c r="M1171" s="8"/>
      <c r="N1171" s="8"/>
      <c r="O1171" s="8"/>
      <c r="P1171" s="104"/>
      <c r="Q1171" s="5"/>
      <c r="R1171" s="8"/>
    </row>
    <row r="1172" spans="1:18" x14ac:dyDescent="0.3">
      <c r="A1172" s="408" t="s">
        <v>848</v>
      </c>
      <c r="B1172" s="112">
        <v>44919</v>
      </c>
      <c r="C1172" s="30" t="s">
        <v>84</v>
      </c>
      <c r="D1172" s="31">
        <v>30604</v>
      </c>
      <c r="E1172" s="30">
        <v>1852341</v>
      </c>
      <c r="F1172" s="30">
        <f t="shared" ca="1" si="104"/>
        <v>43</v>
      </c>
      <c r="G1172" s="30" t="s">
        <v>1177</v>
      </c>
      <c r="H1172" s="30"/>
      <c r="I1172" s="29" t="s">
        <v>2545</v>
      </c>
      <c r="J1172" s="1" t="s">
        <v>448</v>
      </c>
      <c r="K1172" s="1"/>
      <c r="L1172" s="8" t="s">
        <v>2546</v>
      </c>
      <c r="M1172" s="8"/>
      <c r="N1172" s="8"/>
      <c r="O1172" s="8"/>
      <c r="P1172" s="104"/>
      <c r="Q1172" s="5"/>
      <c r="R1172" s="8"/>
    </row>
    <row r="1173" spans="1:18" x14ac:dyDescent="0.3">
      <c r="A1173" s="409"/>
      <c r="B1173" s="113"/>
      <c r="C1173" s="30" t="s">
        <v>449</v>
      </c>
      <c r="D1173" s="31">
        <v>33226</v>
      </c>
      <c r="E1173" s="30">
        <v>2400412</v>
      </c>
      <c r="F1173" s="30">
        <f t="shared" ca="1" si="104"/>
        <v>36</v>
      </c>
      <c r="G1173" s="30" t="s">
        <v>2547</v>
      </c>
      <c r="H1173" s="30"/>
      <c r="I1173" s="29"/>
      <c r="J1173" s="1" t="s">
        <v>450</v>
      </c>
      <c r="K1173" s="1"/>
      <c r="L1173" s="8" t="s">
        <v>2548</v>
      </c>
      <c r="M1173" s="8"/>
      <c r="N1173" s="8"/>
      <c r="O1173" s="8"/>
      <c r="P1173" s="104"/>
      <c r="Q1173" s="5"/>
      <c r="R1173" s="8"/>
    </row>
    <row r="1174" spans="1:18" x14ac:dyDescent="0.3">
      <c r="A1174" s="409"/>
      <c r="B1174" s="113"/>
      <c r="C1174" s="30" t="s">
        <v>451</v>
      </c>
      <c r="D1174" s="31">
        <v>21249</v>
      </c>
      <c r="E1174" s="30">
        <v>2251914</v>
      </c>
      <c r="F1174" s="30">
        <f t="shared" ca="1" si="104"/>
        <v>68</v>
      </c>
      <c r="G1174" s="30" t="s">
        <v>2549</v>
      </c>
      <c r="H1174" s="30"/>
      <c r="I1174" s="29"/>
      <c r="J1174" s="1"/>
      <c r="K1174" s="1"/>
      <c r="L1174" s="8"/>
      <c r="M1174" s="8"/>
      <c r="N1174" s="8"/>
      <c r="O1174" s="8"/>
      <c r="P1174" s="104"/>
      <c r="Q1174" s="5"/>
      <c r="R1174" s="8"/>
    </row>
    <row r="1175" spans="1:18" x14ac:dyDescent="0.3">
      <c r="A1175" s="410"/>
      <c r="B1175" s="113"/>
      <c r="C1175" s="30" t="s">
        <v>452</v>
      </c>
      <c r="D1175" s="31">
        <v>43302</v>
      </c>
      <c r="E1175" s="30">
        <v>4960618</v>
      </c>
      <c r="F1175" s="30">
        <f t="shared" ca="1" si="104"/>
        <v>8</v>
      </c>
      <c r="G1175" s="30"/>
      <c r="H1175" s="30"/>
      <c r="I1175" s="29"/>
      <c r="J1175" s="1"/>
      <c r="K1175" s="1"/>
      <c r="L1175" s="8"/>
      <c r="M1175" s="8"/>
      <c r="N1175" s="8"/>
      <c r="O1175" s="8"/>
      <c r="P1175" s="104"/>
      <c r="Q1175" s="5"/>
      <c r="R1175" s="8"/>
    </row>
    <row r="1176" spans="1:18" s="257" customFormat="1" x14ac:dyDescent="0.3">
      <c r="A1176" s="394" t="s">
        <v>1435</v>
      </c>
      <c r="B1176" s="119">
        <v>45286</v>
      </c>
      <c r="C1176" s="36" t="s">
        <v>1436</v>
      </c>
      <c r="D1176" s="37">
        <v>22470</v>
      </c>
      <c r="E1176" s="36">
        <v>1567513</v>
      </c>
      <c r="F1176" s="36">
        <f t="shared" ca="1" si="104"/>
        <v>65</v>
      </c>
      <c r="G1176" s="36" t="s">
        <v>1437</v>
      </c>
      <c r="H1176" s="36"/>
      <c r="I1176" s="35" t="s">
        <v>2550</v>
      </c>
      <c r="J1176" s="1"/>
      <c r="K1176" s="1"/>
      <c r="L1176" s="8"/>
      <c r="M1176" s="8"/>
      <c r="N1176" s="8"/>
      <c r="O1176" s="8"/>
      <c r="P1176" s="104"/>
      <c r="Q1176" s="5"/>
      <c r="R1176" s="8"/>
    </row>
    <row r="1177" spans="1:18" s="257" customFormat="1" x14ac:dyDescent="0.3">
      <c r="A1177" s="401"/>
      <c r="B1177" s="120"/>
      <c r="C1177" s="36" t="s">
        <v>2551</v>
      </c>
      <c r="D1177" s="37">
        <v>23095</v>
      </c>
      <c r="E1177" s="36">
        <v>2668633</v>
      </c>
      <c r="F1177" s="36">
        <f t="shared" ca="1" si="104"/>
        <v>63</v>
      </c>
      <c r="G1177" s="36" t="s">
        <v>2552</v>
      </c>
      <c r="H1177" s="36"/>
      <c r="I1177" s="35"/>
      <c r="J1177" s="1"/>
      <c r="K1177" s="1"/>
      <c r="L1177" s="258"/>
      <c r="M1177" s="258"/>
      <c r="N1177" s="258"/>
      <c r="O1177" s="258"/>
      <c r="P1177" s="107"/>
      <c r="Q1177" s="108"/>
      <c r="R1177" s="258"/>
    </row>
    <row r="1178" spans="1:18" s="257" customFormat="1" x14ac:dyDescent="0.3">
      <c r="A1178" s="184" t="s">
        <v>2553</v>
      </c>
      <c r="B1178" s="117">
        <v>44923</v>
      </c>
      <c r="C1178" s="27" t="s">
        <v>454</v>
      </c>
      <c r="D1178" s="159">
        <v>27102</v>
      </c>
      <c r="E1178" s="160">
        <v>1001915</v>
      </c>
      <c r="F1178" s="160">
        <f t="shared" ca="1" si="101"/>
        <v>52</v>
      </c>
      <c r="G1178" s="160" t="s">
        <v>2554</v>
      </c>
      <c r="H1178" s="160"/>
      <c r="I1178" s="161" t="s">
        <v>2555</v>
      </c>
      <c r="J1178" s="1"/>
      <c r="K1178" s="1"/>
      <c r="L1178" s="258"/>
      <c r="M1178" s="258"/>
      <c r="N1178" s="258"/>
      <c r="O1178" s="258"/>
      <c r="P1178" s="107"/>
      <c r="Q1178" s="108"/>
      <c r="R1178" s="258"/>
    </row>
    <row r="1179" spans="1:18" s="257" customFormat="1" x14ac:dyDescent="0.3">
      <c r="A1179" s="200" t="s">
        <v>2556</v>
      </c>
      <c r="B1179" s="112">
        <v>45288</v>
      </c>
      <c r="C1179" s="30" t="s">
        <v>2523</v>
      </c>
      <c r="D1179" s="31">
        <v>29316</v>
      </c>
      <c r="E1179" s="30">
        <v>2853126</v>
      </c>
      <c r="F1179" s="30">
        <f t="shared" ca="1" si="101"/>
        <v>46</v>
      </c>
      <c r="G1179" s="30" t="s">
        <v>2524</v>
      </c>
      <c r="H1179" s="30"/>
      <c r="I1179" s="29" t="s">
        <v>2557</v>
      </c>
      <c r="J1179" s="1"/>
      <c r="K1179" s="1"/>
      <c r="L1179" s="258"/>
      <c r="M1179" s="258"/>
      <c r="N1179" s="258"/>
      <c r="O1179" s="258"/>
      <c r="P1179" s="107"/>
      <c r="Q1179" s="108"/>
      <c r="R1179" s="258"/>
    </row>
    <row r="1180" spans="1:18" x14ac:dyDescent="0.3">
      <c r="A1180" s="401" t="s">
        <v>888</v>
      </c>
      <c r="B1180" s="155"/>
      <c r="C1180" s="36" t="s">
        <v>889</v>
      </c>
      <c r="D1180" s="136">
        <v>29117</v>
      </c>
      <c r="E1180" s="135">
        <v>1667511</v>
      </c>
      <c r="F1180" s="135">
        <f t="shared" ref="F1180" ca="1" si="109">YEAR(TODAY())-YEAR(D1180)</f>
        <v>47</v>
      </c>
      <c r="G1180" s="135" t="s">
        <v>890</v>
      </c>
      <c r="H1180" s="135"/>
      <c r="I1180" s="156" t="s">
        <v>1260</v>
      </c>
      <c r="J1180" s="36"/>
      <c r="K1180" s="36"/>
      <c r="L1180" s="35"/>
      <c r="M1180" s="8"/>
      <c r="N1180" s="8"/>
      <c r="O1180" s="8"/>
    </row>
    <row r="1181" spans="1:18" x14ac:dyDescent="0.3">
      <c r="A1181" s="401"/>
      <c r="B1181" s="157">
        <v>45289</v>
      </c>
      <c r="C1181" s="36" t="s">
        <v>891</v>
      </c>
      <c r="D1181" s="37">
        <v>30614</v>
      </c>
      <c r="E1181" s="36">
        <v>2341921</v>
      </c>
      <c r="F1181" s="35"/>
      <c r="G1181" s="35" t="s">
        <v>892</v>
      </c>
      <c r="H1181" s="35"/>
      <c r="I1181" s="35"/>
      <c r="J1181" s="36"/>
      <c r="K1181" s="36"/>
      <c r="L1181" s="35" t="s">
        <v>893</v>
      </c>
      <c r="M1181" s="8"/>
      <c r="N1181" s="8"/>
      <c r="O1181" s="8"/>
    </row>
    <row r="1182" spans="1:18" x14ac:dyDescent="0.3">
      <c r="A1182" s="401"/>
      <c r="B1182" s="155"/>
      <c r="C1182" s="36" t="s">
        <v>894</v>
      </c>
      <c r="D1182" s="37">
        <v>31111</v>
      </c>
      <c r="E1182" s="36">
        <v>1222010</v>
      </c>
      <c r="F1182" s="35"/>
      <c r="G1182" s="35" t="s">
        <v>895</v>
      </c>
      <c r="H1182" s="35"/>
      <c r="I1182" s="35"/>
      <c r="J1182" s="36"/>
      <c r="K1182" s="36"/>
      <c r="L1182" s="35"/>
    </row>
    <row r="1183" spans="1:18" x14ac:dyDescent="0.3">
      <c r="A1183" s="401"/>
      <c r="B1183" s="157"/>
      <c r="C1183" s="36" t="s">
        <v>896</v>
      </c>
      <c r="D1183" s="37">
        <v>20796</v>
      </c>
      <c r="E1183" s="36">
        <v>1341919</v>
      </c>
      <c r="F1183" s="35"/>
      <c r="G1183" s="35" t="s">
        <v>897</v>
      </c>
      <c r="H1183" s="35"/>
      <c r="I1183" s="35"/>
      <c r="J1183" s="36"/>
      <c r="K1183" s="36"/>
      <c r="L1183" s="35" t="s">
        <v>899</v>
      </c>
    </row>
    <row r="1184" spans="1:18" x14ac:dyDescent="0.3">
      <c r="A1184" s="378" t="s">
        <v>2558</v>
      </c>
      <c r="B1184" s="109"/>
      <c r="C1184" s="1" t="s">
        <v>2559</v>
      </c>
      <c r="D1184" s="2">
        <v>20151</v>
      </c>
      <c r="E1184" s="1">
        <v>2380727</v>
      </c>
      <c r="F1184" s="1">
        <f ca="1">YEAR(TODAY())-YEAR(D1184)</f>
        <v>71</v>
      </c>
      <c r="G1184" s="1" t="s">
        <v>2560</v>
      </c>
      <c r="H1184" s="1"/>
      <c r="I1184" s="8"/>
      <c r="J1184" s="1"/>
      <c r="K1184" s="1"/>
      <c r="L1184" s="8"/>
      <c r="M1184" s="8"/>
      <c r="N1184" s="8"/>
      <c r="O1184" s="8"/>
      <c r="P1184" s="9"/>
      <c r="Q1184" s="3"/>
      <c r="R1184" s="8"/>
    </row>
    <row r="1185" spans="1:18" x14ac:dyDescent="0.3">
      <c r="A1185" s="384"/>
      <c r="B1185" s="109"/>
      <c r="C1185" s="1" t="s">
        <v>2561</v>
      </c>
      <c r="D1185" s="2">
        <v>30453</v>
      </c>
      <c r="E1185" s="1">
        <v>2475914</v>
      </c>
      <c r="F1185" s="1">
        <f ca="1">YEAR(TODAY())-YEAR(D1185)</f>
        <v>43</v>
      </c>
      <c r="G1185" s="1" t="s">
        <v>2562</v>
      </c>
      <c r="H1185" s="1"/>
      <c r="I1185" s="8"/>
      <c r="J1185" s="1"/>
      <c r="K1185" s="1"/>
      <c r="L1185" s="146" t="s">
        <v>2563</v>
      </c>
      <c r="M1185" s="8"/>
      <c r="N1185" s="8"/>
      <c r="O1185" s="8"/>
      <c r="P1185" s="9"/>
      <c r="Q1185" s="3"/>
      <c r="R1185" s="8"/>
    </row>
    <row r="1186" spans="1:18" x14ac:dyDescent="0.3">
      <c r="A1186" s="384"/>
      <c r="B1186" s="115">
        <v>45290</v>
      </c>
      <c r="C1186" s="1" t="s">
        <v>2564</v>
      </c>
      <c r="D1186" s="2">
        <v>17646</v>
      </c>
      <c r="E1186" s="1">
        <v>1351111</v>
      </c>
      <c r="F1186" s="1">
        <f ca="1">YEAR(TODAY())-YEAR(D1186)</f>
        <v>78</v>
      </c>
      <c r="G1186" s="1" t="s">
        <v>2565</v>
      </c>
      <c r="H1186" s="1"/>
      <c r="I1186" s="8"/>
      <c r="J1186" s="1"/>
      <c r="K1186" s="1"/>
      <c r="L1186" s="146"/>
      <c r="M1186" s="8"/>
      <c r="N1186" s="8"/>
      <c r="O1186" s="8"/>
      <c r="P1186" s="9"/>
      <c r="Q1186" s="3"/>
      <c r="R1186" s="8"/>
    </row>
    <row r="1187" spans="1:18" x14ac:dyDescent="0.3">
      <c r="A1187" s="379"/>
      <c r="B1187" s="109"/>
      <c r="C1187" s="1" t="s">
        <v>2566</v>
      </c>
      <c r="D1187" s="2">
        <v>40990</v>
      </c>
      <c r="E1187" s="1">
        <v>3475918</v>
      </c>
      <c r="F1187" s="1">
        <f ca="1">YEAR(TODAY())-YEAR(D1187)</f>
        <v>14</v>
      </c>
      <c r="G1187" s="1"/>
      <c r="H1187" s="1"/>
      <c r="I1187" s="8"/>
      <c r="J1187" s="1"/>
      <c r="K1187" s="1"/>
      <c r="L1187" s="8"/>
      <c r="M1187" s="8"/>
      <c r="N1187" s="8"/>
      <c r="O1187" s="8"/>
      <c r="P1187" s="9"/>
      <c r="Q1187" s="3"/>
      <c r="R1187" s="8"/>
    </row>
    <row r="1188" spans="1:18" x14ac:dyDescent="0.3">
      <c r="A1188" s="398" t="s">
        <v>2567</v>
      </c>
      <c r="B1188" s="121"/>
      <c r="C1188" s="27" t="s">
        <v>2568</v>
      </c>
      <c r="D1188" s="28">
        <v>19054</v>
      </c>
      <c r="E1188" s="27">
        <v>2823618</v>
      </c>
      <c r="F1188" s="27">
        <f ca="1">YEAR(TODAY())-YEAR(D1188)</f>
        <v>74</v>
      </c>
      <c r="G1188" s="27" t="s">
        <v>2569</v>
      </c>
      <c r="H1188" s="27"/>
      <c r="I1188" s="26"/>
      <c r="J1188" s="27"/>
      <c r="K1188" s="27" t="s">
        <v>2570</v>
      </c>
      <c r="L1188" s="8"/>
      <c r="M1188" s="8"/>
      <c r="N1188" s="8"/>
      <c r="O1188" s="8"/>
      <c r="P1188" s="9"/>
      <c r="Q1188" s="3"/>
      <c r="R1188" s="8"/>
    </row>
    <row r="1189" spans="1:18" x14ac:dyDescent="0.3">
      <c r="A1189" s="399"/>
      <c r="B1189" s="117">
        <v>45403</v>
      </c>
      <c r="C1189" s="27" t="s">
        <v>2571</v>
      </c>
      <c r="D1189" s="28">
        <v>17594</v>
      </c>
      <c r="E1189" s="27">
        <v>1221229</v>
      </c>
      <c r="F1189" s="27">
        <f t="shared" ref="F1189:F1191" ca="1" si="110">YEAR(TODAY())-YEAR(D1189)</f>
        <v>78</v>
      </c>
      <c r="G1189" s="27" t="s">
        <v>2572</v>
      </c>
      <c r="H1189" s="27"/>
      <c r="I1189" s="26" t="s">
        <v>2573</v>
      </c>
      <c r="J1189" s="27"/>
      <c r="K1189" s="27" t="s">
        <v>2574</v>
      </c>
      <c r="L1189" s="8"/>
      <c r="M1189" s="8"/>
      <c r="N1189" s="8"/>
      <c r="O1189" s="8"/>
      <c r="P1189" s="9"/>
      <c r="Q1189" s="3"/>
      <c r="R1189" s="8"/>
    </row>
    <row r="1190" spans="1:18" x14ac:dyDescent="0.3">
      <c r="A1190" s="438"/>
      <c r="B1190" s="117">
        <v>45359</v>
      </c>
      <c r="C1190" s="27" t="s">
        <v>2575</v>
      </c>
      <c r="D1190" s="28">
        <v>29284</v>
      </c>
      <c r="E1190" s="27">
        <v>1823616</v>
      </c>
      <c r="F1190" s="27">
        <f t="shared" ca="1" si="110"/>
        <v>46</v>
      </c>
      <c r="G1190" s="27" t="s">
        <v>2576</v>
      </c>
      <c r="H1190" s="27"/>
      <c r="I1190" s="26" t="s">
        <v>2577</v>
      </c>
      <c r="J1190" s="27"/>
      <c r="K1190" s="27"/>
      <c r="L1190" s="8"/>
      <c r="M1190" s="8"/>
      <c r="N1190" s="8"/>
      <c r="O1190" s="8"/>
      <c r="P1190" s="9"/>
      <c r="Q1190" s="3"/>
      <c r="R1190" s="8"/>
    </row>
    <row r="1191" spans="1:18" x14ac:dyDescent="0.3">
      <c r="A1191" s="281"/>
      <c r="B1191" s="112">
        <v>45404</v>
      </c>
      <c r="C1191" s="30" t="s">
        <v>2578</v>
      </c>
      <c r="D1191" s="31">
        <v>22255</v>
      </c>
      <c r="E1191" s="30">
        <v>1478016</v>
      </c>
      <c r="F1191" s="30">
        <f t="shared" ca="1" si="110"/>
        <v>66</v>
      </c>
      <c r="G1191" s="30" t="s">
        <v>2579</v>
      </c>
      <c r="H1191" s="30"/>
      <c r="I1191" s="29" t="s">
        <v>2580</v>
      </c>
      <c r="J1191" s="30" t="s">
        <v>2581</v>
      </c>
      <c r="K1191" s="30"/>
      <c r="L1191" s="8"/>
      <c r="M1191" s="8"/>
      <c r="N1191" s="8"/>
      <c r="O1191" s="8"/>
      <c r="P1191" s="9"/>
      <c r="Q1191" s="3"/>
      <c r="R1191" s="8"/>
    </row>
    <row r="1192" spans="1:18" x14ac:dyDescent="0.3">
      <c r="A1192" s="408" t="s">
        <v>2582</v>
      </c>
      <c r="B1192" s="112">
        <v>45425</v>
      </c>
      <c r="C1192" s="30" t="s">
        <v>2578</v>
      </c>
      <c r="D1192" s="31">
        <v>22255</v>
      </c>
      <c r="E1192" s="30">
        <v>1478016</v>
      </c>
      <c r="F1192" s="30">
        <f ca="1">YEAR(TODAY())-YEAR(D1192)</f>
        <v>66</v>
      </c>
      <c r="G1192" s="30" t="s">
        <v>2579</v>
      </c>
      <c r="H1192" s="30"/>
      <c r="I1192" s="29" t="s">
        <v>2583</v>
      </c>
      <c r="J1192" s="30" t="s">
        <v>2581</v>
      </c>
      <c r="K1192" s="30"/>
      <c r="L1192" s="8"/>
      <c r="M1192" s="8"/>
      <c r="N1192" s="8"/>
      <c r="O1192" s="8"/>
      <c r="P1192" s="9"/>
      <c r="Q1192" s="3"/>
      <c r="R1192" s="8"/>
    </row>
    <row r="1193" spans="1:18" x14ac:dyDescent="0.3">
      <c r="A1193" s="410"/>
      <c r="B1193" s="113"/>
      <c r="C1193" s="30" t="s">
        <v>2584</v>
      </c>
      <c r="D1193" s="31">
        <v>30456</v>
      </c>
      <c r="E1193" s="30">
        <v>2478018</v>
      </c>
      <c r="F1193" s="30">
        <f ca="1">YEAR(TODAY())-YEAR(D1193)</f>
        <v>43</v>
      </c>
      <c r="G1193" s="30" t="s">
        <v>2585</v>
      </c>
      <c r="H1193" s="30"/>
      <c r="I1193" s="29"/>
      <c r="J1193" s="30" t="s">
        <v>2586</v>
      </c>
      <c r="K1193" s="30"/>
      <c r="L1193" s="8"/>
      <c r="M1193" s="8"/>
      <c r="N1193" s="8"/>
      <c r="O1193" s="8"/>
      <c r="P1193" s="9"/>
      <c r="Q1193" s="3"/>
      <c r="R1193" s="8"/>
    </row>
    <row r="1194" spans="1:18" x14ac:dyDescent="0.3">
      <c r="A1194" s="408" t="s">
        <v>2587</v>
      </c>
      <c r="B1194" s="112">
        <v>45372</v>
      </c>
      <c r="C1194" s="30" t="s">
        <v>2588</v>
      </c>
      <c r="D1194" s="31">
        <v>25533</v>
      </c>
      <c r="E1194" s="30">
        <v>1475914</v>
      </c>
      <c r="F1194" s="30">
        <f t="shared" ref="F1194" ca="1" si="111">YEAR(TODAY())-YEAR(D1194)</f>
        <v>57</v>
      </c>
      <c r="G1194" s="30" t="s">
        <v>2589</v>
      </c>
      <c r="H1194" s="30"/>
      <c r="I1194" s="29" t="s">
        <v>2590</v>
      </c>
      <c r="J1194" s="30" t="s">
        <v>2591</v>
      </c>
      <c r="K1194" s="30"/>
      <c r="L1194" s="8" t="s">
        <v>2592</v>
      </c>
      <c r="M1194" s="8"/>
      <c r="N1194" s="8"/>
      <c r="O1194" s="8"/>
      <c r="P1194" s="9"/>
      <c r="Q1194" s="3"/>
      <c r="R1194" s="8"/>
    </row>
    <row r="1195" spans="1:18" x14ac:dyDescent="0.3">
      <c r="A1195" s="409"/>
      <c r="B1195" s="112">
        <v>45587</v>
      </c>
      <c r="C1195" s="30" t="s">
        <v>2588</v>
      </c>
      <c r="D1195" s="31">
        <v>25533</v>
      </c>
      <c r="E1195" s="30">
        <v>1475914</v>
      </c>
      <c r="F1195" s="30">
        <f t="shared" ref="F1195:F1202" ca="1" si="112">YEAR(TODAY())-YEAR(D1195)</f>
        <v>57</v>
      </c>
      <c r="G1195" s="30" t="s">
        <v>2589</v>
      </c>
      <c r="H1195" s="30"/>
      <c r="I1195" s="29" t="s">
        <v>2593</v>
      </c>
      <c r="J1195" s="30" t="s">
        <v>2591</v>
      </c>
      <c r="K1195" s="30"/>
      <c r="L1195" s="8" t="s">
        <v>2592</v>
      </c>
      <c r="M1195" s="8"/>
      <c r="N1195" s="8"/>
      <c r="O1195" s="8"/>
      <c r="P1195" s="9"/>
      <c r="Q1195" s="3"/>
      <c r="R1195" s="8"/>
    </row>
    <row r="1196" spans="1:18" x14ac:dyDescent="0.3">
      <c r="A1196" s="409"/>
      <c r="B1196" s="113"/>
      <c r="C1196" s="30" t="s">
        <v>2594</v>
      </c>
      <c r="D1196" s="31">
        <v>37155</v>
      </c>
      <c r="E1196" s="30">
        <v>3475911</v>
      </c>
      <c r="F1196" s="30">
        <f t="shared" ca="1" si="112"/>
        <v>25</v>
      </c>
      <c r="G1196" s="30" t="s">
        <v>2595</v>
      </c>
      <c r="H1196" s="30"/>
      <c r="I1196" s="29"/>
      <c r="J1196" s="30"/>
      <c r="K1196" s="30"/>
      <c r="L1196" s="8"/>
      <c r="M1196" s="8"/>
      <c r="N1196" s="8"/>
      <c r="O1196" s="8"/>
      <c r="P1196" s="9"/>
      <c r="Q1196" s="3"/>
      <c r="R1196" s="8"/>
    </row>
    <row r="1197" spans="1:18" x14ac:dyDescent="0.3">
      <c r="A1197" s="410"/>
      <c r="B1197" s="112">
        <v>45326</v>
      </c>
      <c r="C1197" s="30" t="s">
        <v>2596</v>
      </c>
      <c r="D1197" s="31">
        <v>26821</v>
      </c>
      <c r="E1197" s="30">
        <v>2380112</v>
      </c>
      <c r="F1197" s="30">
        <f t="shared" ca="1" si="112"/>
        <v>53</v>
      </c>
      <c r="G1197" s="30"/>
      <c r="H1197" s="30"/>
      <c r="I1197" s="29" t="s">
        <v>2597</v>
      </c>
      <c r="J1197" s="30"/>
      <c r="K1197" s="30"/>
      <c r="L1197" s="8"/>
      <c r="M1197" s="8"/>
      <c r="N1197" s="8"/>
      <c r="O1197" s="8"/>
      <c r="P1197" s="9"/>
      <c r="Q1197" s="3"/>
      <c r="R1197" s="8"/>
    </row>
    <row r="1198" spans="1:18" x14ac:dyDescent="0.3">
      <c r="A1198" s="1" t="s">
        <v>2598</v>
      </c>
      <c r="B1198" s="115">
        <v>45503</v>
      </c>
      <c r="C1198" s="1" t="s">
        <v>2599</v>
      </c>
      <c r="D1198" s="2">
        <v>25951</v>
      </c>
      <c r="E1198" s="1">
        <v>2388516</v>
      </c>
      <c r="F1198" s="1">
        <f t="shared" ca="1" si="112"/>
        <v>55</v>
      </c>
      <c r="G1198" s="1" t="s">
        <v>2600</v>
      </c>
      <c r="H1198" s="1"/>
      <c r="I1198" s="8" t="s">
        <v>2601</v>
      </c>
      <c r="J1198" s="1"/>
      <c r="K1198" s="1"/>
      <c r="L1198" s="8" t="s">
        <v>2602</v>
      </c>
      <c r="M1198" s="8"/>
      <c r="N1198" s="8"/>
      <c r="O1198" s="8"/>
      <c r="P1198" s="9"/>
      <c r="Q1198" s="3"/>
      <c r="R1198" s="8"/>
    </row>
    <row r="1199" spans="1:18" x14ac:dyDescent="0.3">
      <c r="A1199" s="378" t="s">
        <v>2603</v>
      </c>
      <c r="B1199" s="109"/>
      <c r="C1199" s="1" t="s">
        <v>2604</v>
      </c>
      <c r="D1199" s="2">
        <v>22129</v>
      </c>
      <c r="E1199" s="1">
        <v>2058038</v>
      </c>
      <c r="F1199" s="1">
        <f t="shared" ca="1" si="112"/>
        <v>66</v>
      </c>
      <c r="G1199" s="1" t="s">
        <v>2605</v>
      </c>
      <c r="H1199" s="1"/>
      <c r="I1199" s="8"/>
      <c r="J1199" s="1"/>
      <c r="K1199" s="1"/>
      <c r="L1199" s="8" t="s">
        <v>2606</v>
      </c>
      <c r="M1199" s="8"/>
      <c r="N1199" s="8"/>
      <c r="O1199" s="8"/>
      <c r="P1199" s="9"/>
      <c r="Q1199" s="3"/>
      <c r="R1199" s="8"/>
    </row>
    <row r="1200" spans="1:18" x14ac:dyDescent="0.3">
      <c r="A1200" s="379"/>
      <c r="B1200" s="115">
        <v>45440</v>
      </c>
      <c r="C1200" s="1" t="s">
        <v>2607</v>
      </c>
      <c r="D1200" s="2">
        <v>25142</v>
      </c>
      <c r="E1200" s="1">
        <v>1057610</v>
      </c>
      <c r="F1200" s="1">
        <f t="shared" ca="1" si="112"/>
        <v>58</v>
      </c>
      <c r="G1200" s="1" t="s">
        <v>2608</v>
      </c>
      <c r="H1200" s="1"/>
      <c r="I1200" s="8" t="s">
        <v>2609</v>
      </c>
      <c r="J1200" s="1"/>
      <c r="K1200" s="1"/>
      <c r="L1200" s="8" t="s">
        <v>2606</v>
      </c>
      <c r="M1200" s="8"/>
      <c r="N1200" s="8"/>
      <c r="O1200" s="8"/>
      <c r="P1200" s="9"/>
      <c r="Q1200" s="3"/>
      <c r="R1200" s="8"/>
    </row>
    <row r="1201" spans="1:18" x14ac:dyDescent="0.3">
      <c r="A1201" s="378" t="s">
        <v>2610</v>
      </c>
      <c r="B1201" s="109"/>
      <c r="C1201" s="1" t="s">
        <v>2611</v>
      </c>
      <c r="D1201" s="2">
        <v>23602</v>
      </c>
      <c r="E1201" s="1">
        <v>2683412</v>
      </c>
      <c r="F1201" s="1">
        <f t="shared" ca="1" si="112"/>
        <v>62</v>
      </c>
      <c r="G1201" s="1" t="s">
        <v>2612</v>
      </c>
      <c r="H1201" s="1"/>
      <c r="I1201" s="8"/>
      <c r="J1201" s="1"/>
      <c r="K1201" s="1"/>
      <c r="L1201" s="8" t="s">
        <v>2613</v>
      </c>
      <c r="M1201" s="8"/>
      <c r="N1201" s="8"/>
      <c r="O1201" s="8"/>
      <c r="P1201" s="9"/>
      <c r="Q1201" s="3"/>
      <c r="R1201" s="8"/>
    </row>
    <row r="1202" spans="1:18" x14ac:dyDescent="0.3">
      <c r="A1202" s="384"/>
      <c r="B1202" s="115">
        <v>45424</v>
      </c>
      <c r="C1202" s="55" t="s">
        <v>2614</v>
      </c>
      <c r="D1202" s="2">
        <v>23326</v>
      </c>
      <c r="E1202" s="1">
        <v>1478119</v>
      </c>
      <c r="F1202" s="1">
        <f t="shared" ca="1" si="112"/>
        <v>63</v>
      </c>
      <c r="G1202" s="1" t="s">
        <v>2615</v>
      </c>
      <c r="H1202" s="1"/>
      <c r="I1202" s="8" t="s">
        <v>2616</v>
      </c>
      <c r="J1202" s="1"/>
      <c r="K1202" s="1"/>
      <c r="L1202" s="8" t="s">
        <v>2613</v>
      </c>
      <c r="M1202" s="8"/>
      <c r="N1202" s="8"/>
      <c r="O1202" s="8"/>
      <c r="P1202" s="9"/>
      <c r="Q1202" s="3"/>
      <c r="R1202" s="8"/>
    </row>
    <row r="1203" spans="1:18" x14ac:dyDescent="0.3">
      <c r="A1203" s="384"/>
      <c r="B1203" s="115">
        <v>45409</v>
      </c>
      <c r="C1203" s="55" t="s">
        <v>2614</v>
      </c>
      <c r="D1203" s="2">
        <v>23326</v>
      </c>
      <c r="E1203" s="1">
        <v>1478119</v>
      </c>
      <c r="F1203" s="1">
        <f t="shared" ref="F1203" ca="1" si="113">YEAR(TODAY())-YEAR(D1203)</f>
        <v>63</v>
      </c>
      <c r="G1203" s="1" t="s">
        <v>2615</v>
      </c>
      <c r="H1203" s="1"/>
      <c r="I1203" s="8" t="s">
        <v>2617</v>
      </c>
      <c r="J1203" s="1"/>
      <c r="K1203" s="1"/>
      <c r="L1203" s="8" t="s">
        <v>2613</v>
      </c>
      <c r="M1203" s="8"/>
      <c r="N1203" s="8"/>
      <c r="O1203" s="8"/>
      <c r="P1203" s="9"/>
      <c r="Q1203" s="3"/>
      <c r="R1203" s="8"/>
    </row>
    <row r="1204" spans="1:18" x14ac:dyDescent="0.3">
      <c r="A1204" s="384"/>
      <c r="B1204" s="115">
        <v>45380</v>
      </c>
      <c r="C1204" s="55" t="s">
        <v>2614</v>
      </c>
      <c r="D1204" s="2">
        <v>23326</v>
      </c>
      <c r="E1204" s="1">
        <v>1478119</v>
      </c>
      <c r="F1204" s="1">
        <f t="shared" ref="F1204" ca="1" si="114">YEAR(TODAY())-YEAR(D1204)</f>
        <v>63</v>
      </c>
      <c r="G1204" s="1" t="s">
        <v>2615</v>
      </c>
      <c r="H1204" s="1"/>
      <c r="I1204" s="8" t="s">
        <v>2618</v>
      </c>
      <c r="J1204" s="1"/>
      <c r="K1204" s="1"/>
      <c r="L1204" s="8" t="s">
        <v>2613</v>
      </c>
      <c r="M1204" s="8"/>
      <c r="N1204" s="8"/>
      <c r="O1204" s="8"/>
      <c r="P1204" s="9"/>
      <c r="Q1204" s="3"/>
      <c r="R1204" s="8"/>
    </row>
    <row r="1205" spans="1:18" x14ac:dyDescent="0.3">
      <c r="A1205" s="379"/>
      <c r="B1205" s="115">
        <v>45595</v>
      </c>
      <c r="C1205" s="55" t="s">
        <v>2614</v>
      </c>
      <c r="D1205" s="2">
        <v>23326</v>
      </c>
      <c r="E1205" s="1">
        <v>1478119</v>
      </c>
      <c r="F1205" s="1">
        <f t="shared" ref="F1205:F1214" ca="1" si="115">YEAR(TODAY())-YEAR(D1205)</f>
        <v>63</v>
      </c>
      <c r="G1205" s="1" t="s">
        <v>2615</v>
      </c>
      <c r="H1205" s="1"/>
      <c r="I1205" s="8" t="s">
        <v>2619</v>
      </c>
      <c r="J1205" s="1"/>
      <c r="K1205" s="1"/>
      <c r="L1205" s="8" t="s">
        <v>2613</v>
      </c>
      <c r="M1205" s="8"/>
      <c r="N1205" s="8"/>
      <c r="O1205" s="8"/>
      <c r="P1205" s="9"/>
      <c r="Q1205" s="3"/>
      <c r="R1205" s="8"/>
    </row>
    <row r="1206" spans="1:18" x14ac:dyDescent="0.3">
      <c r="A1206" s="378" t="s">
        <v>2620</v>
      </c>
      <c r="B1206" s="115">
        <v>45391</v>
      </c>
      <c r="C1206" s="1" t="s">
        <v>2621</v>
      </c>
      <c r="D1206" s="2">
        <v>20668</v>
      </c>
      <c r="E1206" s="1">
        <v>1475919</v>
      </c>
      <c r="F1206" s="1">
        <f t="shared" ca="1" si="115"/>
        <v>70</v>
      </c>
      <c r="G1206" s="1" t="s">
        <v>2622</v>
      </c>
      <c r="H1206" s="1"/>
      <c r="I1206" s="8" t="s">
        <v>2623</v>
      </c>
      <c r="J1206" s="1"/>
      <c r="K1206" s="1"/>
      <c r="L1206" s="8" t="s">
        <v>2624</v>
      </c>
      <c r="M1206" s="8"/>
      <c r="N1206" s="8"/>
      <c r="O1206" s="8"/>
      <c r="P1206" s="9"/>
      <c r="Q1206" s="3"/>
      <c r="R1206" s="8"/>
    </row>
    <row r="1207" spans="1:18" x14ac:dyDescent="0.3">
      <c r="A1207" s="379"/>
      <c r="B1207" s="109"/>
      <c r="C1207" s="1" t="s">
        <v>2625</v>
      </c>
      <c r="D1207" s="2">
        <v>22332</v>
      </c>
      <c r="E1207" s="1">
        <v>2659223</v>
      </c>
      <c r="F1207" s="1">
        <f t="shared" ca="1" si="115"/>
        <v>65</v>
      </c>
      <c r="G1207" s="1" t="s">
        <v>2626</v>
      </c>
      <c r="H1207" s="1"/>
      <c r="I1207" s="8"/>
      <c r="J1207" s="1"/>
      <c r="K1207" s="1"/>
      <c r="L1207" s="8" t="s">
        <v>2627</v>
      </c>
      <c r="M1207" s="8"/>
      <c r="N1207" s="8"/>
      <c r="O1207" s="8"/>
      <c r="P1207" s="9"/>
      <c r="Q1207" s="3"/>
      <c r="R1207" s="8"/>
    </row>
    <row r="1208" spans="1:18" x14ac:dyDescent="0.3">
      <c r="A1208" s="378" t="s">
        <v>2628</v>
      </c>
      <c r="B1208" s="109"/>
      <c r="C1208" s="1" t="s">
        <v>584</v>
      </c>
      <c r="D1208" s="2">
        <v>26410</v>
      </c>
      <c r="E1208" s="1">
        <v>2031324</v>
      </c>
      <c r="F1208" s="1">
        <f t="shared" ca="1" si="115"/>
        <v>54</v>
      </c>
      <c r="G1208" s="1" t="s">
        <v>2040</v>
      </c>
      <c r="H1208" s="1"/>
      <c r="I1208" s="8"/>
      <c r="J1208" s="1"/>
      <c r="K1208" s="1"/>
      <c r="L1208" s="8"/>
      <c r="M1208" s="8"/>
      <c r="N1208" s="8"/>
      <c r="O1208" s="8"/>
      <c r="P1208" s="9"/>
      <c r="Q1208" s="3"/>
      <c r="R1208" s="8"/>
    </row>
    <row r="1209" spans="1:18" x14ac:dyDescent="0.3">
      <c r="A1209" s="384"/>
      <c r="B1209" s="109"/>
      <c r="C1209" s="1" t="s">
        <v>585</v>
      </c>
      <c r="D1209" s="2">
        <v>40326</v>
      </c>
      <c r="E1209" s="1">
        <v>3412525</v>
      </c>
      <c r="F1209" s="1">
        <f t="shared" ca="1" si="115"/>
        <v>16</v>
      </c>
      <c r="G1209" s="1"/>
      <c r="H1209" s="1"/>
      <c r="I1209" s="8" t="s">
        <v>2629</v>
      </c>
      <c r="J1209" s="1"/>
      <c r="K1209" s="1"/>
      <c r="L1209" s="8"/>
      <c r="M1209" s="8"/>
      <c r="N1209" s="8"/>
      <c r="O1209" s="8"/>
      <c r="P1209" s="9"/>
      <c r="Q1209" s="3"/>
      <c r="R1209" s="8"/>
    </row>
    <row r="1210" spans="1:18" x14ac:dyDescent="0.3">
      <c r="A1210" s="384"/>
      <c r="B1210" s="109"/>
      <c r="C1210" s="1" t="s">
        <v>2041</v>
      </c>
      <c r="D1210" s="2">
        <v>14580</v>
      </c>
      <c r="E1210" s="1">
        <v>2031313</v>
      </c>
      <c r="F1210" s="1">
        <f t="shared" ca="1" si="115"/>
        <v>87</v>
      </c>
      <c r="G1210" s="1" t="s">
        <v>2042</v>
      </c>
      <c r="H1210" s="1"/>
      <c r="I1210" s="8"/>
      <c r="J1210" s="1"/>
      <c r="K1210" s="176"/>
      <c r="L1210" t="s">
        <v>2630</v>
      </c>
    </row>
    <row r="1211" spans="1:18" x14ac:dyDescent="0.3">
      <c r="A1211" s="379"/>
      <c r="B1211" s="115">
        <v>45516</v>
      </c>
      <c r="C1211" s="1" t="s">
        <v>583</v>
      </c>
      <c r="D1211" s="2">
        <v>25325</v>
      </c>
      <c r="E1211" s="1">
        <v>1031330</v>
      </c>
      <c r="F1211" s="1">
        <f t="shared" ca="1" si="115"/>
        <v>57</v>
      </c>
      <c r="G1211" s="1" t="s">
        <v>2038</v>
      </c>
      <c r="H1211" s="1"/>
      <c r="I1211" s="8"/>
      <c r="J1211" s="1"/>
      <c r="K1211" s="1"/>
    </row>
    <row r="1212" spans="1:18" x14ac:dyDescent="0.3">
      <c r="A1212" s="378" t="s">
        <v>2631</v>
      </c>
      <c r="B1212" s="150"/>
      <c r="C1212" s="1" t="s">
        <v>2632</v>
      </c>
      <c r="D1212" s="2">
        <v>34968</v>
      </c>
      <c r="E1212" s="1">
        <v>2477914</v>
      </c>
      <c r="F1212" s="1">
        <f t="shared" ca="1" si="115"/>
        <v>31</v>
      </c>
      <c r="G1212" s="1" t="s">
        <v>2633</v>
      </c>
      <c r="H1212" s="8"/>
      <c r="I1212" s="8"/>
      <c r="J1212" s="1"/>
      <c r="K1212" s="1"/>
      <c r="L1212" s="8" t="s">
        <v>2634</v>
      </c>
      <c r="M1212" s="8"/>
      <c r="N1212" s="8"/>
      <c r="O1212" s="8"/>
      <c r="P1212" s="9"/>
      <c r="Q1212" s="3"/>
      <c r="R1212" s="8"/>
    </row>
    <row r="1213" spans="1:18" x14ac:dyDescent="0.3">
      <c r="A1213" s="384"/>
      <c r="B1213" s="150"/>
      <c r="C1213" s="1" t="s">
        <v>2635</v>
      </c>
      <c r="D1213" s="2">
        <v>26104</v>
      </c>
      <c r="E1213" s="1">
        <v>1458214</v>
      </c>
      <c r="F1213" s="1">
        <f t="shared" ca="1" si="115"/>
        <v>55</v>
      </c>
      <c r="G1213" s="1" t="s">
        <v>2636</v>
      </c>
      <c r="H1213" s="8"/>
      <c r="I1213" s="8"/>
      <c r="J1213" s="1"/>
      <c r="K1213" s="1"/>
      <c r="L1213" s="8" t="s">
        <v>2637</v>
      </c>
      <c r="M1213" s="8"/>
      <c r="N1213" s="8"/>
      <c r="O1213" s="8"/>
      <c r="P1213" s="9"/>
      <c r="Q1213" s="3"/>
      <c r="R1213" s="8"/>
    </row>
    <row r="1214" spans="1:18" x14ac:dyDescent="0.3">
      <c r="A1214" s="384"/>
      <c r="B1214" s="150"/>
      <c r="C1214" s="1" t="s">
        <v>2638</v>
      </c>
      <c r="D1214" s="2">
        <v>36143</v>
      </c>
      <c r="E1214" s="1">
        <v>2477912</v>
      </c>
      <c r="F1214" s="1">
        <f t="shared" ca="1" si="115"/>
        <v>28</v>
      </c>
      <c r="G1214" s="1" t="s">
        <v>2639</v>
      </c>
      <c r="H1214" s="8"/>
      <c r="I1214" s="8"/>
      <c r="J1214" s="1"/>
      <c r="K1214" s="1"/>
      <c r="L1214" s="8" t="s">
        <v>2640</v>
      </c>
      <c r="M1214" s="8"/>
      <c r="N1214" s="8"/>
      <c r="O1214" s="8"/>
      <c r="P1214" s="9"/>
      <c r="Q1214" s="3"/>
      <c r="R1214" s="8"/>
    </row>
    <row r="1215" spans="1:18" x14ac:dyDescent="0.3">
      <c r="A1215" s="384"/>
      <c r="B1215" s="280">
        <v>45469</v>
      </c>
      <c r="C1215" s="1" t="s">
        <v>2641</v>
      </c>
      <c r="D1215" s="2">
        <v>26069</v>
      </c>
      <c r="E1215" s="1">
        <v>2479025</v>
      </c>
      <c r="F1215" s="1">
        <f t="shared" ref="F1215" ca="1" si="116">YEAR(TODAY())-YEAR(D1215)</f>
        <v>55</v>
      </c>
      <c r="G1215" s="1" t="s">
        <v>2642</v>
      </c>
      <c r="H1215" s="8"/>
      <c r="I1215" s="8" t="s">
        <v>2643</v>
      </c>
      <c r="J1215" s="1"/>
      <c r="K1215" s="1"/>
      <c r="L1215" s="8"/>
      <c r="M1215" s="8"/>
      <c r="N1215" s="8"/>
      <c r="O1215" s="8"/>
      <c r="P1215" s="9"/>
      <c r="Q1215" s="3"/>
      <c r="R1215" s="8"/>
    </row>
    <row r="1216" spans="1:18" x14ac:dyDescent="0.3">
      <c r="A1216" s="384"/>
      <c r="B1216" s="280">
        <v>45521</v>
      </c>
      <c r="C1216" s="1" t="s">
        <v>2641</v>
      </c>
      <c r="D1216" s="2">
        <v>26069</v>
      </c>
      <c r="E1216" s="1">
        <v>2479025</v>
      </c>
      <c r="F1216" s="1">
        <f ca="1">YEAR(TODAY())-YEAR(D1216)</f>
        <v>55</v>
      </c>
      <c r="G1216" s="1" t="s">
        <v>2642</v>
      </c>
      <c r="H1216" s="8"/>
      <c r="I1216" s="8" t="s">
        <v>2644</v>
      </c>
      <c r="J1216" s="1"/>
      <c r="K1216" s="1"/>
      <c r="L1216" s="8"/>
      <c r="M1216" s="8"/>
      <c r="N1216" s="8"/>
      <c r="O1216" s="8"/>
      <c r="P1216" s="9"/>
      <c r="Q1216" s="3"/>
      <c r="R1216" s="8"/>
    </row>
    <row r="1217" spans="1:18" x14ac:dyDescent="0.3">
      <c r="A1217" s="384"/>
      <c r="B1217" s="280">
        <v>45582</v>
      </c>
      <c r="C1217" s="1" t="s">
        <v>2641</v>
      </c>
      <c r="D1217" s="2">
        <v>26069</v>
      </c>
      <c r="E1217" s="1">
        <v>2479025</v>
      </c>
      <c r="F1217" s="1">
        <f t="shared" ref="F1217" ca="1" si="117">YEAR(TODAY())-YEAR(D1217)</f>
        <v>55</v>
      </c>
      <c r="G1217" s="1" t="s">
        <v>2642</v>
      </c>
      <c r="H1217" s="8"/>
      <c r="I1217" s="8" t="s">
        <v>2645</v>
      </c>
      <c r="J1217" s="1"/>
      <c r="K1217" s="1"/>
      <c r="L1217" s="8"/>
      <c r="M1217" s="8"/>
      <c r="N1217" s="8"/>
      <c r="O1217" s="8"/>
      <c r="P1217" s="9"/>
      <c r="Q1217" s="3"/>
      <c r="R1217" s="8"/>
    </row>
    <row r="1218" spans="1:18" x14ac:dyDescent="0.3">
      <c r="A1218" s="379"/>
      <c r="B1218" s="280">
        <v>45320</v>
      </c>
      <c r="C1218" s="1" t="s">
        <v>2641</v>
      </c>
      <c r="D1218" s="2">
        <v>26069</v>
      </c>
      <c r="E1218" s="1">
        <v>2479025</v>
      </c>
      <c r="F1218" s="1">
        <f ca="1">YEAR(TODAY())-YEAR(D1218)</f>
        <v>55</v>
      </c>
      <c r="G1218" s="1" t="s">
        <v>2642</v>
      </c>
      <c r="H1218" s="8"/>
      <c r="I1218" s="8" t="s">
        <v>2646</v>
      </c>
      <c r="J1218" s="1"/>
      <c r="K1218" s="1"/>
      <c r="L1218" s="8"/>
      <c r="M1218" s="8"/>
      <c r="N1218" s="8"/>
      <c r="O1218" s="8"/>
      <c r="P1218" s="9"/>
      <c r="Q1218" s="3"/>
      <c r="R1218" s="8"/>
    </row>
    <row r="1219" spans="1:18" x14ac:dyDescent="0.3">
      <c r="A1219" s="15"/>
      <c r="B1219" s="280">
        <v>45428</v>
      </c>
      <c r="C1219" s="1" t="s">
        <v>2647</v>
      </c>
      <c r="D1219" s="2">
        <v>28755</v>
      </c>
      <c r="E1219" s="1">
        <v>5860016</v>
      </c>
      <c r="F1219" s="1">
        <f t="shared" ref="F1219" ca="1" si="118">YEAR(TODAY())-YEAR(D1219)</f>
        <v>48</v>
      </c>
      <c r="G1219" s="1" t="s">
        <v>2648</v>
      </c>
      <c r="H1219" s="8"/>
      <c r="I1219" s="8" t="s">
        <v>2649</v>
      </c>
      <c r="J1219" s="1"/>
      <c r="K1219" s="1"/>
      <c r="L1219" s="268" t="s">
        <v>2650</v>
      </c>
      <c r="M1219" s="8"/>
      <c r="N1219" s="8"/>
      <c r="O1219" s="8"/>
      <c r="P1219" s="9"/>
      <c r="Q1219" s="3"/>
      <c r="R1219" s="8"/>
    </row>
    <row r="1220" spans="1:18" x14ac:dyDescent="0.3">
      <c r="A1220" s="378" t="s">
        <v>2651</v>
      </c>
      <c r="B1220" s="280">
        <v>45378</v>
      </c>
      <c r="C1220" s="1" t="s">
        <v>2647</v>
      </c>
      <c r="D1220" s="2">
        <v>28755</v>
      </c>
      <c r="E1220" s="1">
        <v>5860016</v>
      </c>
      <c r="F1220" s="1">
        <f t="shared" ref="F1220:F1227" ca="1" si="119">YEAR(TODAY())-YEAR(D1220)</f>
        <v>48</v>
      </c>
      <c r="G1220" s="1" t="s">
        <v>2648</v>
      </c>
      <c r="H1220" s="8"/>
      <c r="I1220" s="8" t="s">
        <v>2652</v>
      </c>
      <c r="J1220" s="1"/>
      <c r="K1220" s="1"/>
      <c r="L1220" s="268" t="s">
        <v>2650</v>
      </c>
      <c r="M1220" s="8"/>
      <c r="N1220" s="8"/>
      <c r="O1220" s="8"/>
      <c r="P1220" s="9"/>
      <c r="Q1220" s="3"/>
      <c r="R1220" s="8"/>
    </row>
    <row r="1221" spans="1:18" x14ac:dyDescent="0.3">
      <c r="A1221" s="384"/>
      <c r="B1221" s="150"/>
      <c r="C1221" s="1" t="s">
        <v>2653</v>
      </c>
      <c r="D1221" s="2">
        <v>29339</v>
      </c>
      <c r="E1221" s="1">
        <v>6760491</v>
      </c>
      <c r="F1221" s="1">
        <f t="shared" ca="1" si="119"/>
        <v>46</v>
      </c>
      <c r="G1221" s="1" t="s">
        <v>2654</v>
      </c>
      <c r="H1221" s="8"/>
      <c r="I1221" s="8"/>
      <c r="J1221" s="1"/>
      <c r="K1221" s="1"/>
      <c r="L1221" s="268" t="s">
        <v>2650</v>
      </c>
      <c r="M1221" s="8"/>
      <c r="N1221" s="8"/>
      <c r="O1221" s="8"/>
      <c r="P1221" s="9"/>
      <c r="Q1221" s="3"/>
      <c r="R1221" s="8"/>
    </row>
    <row r="1222" spans="1:18" x14ac:dyDescent="0.3">
      <c r="A1222" s="384"/>
      <c r="B1222" s="150"/>
      <c r="C1222" s="1" t="s">
        <v>2655</v>
      </c>
      <c r="D1222" s="2">
        <v>38325</v>
      </c>
      <c r="E1222" s="1">
        <v>7860027</v>
      </c>
      <c r="F1222" s="1">
        <f t="shared" ca="1" si="119"/>
        <v>22</v>
      </c>
      <c r="G1222" s="8" t="s">
        <v>2656</v>
      </c>
      <c r="H1222" s="8"/>
      <c r="I1222" s="8"/>
      <c r="J1222" s="1"/>
      <c r="K1222" s="1"/>
      <c r="L1222" s="268" t="s">
        <v>2650</v>
      </c>
      <c r="M1222" s="8"/>
      <c r="N1222" s="8"/>
      <c r="O1222" s="8"/>
      <c r="P1222" s="9"/>
      <c r="Q1222" s="3"/>
      <c r="R1222" s="8"/>
    </row>
    <row r="1223" spans="1:18" x14ac:dyDescent="0.3">
      <c r="A1223" s="379"/>
      <c r="B1223" s="150"/>
      <c r="C1223" s="1" t="s">
        <v>2657</v>
      </c>
      <c r="D1223" s="2">
        <v>41057</v>
      </c>
      <c r="E1223" s="1">
        <v>8860027</v>
      </c>
      <c r="F1223" s="1">
        <f t="shared" ca="1" si="119"/>
        <v>14</v>
      </c>
      <c r="G1223" s="8"/>
      <c r="H1223" s="8"/>
      <c r="I1223" s="8"/>
      <c r="J1223" s="1"/>
      <c r="K1223" s="1"/>
      <c r="L1223" s="268" t="s">
        <v>2650</v>
      </c>
      <c r="M1223" s="8"/>
      <c r="N1223" s="8"/>
      <c r="O1223" s="8"/>
      <c r="P1223" s="9"/>
      <c r="Q1223" s="3"/>
      <c r="R1223" s="8"/>
    </row>
    <row r="1224" spans="1:18" x14ac:dyDescent="0.3">
      <c r="A1224" s="378" t="s">
        <v>2658</v>
      </c>
      <c r="B1224" s="280">
        <v>45301</v>
      </c>
      <c r="C1224" s="1" t="s">
        <v>2659</v>
      </c>
      <c r="D1224" s="2">
        <v>25367</v>
      </c>
      <c r="E1224" s="1">
        <v>2770313</v>
      </c>
      <c r="F1224" s="1">
        <f t="shared" ca="1" si="119"/>
        <v>57</v>
      </c>
      <c r="G1224" s="1" t="s">
        <v>2660</v>
      </c>
      <c r="H1224" s="8"/>
      <c r="I1224" s="8" t="s">
        <v>2661</v>
      </c>
      <c r="J1224" s="1"/>
      <c r="K1224" s="1"/>
      <c r="L1224" s="8" t="s">
        <v>2662</v>
      </c>
      <c r="M1224" s="8"/>
      <c r="N1224" s="8"/>
      <c r="O1224" s="8"/>
    </row>
    <row r="1225" spans="1:18" x14ac:dyDescent="0.3">
      <c r="A1225" s="384"/>
      <c r="B1225" s="150"/>
      <c r="C1225" s="1" t="s">
        <v>2663</v>
      </c>
      <c r="D1225" s="2">
        <v>26059</v>
      </c>
      <c r="E1225" s="1">
        <v>1471911</v>
      </c>
      <c r="F1225" s="1">
        <f t="shared" ca="1" si="119"/>
        <v>55</v>
      </c>
      <c r="G1225" s="1" t="s">
        <v>2664</v>
      </c>
      <c r="H1225" s="8"/>
      <c r="I1225" s="8"/>
      <c r="J1225" s="1"/>
      <c r="K1225" s="1"/>
      <c r="L1225" s="8"/>
      <c r="M1225" s="8"/>
      <c r="N1225" s="8"/>
      <c r="O1225" s="8"/>
    </row>
    <row r="1226" spans="1:18" x14ac:dyDescent="0.3">
      <c r="A1226" s="384"/>
      <c r="B1226" s="150"/>
      <c r="C1226" s="1" t="s">
        <v>2665</v>
      </c>
      <c r="D1226" s="2">
        <v>34962</v>
      </c>
      <c r="E1226" s="1">
        <v>1411212</v>
      </c>
      <c r="F1226" s="1">
        <f t="shared" ca="1" si="119"/>
        <v>31</v>
      </c>
      <c r="G1226" s="1" t="s">
        <v>2666</v>
      </c>
      <c r="H1226" s="8"/>
      <c r="I1226" s="8"/>
      <c r="J1226" s="1"/>
      <c r="K1226" s="1"/>
      <c r="L1226" s="8"/>
      <c r="M1226" s="8"/>
      <c r="N1226" s="8"/>
      <c r="O1226" s="8"/>
    </row>
    <row r="1227" spans="1:18" x14ac:dyDescent="0.3">
      <c r="A1227" s="384"/>
      <c r="B1227" s="154"/>
      <c r="C1227" s="265" t="s">
        <v>333</v>
      </c>
      <c r="D1227" s="266">
        <v>36906</v>
      </c>
      <c r="E1227" s="265">
        <v>4411725</v>
      </c>
      <c r="F1227" s="1">
        <f t="shared" ca="1" si="119"/>
        <v>25</v>
      </c>
      <c r="G1227" s="265" t="s">
        <v>2667</v>
      </c>
      <c r="H1227" s="267"/>
      <c r="I1227" s="267"/>
      <c r="J1227" s="265"/>
      <c r="K1227" s="265"/>
      <c r="L1227" s="267"/>
      <c r="M1227" s="267"/>
      <c r="N1227" s="267"/>
      <c r="O1227" s="267"/>
    </row>
    <row r="1228" spans="1:18" s="257" customFormat="1" x14ac:dyDescent="0.3">
      <c r="A1228" s="211" t="s">
        <v>838</v>
      </c>
      <c r="B1228" s="122"/>
      <c r="C1228" s="18" t="s">
        <v>48</v>
      </c>
      <c r="D1228" s="19">
        <v>24667</v>
      </c>
      <c r="E1228" s="18">
        <v>2157012</v>
      </c>
      <c r="F1228" s="18">
        <f t="shared" ca="1" si="101"/>
        <v>59</v>
      </c>
      <c r="G1228" s="18" t="s">
        <v>930</v>
      </c>
      <c r="H1228" s="18"/>
      <c r="I1228" s="17"/>
      <c r="J1228" s="1"/>
      <c r="K1228" s="1"/>
      <c r="L1228" s="258"/>
      <c r="M1228" s="258"/>
      <c r="N1228" s="258"/>
      <c r="O1228" s="258"/>
      <c r="P1228" s="107"/>
      <c r="Q1228" s="108"/>
      <c r="R1228" s="258"/>
    </row>
    <row r="1229" spans="1:18" s="257" customFormat="1" x14ac:dyDescent="0.3">
      <c r="A1229" s="259"/>
      <c r="B1229" s="129"/>
      <c r="C1229" s="259"/>
      <c r="D1229" s="260"/>
      <c r="E1229" s="259"/>
      <c r="F1229" s="259"/>
      <c r="G1229" s="259"/>
      <c r="H1229" s="259"/>
      <c r="I1229" s="258"/>
      <c r="J1229" s="259"/>
      <c r="K1229" s="259"/>
      <c r="L1229" s="258"/>
      <c r="M1229" s="258"/>
      <c r="N1229" s="258"/>
      <c r="O1229" s="258"/>
      <c r="P1229" s="107"/>
      <c r="Q1229" s="108"/>
      <c r="R1229" s="258"/>
    </row>
    <row r="1230" spans="1:18" s="257" customFormat="1" x14ac:dyDescent="0.3">
      <c r="A1230" s="259"/>
      <c r="B1230" s="129"/>
      <c r="C1230" s="259"/>
      <c r="D1230" s="260"/>
      <c r="E1230" s="259"/>
      <c r="F1230" s="259"/>
      <c r="G1230" s="259"/>
      <c r="H1230" s="259"/>
      <c r="I1230" s="258"/>
      <c r="J1230" s="259"/>
      <c r="K1230" s="259"/>
      <c r="L1230" s="258"/>
      <c r="M1230" s="258"/>
      <c r="N1230" s="258"/>
      <c r="O1230" s="258"/>
      <c r="P1230" s="107"/>
      <c r="Q1230" s="108"/>
      <c r="R1230" s="258"/>
    </row>
    <row r="1231" spans="1:18" s="257" customFormat="1" x14ac:dyDescent="0.3">
      <c r="A1231" s="259"/>
      <c r="B1231" s="129"/>
      <c r="C1231" s="259"/>
      <c r="D1231" s="260"/>
      <c r="E1231" s="259"/>
      <c r="F1231" s="259"/>
      <c r="G1231" s="259"/>
      <c r="H1231" s="259"/>
      <c r="I1231" s="258"/>
      <c r="J1231" s="259"/>
      <c r="K1231" s="259"/>
      <c r="L1231" s="258"/>
      <c r="M1231" s="258"/>
      <c r="N1231" s="258"/>
      <c r="O1231" s="258"/>
      <c r="P1231" s="107"/>
      <c r="Q1231" s="108"/>
      <c r="R1231" s="258"/>
    </row>
    <row r="1232" spans="1:18" s="257" customFormat="1" x14ac:dyDescent="0.3">
      <c r="A1232" s="259"/>
      <c r="B1232" s="130"/>
      <c r="C1232" s="259"/>
      <c r="D1232" s="260"/>
      <c r="E1232" s="259"/>
      <c r="F1232" s="259"/>
      <c r="G1232" s="259"/>
      <c r="H1232" s="259"/>
      <c r="I1232" s="258"/>
      <c r="J1232" s="259"/>
      <c r="K1232" s="259"/>
      <c r="L1232" s="258"/>
      <c r="M1232" s="258"/>
      <c r="N1232" s="258"/>
      <c r="O1232" s="258"/>
      <c r="P1232" s="107"/>
      <c r="Q1232" s="108"/>
      <c r="R1232" s="258"/>
    </row>
    <row r="1233" spans="1:96" s="257" customFormat="1" x14ac:dyDescent="0.3">
      <c r="A1233" s="259"/>
      <c r="B1233" s="129"/>
      <c r="C1233" s="259"/>
      <c r="D1233" s="260"/>
      <c r="E1233" s="259"/>
      <c r="F1233" s="259"/>
      <c r="G1233" s="259"/>
      <c r="H1233" s="259"/>
      <c r="I1233" s="258"/>
      <c r="J1233" s="259"/>
      <c r="K1233" s="259"/>
      <c r="L1233" s="258"/>
      <c r="M1233" s="258"/>
      <c r="N1233" s="258"/>
      <c r="O1233" s="258"/>
      <c r="P1233" s="107"/>
      <c r="Q1233" s="108"/>
      <c r="R1233" s="258"/>
    </row>
    <row r="1234" spans="1:96" s="257" customFormat="1" x14ac:dyDescent="0.3">
      <c r="A1234" s="259"/>
      <c r="B1234" s="129"/>
      <c r="C1234" s="259"/>
      <c r="D1234" s="260"/>
      <c r="E1234" s="259"/>
      <c r="F1234" s="259"/>
      <c r="G1234" s="259"/>
      <c r="H1234" s="259"/>
      <c r="I1234" s="258"/>
      <c r="J1234" s="259"/>
      <c r="K1234" s="259"/>
      <c r="L1234" s="258"/>
      <c r="M1234" s="258"/>
      <c r="N1234" s="258"/>
      <c r="O1234" s="258"/>
      <c r="P1234" s="107"/>
      <c r="Q1234" s="108"/>
      <c r="R1234" s="258"/>
    </row>
    <row r="1235" spans="1:96" s="257" customFormat="1" x14ac:dyDescent="0.3">
      <c r="A1235" s="259"/>
      <c r="B1235" s="129"/>
      <c r="C1235" s="259"/>
      <c r="D1235" s="260"/>
      <c r="E1235" s="259"/>
      <c r="F1235" s="259"/>
      <c r="G1235" s="259"/>
      <c r="H1235" s="259"/>
      <c r="I1235" s="258"/>
      <c r="J1235" s="259"/>
      <c r="K1235" s="259"/>
      <c r="L1235" s="258"/>
      <c r="M1235" s="258"/>
      <c r="N1235" s="258"/>
      <c r="O1235" s="258"/>
      <c r="P1235" s="107"/>
      <c r="Q1235" s="108"/>
      <c r="R1235" s="258"/>
    </row>
    <row r="1236" spans="1:96" x14ac:dyDescent="0.3">
      <c r="A1236" s="259"/>
      <c r="B1236" s="130"/>
      <c r="C1236" s="259"/>
      <c r="D1236" s="260"/>
      <c r="E1236" s="259"/>
      <c r="F1236" s="259"/>
      <c r="G1236" s="259"/>
      <c r="H1236" s="259"/>
      <c r="I1236" s="258"/>
      <c r="J1236" s="259"/>
      <c r="K1236" s="259"/>
      <c r="L1236" s="258"/>
      <c r="M1236" s="258"/>
      <c r="N1236" s="258"/>
      <c r="O1236" s="258"/>
      <c r="P1236" s="107"/>
      <c r="Q1236" s="108"/>
      <c r="R1236" s="258"/>
    </row>
    <row r="1237" spans="1:96" x14ac:dyDescent="0.3">
      <c r="A1237" s="259"/>
      <c r="B1237" s="129"/>
      <c r="C1237" s="259"/>
      <c r="D1237" s="260"/>
      <c r="E1237" s="259"/>
      <c r="F1237" s="259"/>
      <c r="G1237" s="259"/>
      <c r="H1237" s="259"/>
      <c r="I1237" s="258"/>
      <c r="J1237" s="259"/>
      <c r="K1237" s="259"/>
      <c r="L1237" s="8"/>
      <c r="M1237" s="8"/>
      <c r="N1237" s="8"/>
      <c r="O1237" s="8"/>
      <c r="P1237" s="9"/>
      <c r="Q1237" s="3"/>
      <c r="R1237" s="8"/>
    </row>
    <row r="1238" spans="1:96" x14ac:dyDescent="0.3">
      <c r="A1238" s="259"/>
      <c r="B1238" s="129"/>
      <c r="C1238" s="259"/>
      <c r="D1238" s="260"/>
      <c r="E1238" s="259"/>
      <c r="F1238" s="259"/>
      <c r="G1238" s="259"/>
      <c r="H1238" s="259"/>
      <c r="I1238" s="258"/>
      <c r="J1238" s="259"/>
      <c r="K1238" s="259"/>
      <c r="L1238" s="8"/>
      <c r="M1238" s="8"/>
      <c r="N1238" s="8"/>
      <c r="O1238" s="8"/>
      <c r="P1238" s="9"/>
      <c r="Q1238" s="3"/>
      <c r="R1238" s="8"/>
    </row>
    <row r="1239" spans="1:96" s="212" customFormat="1" x14ac:dyDescent="0.3">
      <c r="A1239" s="259"/>
      <c r="B1239" s="129"/>
      <c r="C1239" s="259"/>
      <c r="D1239" s="260"/>
      <c r="E1239" s="259"/>
      <c r="F1239" s="259"/>
      <c r="G1239" s="259"/>
      <c r="H1239" s="259"/>
      <c r="I1239" s="258"/>
      <c r="J1239" s="259"/>
      <c r="K1239" s="259"/>
      <c r="L1239" s="8"/>
      <c r="M1239" s="8"/>
      <c r="N1239" s="8"/>
      <c r="O1239" s="8"/>
      <c r="P1239" s="9"/>
      <c r="Q1239" s="3"/>
      <c r="R1239" s="8"/>
    </row>
    <row r="1240" spans="1:96" s="212" customFormat="1" x14ac:dyDescent="0.3">
      <c r="A1240" s="259"/>
      <c r="B1240" s="130"/>
      <c r="C1240" s="259"/>
      <c r="D1240" s="260"/>
      <c r="E1240" s="259"/>
      <c r="F1240" s="259"/>
      <c r="G1240" s="259"/>
      <c r="H1240" s="259"/>
      <c r="I1240" s="258"/>
      <c r="J1240" s="259"/>
      <c r="K1240" s="259"/>
      <c r="L1240" s="17"/>
      <c r="M1240" s="17" t="s">
        <v>61</v>
      </c>
      <c r="N1240" s="17"/>
      <c r="O1240" s="17"/>
      <c r="P1240" s="105"/>
      <c r="Q1240" s="106"/>
      <c r="R1240" s="17"/>
    </row>
    <row r="1241" spans="1:96" x14ac:dyDescent="0.3">
      <c r="A1241" s="382" t="s">
        <v>2668</v>
      </c>
      <c r="B1241" s="169"/>
      <c r="C1241" s="176" t="s">
        <v>2669</v>
      </c>
      <c r="D1241" s="269">
        <v>28348</v>
      </c>
      <c r="E1241" s="176">
        <v>2334918</v>
      </c>
      <c r="F1241" s="270"/>
      <c r="G1241" s="176" t="s">
        <v>2670</v>
      </c>
      <c r="H1241" s="270"/>
      <c r="I1241" s="270"/>
      <c r="J1241" s="176"/>
      <c r="K1241" s="176"/>
      <c r="L1241" s="317" t="s">
        <v>3311</v>
      </c>
      <c r="M1241" s="270"/>
      <c r="N1241" s="270"/>
      <c r="O1241" s="270"/>
      <c r="P1241" s="170"/>
      <c r="Q1241" s="171"/>
      <c r="R1241" s="270"/>
      <c r="S1241" s="270"/>
      <c r="T1241" s="270"/>
      <c r="U1241" s="270"/>
      <c r="V1241" s="270"/>
      <c r="W1241" s="270"/>
      <c r="X1241" s="270"/>
      <c r="Y1241" s="270"/>
      <c r="Z1241" s="270"/>
      <c r="AA1241" s="270"/>
      <c r="AB1241" s="270"/>
      <c r="AC1241" s="270"/>
      <c r="AD1241" s="270"/>
      <c r="AE1241" s="270"/>
      <c r="AF1241" s="270"/>
      <c r="AG1241" s="270"/>
      <c r="AH1241" s="270"/>
      <c r="AI1241" s="270"/>
      <c r="AJ1241" s="270"/>
      <c r="AK1241" s="270"/>
      <c r="AL1241" s="270"/>
      <c r="AM1241" s="270"/>
      <c r="AN1241" s="270"/>
      <c r="AO1241" s="270"/>
      <c r="AP1241" s="270"/>
      <c r="AQ1241" s="270"/>
      <c r="AR1241" s="270"/>
      <c r="AS1241" s="270"/>
      <c r="AT1241" s="270"/>
      <c r="AU1241" s="270"/>
      <c r="AV1241" s="270"/>
      <c r="AW1241" s="270"/>
      <c r="AX1241" s="270"/>
      <c r="AY1241" s="270"/>
      <c r="AZ1241" s="270"/>
      <c r="BA1241" s="270"/>
      <c r="BB1241" s="270"/>
      <c r="BC1241" s="270"/>
      <c r="BD1241" s="270"/>
      <c r="BE1241" s="270"/>
      <c r="BF1241" s="270"/>
      <c r="BG1241" s="270"/>
      <c r="BH1241" s="270"/>
      <c r="BI1241" s="270"/>
      <c r="BJ1241" s="270"/>
      <c r="BK1241" s="270"/>
      <c r="BL1241" s="270"/>
      <c r="BM1241" s="270"/>
      <c r="BN1241" s="270"/>
      <c r="BO1241" s="270"/>
      <c r="BP1241" s="270"/>
      <c r="BQ1241" s="270"/>
      <c r="BR1241" s="270"/>
      <c r="BS1241" s="270"/>
      <c r="BT1241" s="270"/>
      <c r="BU1241" s="270"/>
      <c r="BV1241" s="270"/>
      <c r="BW1241" s="270"/>
      <c r="BX1241" s="270"/>
      <c r="BY1241" s="270"/>
      <c r="BZ1241" s="270"/>
      <c r="CA1241" s="270"/>
      <c r="CB1241" s="270"/>
      <c r="CC1241" s="270"/>
      <c r="CD1241" s="270"/>
      <c r="CE1241" s="270"/>
      <c r="CF1241" s="270"/>
      <c r="CG1241" s="270"/>
      <c r="CH1241" s="270"/>
      <c r="CI1241" s="270"/>
      <c r="CJ1241" s="270"/>
      <c r="CK1241" s="270"/>
      <c r="CL1241" s="270"/>
      <c r="CM1241" s="270"/>
      <c r="CN1241" s="270"/>
      <c r="CO1241" s="270"/>
      <c r="CP1241" s="270"/>
      <c r="CQ1241" s="270"/>
      <c r="CR1241" s="270"/>
    </row>
    <row r="1242" spans="1:96" x14ac:dyDescent="0.3">
      <c r="A1242" s="379"/>
      <c r="B1242" s="288"/>
      <c r="C1242" s="176" t="s">
        <v>3309</v>
      </c>
      <c r="D1242" s="269">
        <v>27770</v>
      </c>
      <c r="E1242" s="176">
        <v>1823913</v>
      </c>
      <c r="F1242" s="270"/>
      <c r="G1242" s="176" t="s">
        <v>3310</v>
      </c>
      <c r="H1242" s="270"/>
      <c r="I1242" s="270"/>
      <c r="J1242" s="176"/>
      <c r="K1242" s="176"/>
      <c r="L1242" s="270"/>
      <c r="M1242" s="270"/>
      <c r="N1242" s="270"/>
      <c r="O1242" s="270"/>
      <c r="P1242" s="170"/>
      <c r="Q1242" s="171"/>
      <c r="R1242" s="270"/>
      <c r="S1242" s="316"/>
      <c r="T1242" s="316"/>
      <c r="U1242" s="316"/>
      <c r="V1242" s="316"/>
      <c r="W1242" s="316"/>
      <c r="X1242" s="316"/>
      <c r="Y1242" s="316"/>
      <c r="Z1242" s="316"/>
      <c r="AA1242" s="316"/>
      <c r="AB1242" s="316"/>
      <c r="AC1242" s="316"/>
      <c r="AD1242" s="316"/>
      <c r="AE1242" s="316"/>
      <c r="AF1242" s="316"/>
      <c r="AG1242" s="316"/>
      <c r="AH1242" s="316"/>
      <c r="AI1242" s="316"/>
      <c r="AJ1242" s="316"/>
      <c r="AK1242" s="316"/>
      <c r="AL1242" s="316"/>
      <c r="AM1242" s="316"/>
      <c r="AN1242" s="316"/>
      <c r="AO1242" s="316"/>
      <c r="AP1242" s="316"/>
      <c r="AQ1242" s="316"/>
      <c r="AR1242" s="316"/>
      <c r="AS1242" s="316"/>
      <c r="AT1242" s="316"/>
      <c r="AU1242" s="316"/>
      <c r="AV1242" s="316"/>
      <c r="AW1242" s="316"/>
      <c r="AX1242" s="316"/>
      <c r="AY1242" s="316"/>
      <c r="AZ1242" s="316"/>
      <c r="BA1242" s="316"/>
      <c r="BB1242" s="316"/>
      <c r="BC1242" s="316"/>
      <c r="BD1242" s="316"/>
      <c r="BE1242" s="316"/>
      <c r="BF1242" s="316"/>
      <c r="BG1242" s="316"/>
      <c r="BH1242" s="316"/>
      <c r="BI1242" s="316"/>
      <c r="BJ1242" s="316"/>
      <c r="BK1242" s="316"/>
      <c r="BL1242" s="316"/>
      <c r="BM1242" s="316"/>
      <c r="BN1242" s="316"/>
      <c r="BO1242" s="316"/>
      <c r="BP1242" s="316"/>
      <c r="BQ1242" s="316"/>
      <c r="BR1242" s="316"/>
      <c r="BS1242" s="316"/>
      <c r="BT1242" s="316"/>
      <c r="BU1242" s="316"/>
      <c r="BV1242" s="316"/>
      <c r="BW1242" s="316"/>
      <c r="BX1242" s="316"/>
      <c r="BY1242" s="316"/>
      <c r="BZ1242" s="316"/>
      <c r="CA1242" s="316"/>
      <c r="CB1242" s="316"/>
      <c r="CC1242" s="316"/>
      <c r="CD1242" s="316"/>
      <c r="CE1242" s="316"/>
      <c r="CF1242" s="316"/>
      <c r="CG1242" s="316"/>
      <c r="CH1242" s="316"/>
      <c r="CI1242" s="316"/>
      <c r="CJ1242" s="316"/>
      <c r="CK1242" s="316"/>
      <c r="CL1242" s="316"/>
      <c r="CM1242" s="316"/>
      <c r="CN1242" s="316"/>
      <c r="CO1242" s="316"/>
      <c r="CP1242" s="316"/>
      <c r="CQ1242" s="316"/>
      <c r="CR1242" s="316"/>
    </row>
    <row r="1243" spans="1:96" x14ac:dyDescent="0.3">
      <c r="A1243" s="378" t="s">
        <v>2671</v>
      </c>
      <c r="B1243" s="109"/>
      <c r="C1243" s="1" t="s">
        <v>462</v>
      </c>
      <c r="D1243" s="2">
        <v>26788</v>
      </c>
      <c r="E1243" s="1">
        <v>1543424</v>
      </c>
      <c r="F1243" s="1">
        <f t="shared" ref="F1243:F1252" ca="1" si="120">YEAR(TODAY())-YEAR(D1243)</f>
        <v>53</v>
      </c>
      <c r="G1243" s="1" t="s">
        <v>2672</v>
      </c>
      <c r="H1243" s="1"/>
      <c r="I1243" s="8"/>
      <c r="J1243" s="1"/>
      <c r="K1243" s="1"/>
      <c r="L1243" s="17" t="s">
        <v>2673</v>
      </c>
      <c r="M1243" s="17"/>
      <c r="N1243" s="17"/>
      <c r="O1243" s="17"/>
      <c r="P1243" s="105"/>
      <c r="Q1243" s="106"/>
      <c r="R1243" s="17"/>
    </row>
    <row r="1244" spans="1:96" x14ac:dyDescent="0.3">
      <c r="A1244" s="379"/>
      <c r="B1244" s="109"/>
      <c r="C1244" s="1" t="s">
        <v>2674</v>
      </c>
      <c r="D1244" s="2">
        <v>15599</v>
      </c>
      <c r="E1244" s="1">
        <v>2543410</v>
      </c>
      <c r="F1244" s="1"/>
      <c r="G1244" s="1"/>
      <c r="H1244" s="1"/>
      <c r="I1244" s="8"/>
      <c r="J1244" s="1"/>
      <c r="K1244" s="1"/>
      <c r="L1244" s="17" t="s">
        <v>2675</v>
      </c>
      <c r="M1244" s="17"/>
      <c r="N1244" s="17"/>
      <c r="O1244" s="17"/>
      <c r="P1244" s="105"/>
      <c r="Q1244" s="106"/>
      <c r="R1244" s="17"/>
    </row>
    <row r="1245" spans="1:96" x14ac:dyDescent="0.3">
      <c r="B1245" s="109"/>
      <c r="C1245" s="1" t="s">
        <v>463</v>
      </c>
      <c r="D1245" s="2"/>
      <c r="E1245" s="1"/>
      <c r="F1245" s="1">
        <f t="shared" ca="1" si="120"/>
        <v>126</v>
      </c>
      <c r="G1245" s="1"/>
      <c r="H1245" s="1"/>
      <c r="I1245" s="8"/>
      <c r="J1245" s="1"/>
      <c r="K1245" s="1"/>
      <c r="L1245" s="8"/>
      <c r="M1245" s="8"/>
      <c r="N1245" s="8"/>
      <c r="O1245" s="8"/>
      <c r="P1245" s="9"/>
      <c r="Q1245" s="3"/>
      <c r="R1245" s="8"/>
    </row>
    <row r="1246" spans="1:96" x14ac:dyDescent="0.3">
      <c r="B1246" s="109"/>
      <c r="C1246" s="1" t="s">
        <v>464</v>
      </c>
      <c r="D1246" s="2">
        <v>19712</v>
      </c>
      <c r="E1246" s="1">
        <v>1110112</v>
      </c>
      <c r="F1246" s="1">
        <f t="shared" ca="1" si="120"/>
        <v>73</v>
      </c>
      <c r="G1246" s="1"/>
      <c r="H1246" s="1"/>
      <c r="I1246" s="8" t="s">
        <v>2676</v>
      </c>
      <c r="J1246" s="1"/>
      <c r="K1246" s="1"/>
      <c r="L1246" s="8"/>
      <c r="M1246" s="8"/>
      <c r="N1246" s="8"/>
      <c r="O1246" s="8"/>
      <c r="P1246" s="9"/>
      <c r="Q1246" s="3"/>
      <c r="R1246" s="8"/>
    </row>
    <row r="1247" spans="1:96" x14ac:dyDescent="0.3">
      <c r="A1247" s="400" t="s">
        <v>2677</v>
      </c>
      <c r="B1247" s="123"/>
      <c r="C1247" s="18" t="s">
        <v>465</v>
      </c>
      <c r="D1247" s="19">
        <v>27015</v>
      </c>
      <c r="E1247" s="18">
        <v>2224316</v>
      </c>
      <c r="F1247" s="18">
        <f t="shared" ca="1" si="120"/>
        <v>53</v>
      </c>
      <c r="G1247" s="18" t="s">
        <v>2678</v>
      </c>
      <c r="H1247" s="18"/>
      <c r="I1247" s="8" t="s">
        <v>2676</v>
      </c>
      <c r="J1247" s="18"/>
      <c r="K1247" s="18"/>
      <c r="L1247" s="8"/>
      <c r="M1247" s="8"/>
      <c r="N1247" s="8"/>
      <c r="O1247" s="8"/>
      <c r="P1247" s="9"/>
      <c r="Q1247" s="3"/>
      <c r="R1247" s="8"/>
    </row>
    <row r="1248" spans="1:96" x14ac:dyDescent="0.3">
      <c r="A1248" s="400"/>
      <c r="B1248" s="123"/>
      <c r="C1248" s="18" t="s">
        <v>466</v>
      </c>
      <c r="D1248" s="19">
        <v>29262</v>
      </c>
      <c r="E1248" s="18">
        <v>2224314</v>
      </c>
      <c r="F1248" s="18">
        <f t="shared" ca="1" si="120"/>
        <v>46</v>
      </c>
      <c r="G1248" s="18" t="s">
        <v>2679</v>
      </c>
      <c r="H1248" s="18"/>
      <c r="I1248" s="8" t="s">
        <v>2676</v>
      </c>
      <c r="J1248" s="18"/>
      <c r="K1248" s="18"/>
      <c r="L1248" s="8"/>
      <c r="M1248" s="8"/>
      <c r="N1248" s="8"/>
      <c r="O1248" s="8"/>
      <c r="P1248" s="9"/>
      <c r="Q1248" s="3"/>
      <c r="R1248" s="8"/>
    </row>
    <row r="1249" spans="1:18" x14ac:dyDescent="0.3">
      <c r="B1249" s="109"/>
      <c r="C1249" s="1" t="s">
        <v>467</v>
      </c>
      <c r="D1249" s="2">
        <v>18606</v>
      </c>
      <c r="E1249" s="1">
        <v>2656915</v>
      </c>
      <c r="F1249" s="1">
        <f t="shared" ca="1" si="120"/>
        <v>76</v>
      </c>
      <c r="G1249" s="1"/>
      <c r="H1249" s="1"/>
      <c r="I1249" s="8" t="s">
        <v>2676</v>
      </c>
      <c r="J1249" s="1"/>
      <c r="K1249" s="1"/>
      <c r="L1249" s="8"/>
      <c r="M1249" s="8"/>
      <c r="N1249" s="8"/>
      <c r="O1249" s="8"/>
      <c r="P1249" s="9"/>
      <c r="Q1249" s="3"/>
      <c r="R1249" s="8"/>
    </row>
    <row r="1250" spans="1:18" x14ac:dyDescent="0.3">
      <c r="A1250" s="184" t="s">
        <v>2680</v>
      </c>
      <c r="B1250" s="121"/>
      <c r="C1250" s="27" t="s">
        <v>468</v>
      </c>
      <c r="D1250" s="28">
        <v>32271</v>
      </c>
      <c r="E1250" s="27">
        <v>2474517</v>
      </c>
      <c r="F1250" s="27">
        <f t="shared" ca="1" si="120"/>
        <v>38</v>
      </c>
      <c r="G1250" s="27" t="s">
        <v>2681</v>
      </c>
      <c r="H1250" s="27"/>
      <c r="I1250" s="8" t="s">
        <v>2676</v>
      </c>
      <c r="J1250" s="1"/>
      <c r="K1250" s="1"/>
      <c r="L1250" s="8"/>
      <c r="M1250" s="8"/>
      <c r="N1250" s="8"/>
      <c r="O1250" s="8"/>
      <c r="P1250" s="9"/>
      <c r="Q1250" s="3"/>
      <c r="R1250" s="8"/>
    </row>
    <row r="1251" spans="1:18" x14ac:dyDescent="0.3">
      <c r="A1251" s="182" t="s">
        <v>2682</v>
      </c>
      <c r="B1251" s="109"/>
      <c r="C1251" s="1" t="s">
        <v>469</v>
      </c>
      <c r="D1251" s="2">
        <v>16008</v>
      </c>
      <c r="E1251" s="1">
        <v>2221235</v>
      </c>
      <c r="F1251" s="1">
        <f t="shared" ca="1" si="120"/>
        <v>83</v>
      </c>
      <c r="G1251" s="1" t="s">
        <v>2683</v>
      </c>
      <c r="H1251" s="1"/>
      <c r="I1251" s="8" t="s">
        <v>2676</v>
      </c>
      <c r="J1251" s="1"/>
      <c r="K1251" s="1"/>
      <c r="L1251" s="8"/>
      <c r="M1251" s="8"/>
      <c r="N1251" s="8"/>
      <c r="O1251" s="8"/>
      <c r="P1251" s="9"/>
      <c r="Q1251" s="3"/>
      <c r="R1251" s="8"/>
    </row>
    <row r="1252" spans="1:18" x14ac:dyDescent="0.3">
      <c r="B1252" s="109"/>
      <c r="C1252" s="1" t="s">
        <v>470</v>
      </c>
      <c r="D1252" s="2">
        <v>15370</v>
      </c>
      <c r="E1252" s="1">
        <v>1221234</v>
      </c>
      <c r="F1252" s="1">
        <f t="shared" ca="1" si="120"/>
        <v>84</v>
      </c>
      <c r="G1252" s="1" t="s">
        <v>2684</v>
      </c>
      <c r="H1252" s="1"/>
      <c r="I1252" s="8" t="s">
        <v>2676</v>
      </c>
      <c r="J1252" s="1"/>
      <c r="K1252" s="1"/>
      <c r="L1252" s="8"/>
      <c r="M1252" s="8"/>
      <c r="N1252" s="8"/>
      <c r="O1252" s="8"/>
      <c r="P1252" s="9"/>
      <c r="Q1252" s="3"/>
      <c r="R1252" s="8"/>
    </row>
    <row r="1253" spans="1:18" x14ac:dyDescent="0.3">
      <c r="A1253" s="404" t="s">
        <v>1955</v>
      </c>
      <c r="B1253" s="111"/>
      <c r="C1253" s="33" t="s">
        <v>473</v>
      </c>
      <c r="D1253" s="34">
        <v>28900</v>
      </c>
      <c r="E1253" s="33">
        <v>1823612</v>
      </c>
      <c r="F1253" s="33">
        <f ca="1">YEAR(TODAY())-YEAR(D1253)</f>
        <v>47</v>
      </c>
      <c r="G1253" s="33" t="s">
        <v>2685</v>
      </c>
      <c r="H1253" s="33"/>
      <c r="I1253" s="8" t="s">
        <v>2676</v>
      </c>
      <c r="J1253" s="1"/>
      <c r="K1253" s="1"/>
      <c r="L1253" s="8"/>
      <c r="M1253" s="8"/>
      <c r="N1253" s="8"/>
      <c r="O1253" s="8"/>
      <c r="P1253" s="9"/>
      <c r="Q1253" s="3"/>
      <c r="R1253" s="8"/>
    </row>
    <row r="1254" spans="1:18" x14ac:dyDescent="0.3">
      <c r="A1254" s="405"/>
      <c r="B1254" s="111"/>
      <c r="C1254" s="33" t="s">
        <v>474</v>
      </c>
      <c r="D1254" s="34">
        <v>30560</v>
      </c>
      <c r="E1254" s="33">
        <v>2009225</v>
      </c>
      <c r="F1254" s="33">
        <f ca="1">YEAR(TODAY())-YEAR(D1254)</f>
        <v>43</v>
      </c>
      <c r="G1254" s="33" t="s">
        <v>2686</v>
      </c>
      <c r="H1254" s="33"/>
      <c r="I1254" s="8" t="s">
        <v>2676</v>
      </c>
      <c r="J1254" s="1"/>
      <c r="K1254" s="1"/>
      <c r="L1254" s="8"/>
      <c r="M1254" s="8"/>
      <c r="N1254" s="8"/>
      <c r="O1254" s="8"/>
      <c r="P1254" s="9"/>
      <c r="Q1254" s="3"/>
      <c r="R1254" s="8"/>
    </row>
    <row r="1255" spans="1:18" s="189" customFormat="1" x14ac:dyDescent="0.3">
      <c r="A1255" s="406"/>
      <c r="B1255" s="111"/>
      <c r="C1255" s="33" t="s">
        <v>475</v>
      </c>
      <c r="D1255" s="34">
        <v>41862</v>
      </c>
      <c r="E1255" s="33">
        <v>4010014</v>
      </c>
      <c r="F1255" s="33">
        <f ca="1">YEAR(TODAY())-YEAR(D1255)</f>
        <v>12</v>
      </c>
      <c r="G1255" s="33"/>
      <c r="H1255" s="33"/>
      <c r="I1255" s="8"/>
      <c r="J1255" s="1"/>
      <c r="K1255" s="1"/>
      <c r="L1255" s="8"/>
      <c r="M1255" s="8"/>
      <c r="N1255" s="8"/>
      <c r="O1255" s="8"/>
      <c r="P1255" s="9"/>
      <c r="Q1255" s="3"/>
      <c r="R1255" s="8"/>
    </row>
    <row r="1256" spans="1:18" x14ac:dyDescent="0.3">
      <c r="B1256" s="109"/>
      <c r="C1256" s="1" t="s">
        <v>476</v>
      </c>
      <c r="D1256" s="2">
        <v>43042</v>
      </c>
      <c r="E1256" s="1">
        <v>4010017</v>
      </c>
      <c r="F1256" s="1">
        <f ca="1">YEAR(TODAY())-YEAR(D1256)</f>
        <v>9</v>
      </c>
      <c r="G1256" s="1"/>
      <c r="H1256" s="1"/>
      <c r="I1256" s="8"/>
      <c r="J1256" s="1"/>
      <c r="K1256" s="1"/>
      <c r="L1256" s="29"/>
      <c r="M1256" s="29"/>
      <c r="N1256" s="29"/>
      <c r="O1256" s="29"/>
      <c r="P1256" s="102"/>
      <c r="Q1256" s="103"/>
      <c r="R1256" s="29"/>
    </row>
    <row r="1257" spans="1:18" x14ac:dyDescent="0.3">
      <c r="A1257" s="1" t="s">
        <v>1892</v>
      </c>
      <c r="B1257" s="109"/>
      <c r="C1257" s="1" t="s">
        <v>477</v>
      </c>
      <c r="D1257" s="2">
        <v>20549</v>
      </c>
      <c r="E1257" s="1">
        <v>2120715</v>
      </c>
      <c r="F1257" s="1">
        <f t="shared" ref="F1257:F1260" ca="1" si="121">YEAR(TODAY())-YEAR(D1257)</f>
        <v>70</v>
      </c>
      <c r="G1257" s="1" t="s">
        <v>2687</v>
      </c>
      <c r="H1257" s="1"/>
      <c r="I1257" s="8" t="s">
        <v>2676</v>
      </c>
      <c r="J1257" s="1"/>
      <c r="K1257" s="1"/>
      <c r="L1257" s="8" t="s">
        <v>2688</v>
      </c>
      <c r="M1257" s="8"/>
      <c r="N1257" s="8"/>
      <c r="O1257" s="8"/>
      <c r="P1257" s="9"/>
      <c r="Q1257" s="3"/>
      <c r="R1257" s="8"/>
    </row>
    <row r="1258" spans="1:18" x14ac:dyDescent="0.3">
      <c r="B1258" s="109"/>
      <c r="C1258" s="1" t="s">
        <v>478</v>
      </c>
      <c r="D1258" s="2">
        <v>18402</v>
      </c>
      <c r="E1258" s="1">
        <v>1328217</v>
      </c>
      <c r="F1258" s="1">
        <f t="shared" ca="1" si="121"/>
        <v>76</v>
      </c>
      <c r="G1258" s="1"/>
      <c r="H1258" s="1"/>
      <c r="I1258" s="8" t="s">
        <v>2676</v>
      </c>
      <c r="J1258" s="1"/>
      <c r="K1258" s="1"/>
      <c r="L1258" s="8"/>
      <c r="M1258" s="8"/>
      <c r="N1258" s="8"/>
      <c r="O1258" s="8"/>
      <c r="P1258" s="9"/>
      <c r="Q1258" s="3"/>
      <c r="R1258" s="8"/>
    </row>
    <row r="1259" spans="1:18" x14ac:dyDescent="0.3">
      <c r="A1259" s="182" t="s">
        <v>1780</v>
      </c>
      <c r="B1259" s="109"/>
      <c r="C1259" s="1" t="s">
        <v>479</v>
      </c>
      <c r="D1259" s="2">
        <v>17403</v>
      </c>
      <c r="E1259" s="1">
        <v>1110233</v>
      </c>
      <c r="F1259" s="1">
        <f t="shared" ca="1" si="121"/>
        <v>79</v>
      </c>
      <c r="G1259" s="1" t="s">
        <v>2689</v>
      </c>
      <c r="H1259" s="1"/>
      <c r="I1259" s="8" t="s">
        <v>2676</v>
      </c>
      <c r="J1259" s="1"/>
      <c r="K1259" s="1"/>
      <c r="L1259" s="8"/>
      <c r="M1259" s="8"/>
      <c r="N1259" s="8"/>
      <c r="O1259" s="8"/>
      <c r="P1259" s="9"/>
      <c r="Q1259" s="3"/>
      <c r="R1259" s="8"/>
    </row>
    <row r="1260" spans="1:18" x14ac:dyDescent="0.3">
      <c r="A1260" s="183" t="s">
        <v>2064</v>
      </c>
      <c r="B1260" s="113"/>
      <c r="C1260" s="30" t="s">
        <v>480</v>
      </c>
      <c r="D1260" s="31">
        <v>21433</v>
      </c>
      <c r="E1260" s="30">
        <v>2768317</v>
      </c>
      <c r="F1260" s="30">
        <f t="shared" ca="1" si="121"/>
        <v>68</v>
      </c>
      <c r="G1260" s="30" t="s">
        <v>2690</v>
      </c>
      <c r="H1260" s="30"/>
      <c r="I1260" s="8" t="s">
        <v>2676</v>
      </c>
      <c r="J1260" s="30"/>
      <c r="K1260" s="30"/>
      <c r="L1260" s="8"/>
      <c r="M1260" s="8"/>
      <c r="N1260" s="8"/>
      <c r="O1260" s="8"/>
      <c r="P1260" s="9"/>
      <c r="Q1260" s="3"/>
      <c r="R1260" s="8"/>
    </row>
    <row r="1261" spans="1:18" x14ac:dyDescent="0.3">
      <c r="A1261" s="182" t="s">
        <v>1086</v>
      </c>
      <c r="B1261" s="109"/>
      <c r="C1261" s="1" t="s">
        <v>170</v>
      </c>
      <c r="D1261" s="2">
        <v>20000</v>
      </c>
      <c r="E1261" s="1">
        <v>2470718</v>
      </c>
      <c r="F1261" s="1">
        <f t="shared" ref="F1261:F1264" ca="1" si="122">YEAR(TODAY())-YEAR(D1261)</f>
        <v>72</v>
      </c>
      <c r="G1261" s="1" t="s">
        <v>2691</v>
      </c>
      <c r="H1261" s="1"/>
      <c r="I1261" s="8" t="s">
        <v>2676</v>
      </c>
      <c r="J1261" s="1"/>
      <c r="K1261" s="1"/>
      <c r="L1261" s="8"/>
      <c r="M1261" s="8"/>
      <c r="N1261" s="8"/>
      <c r="O1261" s="8"/>
      <c r="P1261" s="9"/>
      <c r="Q1261" s="3"/>
      <c r="R1261" s="8"/>
    </row>
    <row r="1262" spans="1:18" x14ac:dyDescent="0.3">
      <c r="B1262" s="109"/>
      <c r="C1262" s="1" t="s">
        <v>482</v>
      </c>
      <c r="D1262" s="2">
        <v>20835</v>
      </c>
      <c r="E1262" s="1">
        <v>2140614</v>
      </c>
      <c r="F1262" s="1">
        <f t="shared" ca="1" si="122"/>
        <v>69</v>
      </c>
      <c r="G1262" s="1" t="s">
        <v>2692</v>
      </c>
      <c r="H1262" s="1"/>
      <c r="I1262" s="8" t="s">
        <v>2676</v>
      </c>
      <c r="J1262" s="1"/>
      <c r="K1262" s="1"/>
      <c r="L1262" s="8"/>
      <c r="M1262" s="8"/>
      <c r="N1262" s="8"/>
      <c r="O1262" s="8"/>
      <c r="P1262" s="9"/>
      <c r="Q1262" s="3"/>
      <c r="R1262" s="8"/>
    </row>
    <row r="1263" spans="1:18" x14ac:dyDescent="0.3">
      <c r="A1263" s="183" t="s">
        <v>2693</v>
      </c>
      <c r="B1263" s="113"/>
      <c r="C1263" s="30" t="s">
        <v>134</v>
      </c>
      <c r="D1263" s="31">
        <v>31942</v>
      </c>
      <c r="E1263" s="30">
        <v>2784210</v>
      </c>
      <c r="F1263" s="30">
        <f t="shared" ca="1" si="122"/>
        <v>39</v>
      </c>
      <c r="G1263" s="30" t="s">
        <v>1422</v>
      </c>
      <c r="H1263" s="30"/>
      <c r="I1263" s="8" t="s">
        <v>2676</v>
      </c>
      <c r="J1263" s="1"/>
      <c r="K1263" s="1"/>
      <c r="L1263" s="8"/>
      <c r="M1263" s="8"/>
      <c r="N1263" s="8"/>
      <c r="O1263" s="8"/>
      <c r="P1263" s="9"/>
      <c r="Q1263" s="3"/>
      <c r="R1263" s="8"/>
    </row>
    <row r="1264" spans="1:18" x14ac:dyDescent="0.3">
      <c r="A1264" s="182" t="s">
        <v>1391</v>
      </c>
      <c r="B1264" s="109"/>
      <c r="C1264" s="1" t="s">
        <v>483</v>
      </c>
      <c r="D1264" s="2">
        <v>25299</v>
      </c>
      <c r="E1264" s="1">
        <v>2478626</v>
      </c>
      <c r="F1264" s="1">
        <f t="shared" ca="1" si="122"/>
        <v>57</v>
      </c>
      <c r="G1264" s="1" t="s">
        <v>3556</v>
      </c>
      <c r="H1264" s="1"/>
      <c r="I1264" s="8" t="s">
        <v>2676</v>
      </c>
      <c r="J1264" s="1"/>
      <c r="K1264" s="1"/>
      <c r="L1264" s="8"/>
      <c r="M1264" s="8"/>
      <c r="N1264" s="8"/>
      <c r="O1264" s="8"/>
      <c r="P1264" s="9"/>
      <c r="Q1264" s="3"/>
      <c r="R1264" s="8"/>
    </row>
    <row r="1265" spans="1:18" x14ac:dyDescent="0.3">
      <c r="A1265" s="381" t="s">
        <v>2694</v>
      </c>
      <c r="B1265" s="109"/>
      <c r="C1265" s="1" t="s">
        <v>507</v>
      </c>
      <c r="D1265" s="2">
        <v>29595</v>
      </c>
      <c r="E1265" s="1">
        <v>1042225</v>
      </c>
      <c r="F1265" s="1">
        <f t="shared" ref="F1265:F1278" ca="1" si="123">YEAR(TODAY())-YEAR(D1265)</f>
        <v>45</v>
      </c>
      <c r="G1265" s="1" t="s">
        <v>2695</v>
      </c>
      <c r="H1265" s="1"/>
      <c r="I1265" s="8" t="s">
        <v>2676</v>
      </c>
      <c r="J1265" s="1"/>
      <c r="K1265" s="1"/>
      <c r="L1265" s="8" t="s">
        <v>2696</v>
      </c>
      <c r="M1265" s="8"/>
      <c r="N1265" s="8"/>
      <c r="O1265" s="8"/>
      <c r="P1265" s="9"/>
      <c r="Q1265" s="3"/>
      <c r="R1265" s="8"/>
    </row>
    <row r="1266" spans="1:18" x14ac:dyDescent="0.3">
      <c r="A1266" s="384"/>
      <c r="B1266" s="109"/>
      <c r="C1266" s="1" t="s">
        <v>2697</v>
      </c>
      <c r="D1266" s="2">
        <v>43984</v>
      </c>
      <c r="E1266" s="1">
        <v>4549549</v>
      </c>
      <c r="F1266" s="1">
        <f t="shared" ca="1" si="123"/>
        <v>6</v>
      </c>
      <c r="G1266" s="1"/>
      <c r="H1266" s="1"/>
      <c r="I1266" s="8"/>
      <c r="J1266" s="1"/>
      <c r="K1266" s="1"/>
      <c r="L1266" s="8"/>
      <c r="M1266" s="8"/>
      <c r="N1266" s="8"/>
      <c r="O1266" s="8"/>
      <c r="P1266" s="9"/>
      <c r="Q1266" s="3"/>
      <c r="R1266" s="8"/>
    </row>
    <row r="1267" spans="1:18" x14ac:dyDescent="0.3">
      <c r="A1267" s="384"/>
      <c r="B1267" s="109"/>
      <c r="C1267" s="374" t="s">
        <v>3678</v>
      </c>
      <c r="D1267" s="2">
        <v>43285</v>
      </c>
      <c r="E1267" s="374">
        <v>3081838</v>
      </c>
      <c r="F1267" s="374">
        <f t="shared" ca="1" si="123"/>
        <v>8</v>
      </c>
      <c r="G1267" s="374"/>
      <c r="H1267" s="374"/>
      <c r="I1267" s="8"/>
      <c r="J1267" s="374"/>
      <c r="K1267" s="374"/>
      <c r="L1267" s="8"/>
      <c r="M1267" s="8"/>
      <c r="N1267" s="8"/>
      <c r="O1267" s="8"/>
      <c r="P1267" s="9"/>
      <c r="Q1267" s="3"/>
      <c r="R1267" s="8"/>
    </row>
    <row r="1268" spans="1:18" x14ac:dyDescent="0.3">
      <c r="A1268" s="379"/>
      <c r="B1268" s="109"/>
      <c r="C1268" s="361" t="s">
        <v>3550</v>
      </c>
      <c r="D1268" s="2">
        <v>36183</v>
      </c>
      <c r="E1268" s="361">
        <v>6780161</v>
      </c>
      <c r="F1268" s="361"/>
      <c r="G1268" s="361"/>
      <c r="H1268" s="361"/>
      <c r="I1268" s="8"/>
      <c r="J1268" s="361"/>
      <c r="K1268" s="361"/>
      <c r="L1268" s="8"/>
      <c r="M1268" s="8"/>
      <c r="N1268" s="8"/>
      <c r="O1268" s="8"/>
      <c r="P1268" s="9"/>
      <c r="Q1268" s="3"/>
      <c r="R1268" s="8"/>
    </row>
    <row r="1269" spans="1:18" x14ac:dyDescent="0.3">
      <c r="A1269" s="388" t="s">
        <v>880</v>
      </c>
      <c r="B1269" s="111"/>
      <c r="C1269" s="33" t="s">
        <v>521</v>
      </c>
      <c r="D1269" s="34">
        <v>30041</v>
      </c>
      <c r="E1269" s="33">
        <v>1143115</v>
      </c>
      <c r="F1269" s="33">
        <f t="shared" ca="1" si="123"/>
        <v>44</v>
      </c>
      <c r="G1269" s="33" t="s">
        <v>2698</v>
      </c>
      <c r="H1269" s="33"/>
      <c r="I1269" s="8" t="s">
        <v>2676</v>
      </c>
      <c r="J1269" s="1"/>
      <c r="K1269" s="1"/>
      <c r="L1269" s="8"/>
      <c r="M1269" s="8"/>
      <c r="N1269" s="8"/>
      <c r="O1269" s="8"/>
      <c r="P1269" s="9"/>
      <c r="Q1269" s="3"/>
      <c r="R1269" s="8"/>
    </row>
    <row r="1270" spans="1:18" x14ac:dyDescent="0.3">
      <c r="A1270" s="389"/>
      <c r="B1270" s="111"/>
      <c r="C1270" s="33" t="s">
        <v>522</v>
      </c>
      <c r="D1270" s="34">
        <v>30323</v>
      </c>
      <c r="E1270" s="33">
        <v>2013010</v>
      </c>
      <c r="F1270" s="33">
        <f t="shared" ca="1" si="123"/>
        <v>43</v>
      </c>
      <c r="G1270" s="33" t="s">
        <v>2699</v>
      </c>
      <c r="H1270" s="33"/>
      <c r="I1270" s="8" t="s">
        <v>2676</v>
      </c>
      <c r="J1270" s="1"/>
      <c r="K1270" s="1"/>
      <c r="L1270" s="8"/>
      <c r="M1270" s="8"/>
      <c r="N1270" s="8"/>
      <c r="O1270" s="8"/>
      <c r="P1270" s="9"/>
      <c r="Q1270" s="3"/>
      <c r="R1270" s="8"/>
    </row>
    <row r="1271" spans="1:18" x14ac:dyDescent="0.3">
      <c r="A1271" s="389"/>
      <c r="B1271" s="111"/>
      <c r="C1271" s="33" t="s">
        <v>523</v>
      </c>
      <c r="D1271" s="34">
        <v>38294</v>
      </c>
      <c r="E1271" s="33">
        <v>4218615</v>
      </c>
      <c r="F1271" s="33">
        <f t="shared" ca="1" si="123"/>
        <v>22</v>
      </c>
      <c r="G1271" s="33"/>
      <c r="H1271" s="33"/>
      <c r="I1271" s="8"/>
      <c r="J1271" s="1"/>
      <c r="K1271" s="1"/>
      <c r="L1271" s="8"/>
      <c r="M1271" s="8"/>
      <c r="N1271" s="8"/>
      <c r="O1271" s="8"/>
      <c r="P1271" s="9"/>
      <c r="Q1271" s="3"/>
      <c r="R1271" s="8"/>
    </row>
    <row r="1272" spans="1:18" x14ac:dyDescent="0.3">
      <c r="A1272" s="184" t="s">
        <v>880</v>
      </c>
      <c r="B1272" s="121"/>
      <c r="C1272" s="27" t="s">
        <v>524</v>
      </c>
      <c r="D1272" s="28">
        <v>32717</v>
      </c>
      <c r="E1272" s="27">
        <v>2411716</v>
      </c>
      <c r="F1272" s="27">
        <f t="shared" ca="1" si="123"/>
        <v>37</v>
      </c>
      <c r="G1272" s="27" t="s">
        <v>2700</v>
      </c>
      <c r="H1272" s="27"/>
      <c r="I1272" s="8" t="s">
        <v>2676</v>
      </c>
      <c r="J1272" s="1"/>
      <c r="K1272" s="1"/>
      <c r="L1272" s="8"/>
      <c r="M1272" s="8"/>
      <c r="N1272" s="8"/>
      <c r="O1272" s="8"/>
      <c r="P1272" s="9"/>
      <c r="Q1272" s="3"/>
      <c r="R1272" s="8"/>
    </row>
    <row r="1273" spans="1:18" x14ac:dyDescent="0.3">
      <c r="A1273" s="394" t="s">
        <v>880</v>
      </c>
      <c r="B1273" s="120"/>
      <c r="C1273" s="36" t="s">
        <v>525</v>
      </c>
      <c r="D1273" s="37">
        <v>16136</v>
      </c>
      <c r="E1273" s="36">
        <v>1929911</v>
      </c>
      <c r="F1273" s="36">
        <f t="shared" ca="1" si="123"/>
        <v>82</v>
      </c>
      <c r="G1273" s="36" t="s">
        <v>2701</v>
      </c>
      <c r="H1273" s="36"/>
      <c r="I1273" s="8" t="s">
        <v>2676</v>
      </c>
      <c r="J1273" s="1"/>
      <c r="K1273" s="1"/>
      <c r="L1273" s="8"/>
      <c r="M1273" s="8"/>
      <c r="N1273" s="8"/>
      <c r="O1273" s="8"/>
      <c r="P1273" s="9"/>
      <c r="Q1273" s="3"/>
      <c r="R1273" s="8"/>
    </row>
    <row r="1274" spans="1:18" x14ac:dyDescent="0.3">
      <c r="A1274" s="401"/>
      <c r="B1274" s="120"/>
      <c r="C1274" s="36" t="s">
        <v>526</v>
      </c>
      <c r="D1274" s="37">
        <v>19864</v>
      </c>
      <c r="E1274" s="36">
        <v>2929913</v>
      </c>
      <c r="F1274" s="36">
        <f t="shared" ca="1" si="123"/>
        <v>72</v>
      </c>
      <c r="G1274" s="36" t="s">
        <v>2702</v>
      </c>
      <c r="H1274" s="36"/>
      <c r="I1274" s="8" t="s">
        <v>2676</v>
      </c>
      <c r="J1274" s="1"/>
      <c r="K1274" s="1"/>
      <c r="L1274" s="8"/>
      <c r="M1274" s="8"/>
      <c r="N1274" s="8"/>
      <c r="O1274" s="8"/>
      <c r="P1274" s="9"/>
      <c r="Q1274" s="3"/>
      <c r="R1274" s="8"/>
    </row>
    <row r="1275" spans="1:18" x14ac:dyDescent="0.3">
      <c r="A1275" s="400" t="s">
        <v>2703</v>
      </c>
      <c r="B1275" s="123"/>
      <c r="C1275" s="18" t="s">
        <v>535</v>
      </c>
      <c r="D1275" s="19">
        <v>30726</v>
      </c>
      <c r="E1275" s="18">
        <v>1065921</v>
      </c>
      <c r="F1275" s="18">
        <f t="shared" ca="1" si="123"/>
        <v>42</v>
      </c>
      <c r="G1275" s="18" t="s">
        <v>2704</v>
      </c>
      <c r="H1275" s="18"/>
      <c r="I1275" s="8" t="s">
        <v>2676</v>
      </c>
      <c r="J1275" s="1"/>
      <c r="K1275" s="1"/>
      <c r="L1275" s="8"/>
      <c r="M1275" s="8"/>
      <c r="N1275" s="8"/>
      <c r="O1275" s="8"/>
      <c r="P1275" s="9"/>
      <c r="Q1275" s="3"/>
      <c r="R1275" s="8"/>
    </row>
    <row r="1276" spans="1:18" x14ac:dyDescent="0.3">
      <c r="A1276" s="400"/>
      <c r="B1276" s="123"/>
      <c r="C1276" s="18" t="s">
        <v>536</v>
      </c>
      <c r="D1276" s="19">
        <v>31061</v>
      </c>
      <c r="E1276" s="18">
        <v>2048414</v>
      </c>
      <c r="F1276" s="18">
        <f t="shared" ca="1" si="123"/>
        <v>41</v>
      </c>
      <c r="G1276" s="18" t="s">
        <v>2705</v>
      </c>
      <c r="H1276" s="18"/>
      <c r="I1276" s="8" t="s">
        <v>2676</v>
      </c>
      <c r="J1276" s="1"/>
      <c r="K1276" s="1"/>
      <c r="L1276" s="8"/>
      <c r="M1276" s="8"/>
      <c r="N1276" s="8"/>
      <c r="O1276" s="8"/>
      <c r="P1276" s="9"/>
      <c r="Q1276" s="3"/>
      <c r="R1276" s="8"/>
    </row>
    <row r="1277" spans="1:18" x14ac:dyDescent="0.3">
      <c r="A1277" s="400"/>
      <c r="B1277" s="123"/>
      <c r="C1277" s="18" t="s">
        <v>537</v>
      </c>
      <c r="D1277" s="19">
        <v>42100</v>
      </c>
      <c r="E1277" s="18">
        <v>4188213</v>
      </c>
      <c r="F1277" s="18">
        <f t="shared" ca="1" si="123"/>
        <v>11</v>
      </c>
      <c r="G1277" s="18"/>
      <c r="H1277" s="18"/>
      <c r="I1277" s="8"/>
      <c r="J1277" s="1"/>
      <c r="K1277" s="1"/>
      <c r="L1277" s="8"/>
      <c r="M1277" s="8"/>
      <c r="N1277" s="8"/>
      <c r="O1277" s="8"/>
      <c r="P1277" s="9"/>
      <c r="Q1277" s="3"/>
      <c r="R1277" s="8"/>
    </row>
    <row r="1278" spans="1:18" x14ac:dyDescent="0.3">
      <c r="A1278" s="400"/>
      <c r="B1278" s="123"/>
      <c r="C1278" s="18" t="s">
        <v>538</v>
      </c>
      <c r="D1278" s="19">
        <v>43378</v>
      </c>
      <c r="E1278" s="18">
        <v>3188213</v>
      </c>
      <c r="F1278" s="18">
        <f t="shared" ca="1" si="123"/>
        <v>8</v>
      </c>
      <c r="G1278" s="18"/>
      <c r="H1278" s="18"/>
      <c r="I1278" s="8"/>
      <c r="J1278" s="1"/>
      <c r="K1278" s="1"/>
      <c r="L1278" s="8"/>
      <c r="M1278" s="8"/>
      <c r="N1278" s="8"/>
      <c r="O1278" s="8"/>
      <c r="P1278" s="9"/>
      <c r="Q1278" s="3"/>
      <c r="R1278" s="8"/>
    </row>
    <row r="1279" spans="1:18" x14ac:dyDescent="0.3">
      <c r="A1279" s="198" t="s">
        <v>2706</v>
      </c>
      <c r="B1279" s="120"/>
      <c r="C1279" s="36" t="s">
        <v>554</v>
      </c>
      <c r="D1279" s="37">
        <v>30147</v>
      </c>
      <c r="E1279" s="36">
        <v>1140821</v>
      </c>
      <c r="F1279" s="36">
        <f t="shared" ref="F1279:F1280" ca="1" si="124">YEAR(TODAY())-YEAR(D1279)</f>
        <v>44</v>
      </c>
      <c r="G1279" s="36" t="s">
        <v>2707</v>
      </c>
      <c r="H1279" s="36"/>
      <c r="I1279" s="8" t="s">
        <v>2676</v>
      </c>
      <c r="J1279" s="1"/>
      <c r="K1279" s="1"/>
      <c r="L1279" s="8"/>
      <c r="M1279" s="8"/>
      <c r="N1279" s="8"/>
      <c r="O1279" s="8"/>
      <c r="P1279" s="9"/>
      <c r="Q1279" s="3"/>
      <c r="R1279" s="8"/>
    </row>
    <row r="1280" spans="1:18" x14ac:dyDescent="0.3">
      <c r="A1280" s="187" t="s">
        <v>2708</v>
      </c>
      <c r="B1280" s="124"/>
      <c r="C1280" s="40" t="s">
        <v>557</v>
      </c>
      <c r="D1280" s="41">
        <v>26940</v>
      </c>
      <c r="E1280" s="40">
        <v>2457412</v>
      </c>
      <c r="F1280" s="40">
        <f t="shared" ca="1" si="124"/>
        <v>53</v>
      </c>
      <c r="G1280" s="40" t="s">
        <v>2709</v>
      </c>
      <c r="H1280" s="40"/>
      <c r="I1280" s="8" t="s">
        <v>2676</v>
      </c>
      <c r="J1280" s="1"/>
      <c r="K1280" s="1"/>
      <c r="L1280" s="8"/>
      <c r="M1280" s="8"/>
      <c r="N1280" s="8"/>
      <c r="O1280" s="8"/>
      <c r="P1280" s="9"/>
      <c r="Q1280" s="3"/>
      <c r="R1280" s="8"/>
    </row>
    <row r="1281" spans="1:18" x14ac:dyDescent="0.3">
      <c r="A1281" s="400" t="s">
        <v>2710</v>
      </c>
      <c r="B1281" s="123"/>
      <c r="C1281" s="18" t="s">
        <v>555</v>
      </c>
      <c r="D1281" s="19">
        <v>29873</v>
      </c>
      <c r="E1281" s="18">
        <v>2037613</v>
      </c>
      <c r="F1281" s="18">
        <f t="shared" ref="F1281:F1297" ca="1" si="125">YEAR(TODAY())-YEAR(D1281)</f>
        <v>45</v>
      </c>
      <c r="G1281" s="18" t="s">
        <v>2711</v>
      </c>
      <c r="H1281" s="18"/>
      <c r="I1281" s="8" t="s">
        <v>2676</v>
      </c>
      <c r="J1281" s="1"/>
      <c r="K1281" s="1"/>
      <c r="L1281" s="8"/>
      <c r="M1281" s="8"/>
      <c r="N1281" s="8"/>
      <c r="O1281" s="8"/>
      <c r="P1281" s="9"/>
      <c r="Q1281" s="3"/>
      <c r="R1281" s="8"/>
    </row>
    <row r="1282" spans="1:18" x14ac:dyDescent="0.3">
      <c r="A1282" s="468"/>
      <c r="B1282" s="123"/>
      <c r="C1282" s="18" t="s">
        <v>579</v>
      </c>
      <c r="D1282" s="19">
        <v>42699</v>
      </c>
      <c r="E1282" s="18">
        <v>3212610</v>
      </c>
      <c r="F1282" s="18">
        <f t="shared" ca="1" si="125"/>
        <v>10</v>
      </c>
      <c r="G1282" s="18"/>
      <c r="H1282" s="18"/>
      <c r="I1282" s="8"/>
      <c r="J1282" s="1"/>
      <c r="K1282" s="1"/>
      <c r="L1282" s="8"/>
      <c r="M1282" s="8"/>
      <c r="N1282" s="8"/>
      <c r="O1282" s="8"/>
      <c r="P1282" s="9"/>
      <c r="Q1282" s="3"/>
      <c r="R1282" s="8"/>
    </row>
    <row r="1283" spans="1:18" x14ac:dyDescent="0.3">
      <c r="A1283" s="414" t="s">
        <v>2712</v>
      </c>
      <c r="B1283" s="113"/>
      <c r="C1283" s="30" t="s">
        <v>590</v>
      </c>
      <c r="D1283" s="31">
        <v>31928</v>
      </c>
      <c r="E1283" s="30">
        <v>2702212</v>
      </c>
      <c r="F1283" s="30">
        <f t="shared" ca="1" si="125"/>
        <v>39</v>
      </c>
      <c r="G1283" s="30" t="s">
        <v>2713</v>
      </c>
      <c r="H1283" s="30"/>
      <c r="I1283" s="8" t="s">
        <v>2676</v>
      </c>
      <c r="J1283" s="1"/>
      <c r="K1283" s="1"/>
      <c r="L1283" s="8"/>
      <c r="M1283" s="8"/>
      <c r="N1283" s="8"/>
      <c r="O1283" s="8"/>
      <c r="P1283" s="9"/>
      <c r="Q1283" s="3"/>
      <c r="R1283" s="8"/>
    </row>
    <row r="1284" spans="1:18" x14ac:dyDescent="0.3">
      <c r="A1284" s="415"/>
      <c r="B1284" s="113"/>
      <c r="C1284" s="30" t="s">
        <v>591</v>
      </c>
      <c r="D1284" s="31">
        <v>31067</v>
      </c>
      <c r="E1284" s="30">
        <v>1476424</v>
      </c>
      <c r="F1284" s="30">
        <f t="shared" ca="1" si="125"/>
        <v>41</v>
      </c>
      <c r="G1284" s="30" t="s">
        <v>2714</v>
      </c>
      <c r="H1284" s="30"/>
      <c r="I1284" s="8" t="s">
        <v>2676</v>
      </c>
      <c r="J1284" s="1"/>
      <c r="K1284" s="1"/>
      <c r="L1284" s="8"/>
      <c r="M1284" s="8"/>
      <c r="N1284" s="8"/>
      <c r="O1284" s="8"/>
      <c r="P1284" s="9"/>
      <c r="Q1284" s="3"/>
      <c r="R1284" s="8"/>
    </row>
    <row r="1285" spans="1:18" x14ac:dyDescent="0.3">
      <c r="A1285" s="415"/>
      <c r="B1285" s="113"/>
      <c r="C1285" s="30" t="s">
        <v>592</v>
      </c>
      <c r="D1285" s="31">
        <v>42137</v>
      </c>
      <c r="E1285" s="30">
        <v>4478818</v>
      </c>
      <c r="F1285" s="30">
        <f t="shared" ca="1" si="125"/>
        <v>11</v>
      </c>
      <c r="G1285" s="30"/>
      <c r="H1285" s="30"/>
      <c r="I1285" s="8"/>
      <c r="J1285" s="1"/>
      <c r="K1285" s="1"/>
      <c r="L1285" s="8"/>
      <c r="M1285" s="8"/>
      <c r="N1285" s="8"/>
      <c r="O1285" s="8"/>
      <c r="P1285" s="9"/>
      <c r="Q1285" s="3"/>
      <c r="R1285" s="8"/>
    </row>
    <row r="1286" spans="1:18" x14ac:dyDescent="0.3">
      <c r="A1286" s="415"/>
      <c r="B1286" s="113"/>
      <c r="C1286" s="30" t="s">
        <v>593</v>
      </c>
      <c r="D1286" s="31">
        <v>42856</v>
      </c>
      <c r="E1286" s="30">
        <v>4478811</v>
      </c>
      <c r="F1286" s="30">
        <f t="shared" ca="1" si="125"/>
        <v>9</v>
      </c>
      <c r="G1286" s="30"/>
      <c r="H1286" s="30"/>
      <c r="I1286" s="8"/>
      <c r="J1286" s="1"/>
      <c r="K1286" s="1"/>
      <c r="L1286" s="8"/>
      <c r="M1286" s="8"/>
      <c r="N1286" s="8"/>
      <c r="O1286" s="8"/>
      <c r="P1286" s="9"/>
      <c r="Q1286" s="3"/>
      <c r="R1286" s="8"/>
    </row>
    <row r="1287" spans="1:18" x14ac:dyDescent="0.3">
      <c r="A1287" s="415"/>
      <c r="B1287" s="113"/>
      <c r="C1287" s="30" t="s">
        <v>594</v>
      </c>
      <c r="D1287" s="31">
        <v>43652</v>
      </c>
      <c r="E1287" s="30">
        <v>3478811</v>
      </c>
      <c r="F1287" s="30">
        <f t="shared" ca="1" si="125"/>
        <v>7</v>
      </c>
      <c r="G1287" s="30"/>
      <c r="H1287" s="30"/>
      <c r="I1287" s="8"/>
      <c r="J1287" s="1"/>
      <c r="K1287" s="1"/>
      <c r="L1287" s="8"/>
      <c r="M1287" s="8"/>
      <c r="N1287" s="8"/>
      <c r="O1287" s="8"/>
      <c r="P1287" s="9"/>
      <c r="Q1287" s="3"/>
      <c r="R1287" s="8"/>
    </row>
    <row r="1288" spans="1:18" s="189" customFormat="1" x14ac:dyDescent="0.3">
      <c r="A1288" s="394" t="s">
        <v>2715</v>
      </c>
      <c r="B1288" s="120"/>
      <c r="C1288" s="36" t="s">
        <v>596</v>
      </c>
      <c r="D1288" s="37">
        <v>31557</v>
      </c>
      <c r="E1288" s="36">
        <v>2169214</v>
      </c>
      <c r="F1288" s="36">
        <f t="shared" ca="1" si="125"/>
        <v>40</v>
      </c>
      <c r="G1288" s="36" t="s">
        <v>2716</v>
      </c>
      <c r="H1288" s="36"/>
      <c r="I1288" s="8" t="s">
        <v>2676</v>
      </c>
      <c r="J1288" s="1"/>
      <c r="K1288" s="1"/>
      <c r="L1288" s="8"/>
      <c r="M1288" s="8"/>
      <c r="N1288" s="8"/>
      <c r="O1288" s="8"/>
      <c r="P1288" s="9"/>
      <c r="Q1288" s="3"/>
      <c r="R1288" s="8"/>
    </row>
    <row r="1289" spans="1:18" x14ac:dyDescent="0.3">
      <c r="A1289" s="401"/>
      <c r="B1289" s="120"/>
      <c r="C1289" s="36" t="s">
        <v>597</v>
      </c>
      <c r="D1289" s="37">
        <v>31178</v>
      </c>
      <c r="E1289" s="36">
        <v>1120014</v>
      </c>
      <c r="F1289" s="36">
        <f t="shared" ca="1" si="125"/>
        <v>41</v>
      </c>
      <c r="G1289" s="36" t="s">
        <v>2717</v>
      </c>
      <c r="H1289" s="36"/>
      <c r="I1289" s="8" t="s">
        <v>2676</v>
      </c>
      <c r="J1289" s="1"/>
      <c r="K1289" s="1"/>
      <c r="L1289" s="29"/>
      <c r="M1289" s="29"/>
      <c r="N1289" s="29"/>
      <c r="O1289" s="29"/>
      <c r="P1289" s="102"/>
      <c r="Q1289" s="103"/>
      <c r="R1289" s="29"/>
    </row>
    <row r="1290" spans="1:18" x14ac:dyDescent="0.3">
      <c r="A1290" s="401"/>
      <c r="B1290" s="120"/>
      <c r="C1290" s="36" t="s">
        <v>598</v>
      </c>
      <c r="D1290" s="37">
        <v>42886</v>
      </c>
      <c r="E1290" s="36">
        <v>3148213</v>
      </c>
      <c r="F1290" s="36">
        <f t="shared" ca="1" si="125"/>
        <v>9</v>
      </c>
      <c r="G1290" s="36"/>
      <c r="H1290" s="36"/>
      <c r="I1290" s="8"/>
      <c r="J1290" s="1"/>
      <c r="K1290" s="1"/>
      <c r="L1290" s="8"/>
      <c r="M1290" s="8"/>
      <c r="N1290" s="8"/>
      <c r="O1290" s="8"/>
      <c r="P1290" s="9"/>
      <c r="Q1290" s="3"/>
      <c r="R1290" s="8"/>
    </row>
    <row r="1291" spans="1:18" x14ac:dyDescent="0.3">
      <c r="A1291" s="401"/>
      <c r="B1291" s="120"/>
      <c r="C1291" s="36" t="s">
        <v>599</v>
      </c>
      <c r="D1291" s="37">
        <v>43474</v>
      </c>
      <c r="E1291" s="36">
        <v>4152016</v>
      </c>
      <c r="F1291" s="36">
        <f t="shared" ca="1" si="125"/>
        <v>7</v>
      </c>
      <c r="G1291" s="36"/>
      <c r="H1291" s="36"/>
      <c r="I1291" s="8"/>
      <c r="J1291" s="1"/>
      <c r="K1291" s="1"/>
      <c r="L1291" s="8"/>
      <c r="M1291" s="8"/>
      <c r="N1291" s="8"/>
      <c r="O1291" s="8"/>
      <c r="P1291" s="9"/>
      <c r="Q1291" s="3"/>
      <c r="R1291" s="8"/>
    </row>
    <row r="1292" spans="1:18" x14ac:dyDescent="0.3">
      <c r="A1292" s="401"/>
      <c r="B1292" s="120"/>
      <c r="C1292" s="36" t="s">
        <v>600</v>
      </c>
      <c r="D1292" s="37">
        <v>44132</v>
      </c>
      <c r="E1292" s="36">
        <v>3581160</v>
      </c>
      <c r="F1292" s="36">
        <f t="shared" ca="1" si="125"/>
        <v>6</v>
      </c>
      <c r="G1292" s="36"/>
      <c r="H1292" s="36"/>
      <c r="I1292" s="8"/>
      <c r="J1292" s="1"/>
      <c r="K1292" s="1"/>
      <c r="L1292" s="8"/>
      <c r="M1292" s="8"/>
      <c r="N1292" s="8"/>
      <c r="O1292" s="8"/>
      <c r="P1292" s="9"/>
      <c r="Q1292" s="3"/>
      <c r="R1292" s="8"/>
    </row>
    <row r="1293" spans="1:18" x14ac:dyDescent="0.3">
      <c r="A1293" s="183" t="s">
        <v>2718</v>
      </c>
      <c r="B1293" s="113"/>
      <c r="C1293" s="30" t="s">
        <v>602</v>
      </c>
      <c r="D1293" s="31">
        <v>33009</v>
      </c>
      <c r="E1293" s="30">
        <v>2328115</v>
      </c>
      <c r="F1293" s="30">
        <f t="shared" ca="1" si="125"/>
        <v>36</v>
      </c>
      <c r="G1293" s="30" t="s">
        <v>2719</v>
      </c>
      <c r="H1293" s="30"/>
      <c r="I1293" s="8" t="s">
        <v>2676</v>
      </c>
      <c r="J1293" s="30"/>
      <c r="K1293" s="30"/>
      <c r="L1293" s="8" t="s">
        <v>3335</v>
      </c>
      <c r="M1293" s="8"/>
      <c r="N1293" s="8"/>
      <c r="O1293" s="8"/>
      <c r="P1293" s="9"/>
      <c r="Q1293" s="3"/>
      <c r="R1293" s="8"/>
    </row>
    <row r="1294" spans="1:18" x14ac:dyDescent="0.3">
      <c r="A1294" s="182" t="s">
        <v>2720</v>
      </c>
      <c r="B1294" s="109"/>
      <c r="C1294" s="1" t="s">
        <v>607</v>
      </c>
      <c r="D1294" s="2">
        <v>25469</v>
      </c>
      <c r="E1294" s="1">
        <v>1</v>
      </c>
      <c r="F1294" s="1">
        <f t="shared" ca="1" si="125"/>
        <v>57</v>
      </c>
      <c r="G1294" s="1" t="s">
        <v>2721</v>
      </c>
      <c r="H1294" s="1"/>
      <c r="I1294" s="8"/>
      <c r="J1294" s="1"/>
      <c r="K1294" s="1"/>
      <c r="L1294" s="8"/>
      <c r="M1294" s="8"/>
      <c r="N1294" s="8"/>
      <c r="O1294" s="8"/>
      <c r="P1294" s="9"/>
      <c r="Q1294" s="3"/>
      <c r="R1294" s="8"/>
    </row>
    <row r="1295" spans="1:18" x14ac:dyDescent="0.3">
      <c r="A1295" s="184" t="s">
        <v>2722</v>
      </c>
      <c r="B1295" s="121"/>
      <c r="C1295" s="27" t="s">
        <v>608</v>
      </c>
      <c r="D1295" s="28">
        <v>34175</v>
      </c>
      <c r="E1295" s="27">
        <v>2251724</v>
      </c>
      <c r="F1295" s="27">
        <f t="shared" ca="1" si="125"/>
        <v>33</v>
      </c>
      <c r="G1295" s="27" t="s">
        <v>2723</v>
      </c>
      <c r="H1295" s="27"/>
      <c r="I1295" s="8" t="s">
        <v>2676</v>
      </c>
      <c r="J1295" s="1"/>
      <c r="K1295" s="1"/>
      <c r="L1295" s="8"/>
      <c r="M1295" s="8"/>
      <c r="N1295" s="8"/>
      <c r="O1295" s="8"/>
      <c r="P1295" s="9"/>
      <c r="Q1295" s="3"/>
      <c r="R1295" s="8"/>
    </row>
    <row r="1296" spans="1:18" x14ac:dyDescent="0.3">
      <c r="A1296" s="400" t="s">
        <v>2724</v>
      </c>
      <c r="B1296" s="123"/>
      <c r="C1296" s="18" t="s">
        <v>612</v>
      </c>
      <c r="D1296" s="19">
        <v>31775</v>
      </c>
      <c r="E1296" s="18">
        <v>1064928</v>
      </c>
      <c r="F1296" s="18">
        <f t="shared" ca="1" si="125"/>
        <v>40</v>
      </c>
      <c r="G1296" s="18" t="s">
        <v>2725</v>
      </c>
      <c r="H1296" s="18"/>
      <c r="I1296" s="8" t="s">
        <v>2676</v>
      </c>
      <c r="J1296" s="1"/>
      <c r="K1296" s="1"/>
      <c r="L1296" s="8"/>
      <c r="M1296" s="8"/>
      <c r="N1296" s="8"/>
      <c r="O1296" s="8"/>
      <c r="P1296" s="9"/>
      <c r="Q1296" s="3"/>
      <c r="R1296" s="8"/>
    </row>
    <row r="1297" spans="1:18" x14ac:dyDescent="0.3">
      <c r="A1297" s="468"/>
      <c r="B1297" s="123"/>
      <c r="C1297" s="18" t="s">
        <v>613</v>
      </c>
      <c r="D1297" s="19">
        <v>20840</v>
      </c>
      <c r="E1297" s="18">
        <v>1162512</v>
      </c>
      <c r="F1297" s="18">
        <f t="shared" ca="1" si="125"/>
        <v>69</v>
      </c>
      <c r="G1297" s="18" t="s">
        <v>2726</v>
      </c>
      <c r="H1297" s="18"/>
      <c r="I1297" s="8" t="s">
        <v>2676</v>
      </c>
      <c r="J1297" s="1"/>
      <c r="K1297" s="1"/>
      <c r="L1297" s="8"/>
      <c r="M1297" s="8"/>
      <c r="N1297" s="8"/>
      <c r="O1297" s="8"/>
      <c r="P1297" s="9"/>
      <c r="Q1297" s="3"/>
      <c r="R1297" s="8"/>
    </row>
    <row r="1298" spans="1:18" x14ac:dyDescent="0.3">
      <c r="A1298" s="420" t="s">
        <v>2727</v>
      </c>
      <c r="B1298" s="121"/>
      <c r="C1298" s="27" t="s">
        <v>540</v>
      </c>
      <c r="D1298" s="28">
        <v>25124</v>
      </c>
      <c r="E1298" s="27">
        <v>2475742</v>
      </c>
      <c r="F1298" s="27">
        <f t="shared" ref="F1298:F1307" ca="1" si="126">YEAR(TODAY())-YEAR(D1298)</f>
        <v>58</v>
      </c>
      <c r="G1298" s="27" t="s">
        <v>2728</v>
      </c>
      <c r="H1298" s="27"/>
      <c r="I1298" s="8" t="s">
        <v>2676</v>
      </c>
      <c r="J1298" s="1"/>
      <c r="K1298" s="1"/>
      <c r="L1298" s="8"/>
      <c r="M1298" s="8"/>
      <c r="N1298" s="8"/>
      <c r="O1298" s="8"/>
      <c r="P1298" s="9"/>
      <c r="Q1298" s="3"/>
      <c r="R1298" s="8"/>
    </row>
    <row r="1299" spans="1:18" x14ac:dyDescent="0.3">
      <c r="A1299" s="421"/>
      <c r="B1299" s="121"/>
      <c r="C1299" s="27" t="s">
        <v>617</v>
      </c>
      <c r="D1299" s="28">
        <v>35479</v>
      </c>
      <c r="E1299" s="27"/>
      <c r="F1299" s="27">
        <f t="shared" ca="1" si="126"/>
        <v>29</v>
      </c>
      <c r="G1299" s="27"/>
      <c r="H1299" s="27"/>
      <c r="I1299" s="8"/>
      <c r="J1299" s="1"/>
      <c r="K1299" s="1"/>
      <c r="L1299" s="8"/>
      <c r="M1299" s="8"/>
      <c r="N1299" s="8"/>
      <c r="O1299" s="8"/>
      <c r="P1299" s="9"/>
      <c r="Q1299" s="3"/>
      <c r="R1299" s="8"/>
    </row>
    <row r="1300" spans="1:18" x14ac:dyDescent="0.3">
      <c r="A1300" s="421"/>
      <c r="B1300" s="121"/>
      <c r="C1300" s="27" t="s">
        <v>618</v>
      </c>
      <c r="D1300" s="28">
        <v>17020</v>
      </c>
      <c r="E1300" s="27">
        <v>2475719</v>
      </c>
      <c r="F1300" s="27">
        <f t="shared" ca="1" si="126"/>
        <v>80</v>
      </c>
      <c r="G1300" s="27" t="s">
        <v>2729</v>
      </c>
      <c r="H1300" s="27"/>
      <c r="I1300" s="8" t="s">
        <v>2676</v>
      </c>
      <c r="J1300" s="1"/>
      <c r="K1300" s="1"/>
      <c r="L1300" s="8"/>
      <c r="M1300" s="8"/>
      <c r="N1300" s="8"/>
      <c r="O1300" s="8"/>
      <c r="P1300" s="9"/>
      <c r="Q1300" s="3"/>
      <c r="R1300" s="8"/>
    </row>
    <row r="1301" spans="1:18" x14ac:dyDescent="0.3">
      <c r="A1301" s="473" t="s">
        <v>2730</v>
      </c>
      <c r="B1301" s="131"/>
      <c r="C1301" s="47" t="s">
        <v>620</v>
      </c>
      <c r="D1301" s="48">
        <v>28689</v>
      </c>
      <c r="E1301" s="47">
        <v>2388510</v>
      </c>
      <c r="F1301" s="47">
        <f t="shared" ca="1" si="126"/>
        <v>48</v>
      </c>
      <c r="G1301" s="47" t="s">
        <v>2731</v>
      </c>
      <c r="H1301" s="47"/>
      <c r="I1301" s="8" t="s">
        <v>2676</v>
      </c>
      <c r="J1301" s="1"/>
      <c r="K1301" s="1"/>
      <c r="L1301" s="8"/>
      <c r="M1301" s="8"/>
      <c r="N1301" s="8"/>
      <c r="O1301" s="8"/>
      <c r="P1301" s="9"/>
      <c r="Q1301" s="3"/>
      <c r="R1301" s="8"/>
    </row>
    <row r="1302" spans="1:18" x14ac:dyDescent="0.3">
      <c r="A1302" s="473"/>
      <c r="B1302" s="131"/>
      <c r="C1302" s="47" t="s">
        <v>621</v>
      </c>
      <c r="D1302" s="48">
        <v>16180</v>
      </c>
      <c r="E1302" s="47">
        <v>2229313</v>
      </c>
      <c r="F1302" s="47">
        <f t="shared" ca="1" si="126"/>
        <v>82</v>
      </c>
      <c r="G1302" s="47" t="s">
        <v>2732</v>
      </c>
      <c r="H1302" s="47"/>
      <c r="I1302" s="8" t="s">
        <v>2676</v>
      </c>
      <c r="J1302" s="1"/>
      <c r="K1302" s="1"/>
      <c r="L1302" s="8"/>
      <c r="M1302" s="8"/>
      <c r="N1302" s="8"/>
      <c r="O1302" s="8"/>
      <c r="P1302" s="9"/>
      <c r="Q1302" s="3"/>
      <c r="R1302" s="8"/>
    </row>
    <row r="1303" spans="1:18" x14ac:dyDescent="0.3">
      <c r="B1303" s="109"/>
      <c r="C1303" s="1" t="s">
        <v>628</v>
      </c>
      <c r="D1303" s="2">
        <v>34239</v>
      </c>
      <c r="E1303" s="1">
        <v>1693014</v>
      </c>
      <c r="F1303" s="1">
        <f t="shared" ca="1" si="126"/>
        <v>33</v>
      </c>
      <c r="G1303" s="1"/>
      <c r="H1303" s="1"/>
      <c r="I1303" s="8" t="s">
        <v>2676</v>
      </c>
      <c r="J1303" s="1"/>
      <c r="K1303" s="1"/>
      <c r="L1303" s="8"/>
      <c r="M1303" s="8"/>
      <c r="N1303" s="8"/>
      <c r="O1303" s="8"/>
      <c r="P1303" s="9"/>
      <c r="Q1303" s="3"/>
      <c r="R1303" s="8"/>
    </row>
    <row r="1304" spans="1:18" x14ac:dyDescent="0.3">
      <c r="A1304" s="414" t="s">
        <v>2733</v>
      </c>
      <c r="B1304" s="113"/>
      <c r="C1304" s="30" t="s">
        <v>635</v>
      </c>
      <c r="D1304" s="31">
        <v>26728</v>
      </c>
      <c r="E1304" s="30">
        <v>2047713</v>
      </c>
      <c r="F1304" s="30">
        <f t="shared" ca="1" si="126"/>
        <v>53</v>
      </c>
      <c r="G1304" s="30" t="s">
        <v>2734</v>
      </c>
      <c r="H1304" s="30"/>
      <c r="I1304" s="8" t="s">
        <v>2676</v>
      </c>
      <c r="J1304" s="1"/>
      <c r="K1304" s="1"/>
      <c r="L1304" s="8"/>
      <c r="M1304" s="8"/>
      <c r="N1304" s="8"/>
      <c r="O1304" s="8"/>
      <c r="P1304" s="9"/>
      <c r="Q1304" s="3"/>
      <c r="R1304" s="8"/>
    </row>
    <row r="1305" spans="1:18" x14ac:dyDescent="0.3">
      <c r="A1305" s="415"/>
      <c r="B1305" s="113"/>
      <c r="C1305" s="30" t="s">
        <v>636</v>
      </c>
      <c r="D1305" s="31">
        <v>26373</v>
      </c>
      <c r="E1305" s="30">
        <v>1472318</v>
      </c>
      <c r="F1305" s="30">
        <f t="shared" ca="1" si="126"/>
        <v>54</v>
      </c>
      <c r="G1305" s="30" t="s">
        <v>2735</v>
      </c>
      <c r="H1305" s="30"/>
      <c r="I1305" s="8" t="s">
        <v>2676</v>
      </c>
      <c r="J1305" s="1"/>
      <c r="K1305" s="1"/>
      <c r="L1305" s="8"/>
      <c r="M1305" s="8"/>
      <c r="N1305" s="8"/>
      <c r="O1305" s="8"/>
      <c r="P1305" s="9"/>
      <c r="Q1305" s="3"/>
      <c r="R1305" s="8"/>
    </row>
    <row r="1306" spans="1:18" x14ac:dyDescent="0.3">
      <c r="A1306" s="415"/>
      <c r="B1306" s="113"/>
      <c r="C1306" s="30" t="s">
        <v>637</v>
      </c>
      <c r="D1306" s="31">
        <v>37576</v>
      </c>
      <c r="E1306" s="30">
        <v>4152711</v>
      </c>
      <c r="F1306" s="30">
        <f t="shared" ca="1" si="126"/>
        <v>24</v>
      </c>
      <c r="G1306" s="30"/>
      <c r="H1306" s="30"/>
      <c r="I1306" s="8"/>
      <c r="J1306" s="1"/>
      <c r="K1306" s="1"/>
      <c r="L1306" s="8"/>
      <c r="M1306" s="8"/>
      <c r="N1306" s="8"/>
      <c r="O1306" s="8"/>
      <c r="P1306" s="9"/>
      <c r="Q1306" s="3"/>
      <c r="R1306" s="8"/>
    </row>
    <row r="1307" spans="1:18" x14ac:dyDescent="0.3">
      <c r="A1307" s="415"/>
      <c r="B1307" s="113"/>
      <c r="C1307" s="30" t="s">
        <v>638</v>
      </c>
      <c r="D1307" s="31">
        <v>39816</v>
      </c>
      <c r="E1307" s="30">
        <v>3151614</v>
      </c>
      <c r="F1307" s="30">
        <f t="shared" ca="1" si="126"/>
        <v>17</v>
      </c>
      <c r="G1307" s="30"/>
      <c r="H1307" s="30"/>
      <c r="I1307" s="8"/>
      <c r="J1307" s="1"/>
      <c r="K1307" s="1"/>
      <c r="L1307" s="8"/>
      <c r="M1307" s="8"/>
      <c r="N1307" s="8"/>
      <c r="O1307" s="8"/>
      <c r="P1307" s="9"/>
      <c r="Q1307" s="3"/>
      <c r="R1307" s="8"/>
    </row>
    <row r="1308" spans="1:18" x14ac:dyDescent="0.3">
      <c r="A1308" s="182" t="s">
        <v>2736</v>
      </c>
      <c r="B1308" s="109"/>
      <c r="C1308" s="1" t="s">
        <v>667</v>
      </c>
      <c r="D1308" s="2">
        <v>31111</v>
      </c>
      <c r="E1308" s="1">
        <v>1908116</v>
      </c>
      <c r="F1308" s="1">
        <f t="shared" ref="F1308:F1311" ca="1" si="127">YEAR(TODAY())-YEAR(D1308)</f>
        <v>41</v>
      </c>
      <c r="G1308" s="1"/>
      <c r="H1308" s="1"/>
      <c r="I1308" s="8"/>
      <c r="J1308" s="1"/>
      <c r="K1308" s="1"/>
      <c r="L1308" s="8"/>
      <c r="M1308" s="8"/>
      <c r="N1308" s="8"/>
      <c r="O1308" s="8"/>
      <c r="P1308" s="9"/>
      <c r="Q1308" s="3"/>
      <c r="R1308" s="8"/>
    </row>
    <row r="1309" spans="1:18" x14ac:dyDescent="0.3">
      <c r="A1309" s="390" t="s">
        <v>2737</v>
      </c>
      <c r="B1309" s="120"/>
      <c r="C1309" s="36" t="s">
        <v>675</v>
      </c>
      <c r="D1309" s="37">
        <v>22447</v>
      </c>
      <c r="E1309" s="36">
        <v>1411328</v>
      </c>
      <c r="F1309" s="36">
        <f t="shared" ca="1" si="127"/>
        <v>65</v>
      </c>
      <c r="G1309" s="36" t="s">
        <v>2738</v>
      </c>
      <c r="H1309" s="36"/>
      <c r="I1309" s="8"/>
      <c r="J1309" s="1"/>
      <c r="K1309" s="1"/>
      <c r="L1309" s="8"/>
      <c r="M1309" s="8"/>
      <c r="N1309" s="8"/>
      <c r="O1309" s="8"/>
      <c r="P1309" s="9"/>
      <c r="Q1309" s="3"/>
      <c r="R1309" s="8"/>
    </row>
    <row r="1310" spans="1:18" x14ac:dyDescent="0.3">
      <c r="A1310" s="391"/>
      <c r="B1310" s="120"/>
      <c r="C1310" s="36" t="s">
        <v>676</v>
      </c>
      <c r="D1310" s="37">
        <v>34024</v>
      </c>
      <c r="E1310" s="36">
        <v>1037815</v>
      </c>
      <c r="F1310" s="36">
        <f t="shared" ca="1" si="127"/>
        <v>33</v>
      </c>
      <c r="G1310" s="36" t="s">
        <v>2739</v>
      </c>
      <c r="H1310" s="36"/>
      <c r="I1310" s="8"/>
      <c r="J1310" s="1"/>
      <c r="K1310" s="1"/>
      <c r="L1310" s="8"/>
      <c r="M1310" s="8"/>
      <c r="N1310" s="8"/>
      <c r="O1310" s="8"/>
      <c r="P1310" s="9"/>
      <c r="Q1310" s="3"/>
      <c r="R1310" s="8"/>
    </row>
    <row r="1311" spans="1:18" x14ac:dyDescent="0.3">
      <c r="A1311" s="198" t="s">
        <v>2740</v>
      </c>
      <c r="B1311" s="120"/>
      <c r="C1311" s="36" t="s">
        <v>690</v>
      </c>
      <c r="D1311" s="37">
        <v>30293</v>
      </c>
      <c r="E1311" s="36">
        <v>2149211</v>
      </c>
      <c r="F1311" s="36">
        <f t="shared" ca="1" si="127"/>
        <v>44</v>
      </c>
      <c r="G1311" s="36" t="s">
        <v>2741</v>
      </c>
      <c r="H1311" s="36"/>
      <c r="I1311" s="8"/>
      <c r="J1311" s="1"/>
      <c r="K1311" s="1"/>
      <c r="L1311" s="8"/>
      <c r="M1311" s="8"/>
      <c r="N1311" s="8"/>
      <c r="O1311" s="8"/>
      <c r="P1311" s="9"/>
      <c r="Q1311" s="3"/>
      <c r="R1311" s="8"/>
    </row>
    <row r="1312" spans="1:18" x14ac:dyDescent="0.3">
      <c r="A1312" s="402" t="s">
        <v>2742</v>
      </c>
      <c r="B1312" s="124"/>
      <c r="C1312" s="40" t="s">
        <v>710</v>
      </c>
      <c r="D1312" s="41">
        <v>21351</v>
      </c>
      <c r="E1312" s="40">
        <v>2460215</v>
      </c>
      <c r="F1312" s="40">
        <f t="shared" ref="F1312:F1321" ca="1" si="128">YEAR(TODAY())-YEAR(D1312)</f>
        <v>68</v>
      </c>
      <c r="G1312" s="40" t="s">
        <v>2743</v>
      </c>
      <c r="H1312" s="40"/>
      <c r="I1312" s="8"/>
      <c r="J1312" s="1"/>
      <c r="K1312" s="1"/>
      <c r="L1312" s="8"/>
      <c r="M1312" s="8"/>
      <c r="N1312" s="8"/>
      <c r="O1312" s="8"/>
      <c r="P1312" s="9"/>
      <c r="Q1312" s="3"/>
      <c r="R1312" s="8"/>
    </row>
    <row r="1313" spans="1:18" x14ac:dyDescent="0.3">
      <c r="A1313" s="437"/>
      <c r="B1313" s="124"/>
      <c r="C1313" s="40" t="s">
        <v>2744</v>
      </c>
      <c r="D1313" s="41">
        <v>19816</v>
      </c>
      <c r="E1313" s="40">
        <v>1019011</v>
      </c>
      <c r="F1313" s="40">
        <f t="shared" ca="1" si="128"/>
        <v>72</v>
      </c>
      <c r="G1313" s="40" t="s">
        <v>2745</v>
      </c>
      <c r="H1313" s="40"/>
      <c r="I1313" s="8"/>
      <c r="J1313" s="1"/>
      <c r="K1313" s="1"/>
      <c r="L1313" s="8"/>
      <c r="M1313" s="8"/>
      <c r="N1313" s="8"/>
      <c r="O1313" s="8"/>
      <c r="P1313" s="9"/>
      <c r="Q1313" s="3"/>
      <c r="R1313" s="8"/>
    </row>
    <row r="1314" spans="1:18" x14ac:dyDescent="0.3">
      <c r="A1314" s="403"/>
      <c r="B1314" s="124"/>
      <c r="C1314" s="40" t="s">
        <v>2746</v>
      </c>
      <c r="D1314" s="41">
        <v>31236</v>
      </c>
      <c r="E1314" s="40">
        <v>1019118</v>
      </c>
      <c r="F1314" s="40">
        <f t="shared" ca="1" si="128"/>
        <v>41</v>
      </c>
      <c r="G1314" s="40"/>
      <c r="H1314" s="40"/>
      <c r="I1314" s="8"/>
      <c r="J1314" s="1"/>
      <c r="K1314" s="1"/>
      <c r="L1314" s="8"/>
      <c r="M1314" s="8"/>
      <c r="N1314" s="8"/>
      <c r="O1314" s="8"/>
      <c r="P1314" s="9"/>
      <c r="Q1314" s="3"/>
      <c r="R1314" s="8"/>
    </row>
    <row r="1315" spans="1:18" x14ac:dyDescent="0.3">
      <c r="A1315" s="398" t="s">
        <v>2747</v>
      </c>
      <c r="B1315" s="121"/>
      <c r="C1315" s="27" t="s">
        <v>717</v>
      </c>
      <c r="D1315" s="28">
        <v>31484</v>
      </c>
      <c r="E1315" s="27">
        <v>2631912</v>
      </c>
      <c r="F1315" s="27">
        <f t="shared" ca="1" si="128"/>
        <v>40</v>
      </c>
      <c r="G1315" s="27" t="s">
        <v>2748</v>
      </c>
      <c r="H1315" s="27"/>
      <c r="I1315" s="8"/>
      <c r="J1315" s="1"/>
      <c r="K1315" s="1"/>
      <c r="L1315" s="8"/>
      <c r="M1315" s="8"/>
      <c r="N1315" s="8"/>
      <c r="O1315" s="8"/>
      <c r="P1315" s="9"/>
      <c r="Q1315" s="3"/>
      <c r="R1315" s="8"/>
    </row>
    <row r="1316" spans="1:18" x14ac:dyDescent="0.3">
      <c r="A1316" s="419"/>
      <c r="B1316" s="121"/>
      <c r="C1316" s="27" t="s">
        <v>718</v>
      </c>
      <c r="D1316" s="28">
        <v>39654</v>
      </c>
      <c r="E1316" s="27">
        <v>4412512</v>
      </c>
      <c r="F1316" s="27">
        <f t="shared" ca="1" si="128"/>
        <v>18</v>
      </c>
      <c r="G1316" s="27"/>
      <c r="H1316" s="27"/>
      <c r="I1316" s="8"/>
      <c r="J1316" s="1"/>
      <c r="K1316" s="1"/>
      <c r="L1316" s="8"/>
      <c r="M1316" s="8"/>
      <c r="N1316" s="8"/>
      <c r="O1316" s="8"/>
      <c r="P1316" s="9"/>
      <c r="Q1316" s="3"/>
      <c r="R1316" s="8"/>
    </row>
    <row r="1317" spans="1:18" x14ac:dyDescent="0.3">
      <c r="A1317" s="455" t="s">
        <v>2749</v>
      </c>
      <c r="B1317" s="123"/>
      <c r="C1317" s="18" t="s">
        <v>719</v>
      </c>
      <c r="D1317" s="19">
        <v>34356</v>
      </c>
      <c r="E1317" s="18">
        <v>2450719</v>
      </c>
      <c r="F1317" s="18">
        <f t="shared" ca="1" si="128"/>
        <v>32</v>
      </c>
      <c r="G1317" s="18" t="s">
        <v>2750</v>
      </c>
      <c r="H1317" s="18"/>
      <c r="I1317" s="8"/>
      <c r="J1317" s="1"/>
      <c r="K1317" s="1"/>
      <c r="L1317" s="8"/>
      <c r="M1317" s="8"/>
      <c r="N1317" s="8"/>
      <c r="O1317" s="8"/>
      <c r="P1317" s="9"/>
      <c r="Q1317" s="3"/>
      <c r="R1317" s="8"/>
    </row>
    <row r="1318" spans="1:18" x14ac:dyDescent="0.3">
      <c r="A1318" s="456"/>
      <c r="B1318" s="123"/>
      <c r="C1318" s="18" t="s">
        <v>720</v>
      </c>
      <c r="D1318" s="19">
        <v>34721</v>
      </c>
      <c r="E1318" s="18">
        <v>1408711</v>
      </c>
      <c r="F1318" s="18">
        <f t="shared" ca="1" si="128"/>
        <v>31</v>
      </c>
      <c r="G1318" s="18" t="s">
        <v>2751</v>
      </c>
      <c r="H1318" s="18"/>
      <c r="I1318" s="8"/>
      <c r="J1318" s="1"/>
      <c r="K1318" s="1"/>
      <c r="L1318" s="8"/>
      <c r="M1318" s="8"/>
      <c r="N1318" s="8"/>
      <c r="O1318" s="8"/>
      <c r="P1318" s="9"/>
      <c r="Q1318" s="3"/>
      <c r="R1318" s="8"/>
    </row>
    <row r="1319" spans="1:18" x14ac:dyDescent="0.3">
      <c r="A1319" s="457"/>
      <c r="B1319" s="123"/>
      <c r="C1319" s="18" t="s">
        <v>2752</v>
      </c>
      <c r="D1319" s="19">
        <v>44375</v>
      </c>
      <c r="E1319" s="18">
        <v>3942135</v>
      </c>
      <c r="F1319" s="18">
        <f t="shared" ca="1" si="128"/>
        <v>5</v>
      </c>
      <c r="G1319" s="18"/>
      <c r="H1319" s="18"/>
      <c r="I1319" s="8"/>
      <c r="J1319" s="1"/>
      <c r="K1319" s="1"/>
      <c r="L1319" s="8"/>
      <c r="M1319" s="8"/>
      <c r="N1319" s="8"/>
      <c r="O1319" s="8"/>
      <c r="P1319" s="9"/>
      <c r="Q1319" s="3"/>
      <c r="R1319" s="8"/>
    </row>
    <row r="1320" spans="1:18" x14ac:dyDescent="0.3">
      <c r="A1320" s="182" t="s">
        <v>2753</v>
      </c>
      <c r="B1320" s="109"/>
      <c r="C1320" s="1" t="s">
        <v>722</v>
      </c>
      <c r="D1320" s="2">
        <v>20242</v>
      </c>
      <c r="E1320" s="1">
        <v>2447319</v>
      </c>
      <c r="F1320" s="1">
        <f t="shared" ca="1" si="128"/>
        <v>71</v>
      </c>
      <c r="G1320" s="1" t="s">
        <v>2754</v>
      </c>
      <c r="H1320" s="1"/>
      <c r="I1320" s="8"/>
      <c r="J1320" s="1"/>
      <c r="K1320" s="1"/>
      <c r="L1320" s="8"/>
      <c r="M1320" s="8"/>
      <c r="N1320" s="8"/>
      <c r="O1320" s="8"/>
      <c r="P1320" s="9"/>
      <c r="Q1320" s="3"/>
      <c r="R1320" s="8"/>
    </row>
    <row r="1321" spans="1:18" x14ac:dyDescent="0.3">
      <c r="A1321" s="182" t="s">
        <v>2755</v>
      </c>
      <c r="B1321" s="109" t="s">
        <v>2756</v>
      </c>
      <c r="C1321" s="1" t="s">
        <v>725</v>
      </c>
      <c r="D1321" s="2">
        <v>34108</v>
      </c>
      <c r="E1321" s="1">
        <v>2380717</v>
      </c>
      <c r="F1321" s="1">
        <f t="shared" ca="1" si="128"/>
        <v>33</v>
      </c>
      <c r="G1321" s="1" t="s">
        <v>2757</v>
      </c>
      <c r="H1321" s="1"/>
      <c r="I1321" s="8"/>
      <c r="J1321" s="1"/>
      <c r="K1321" s="1"/>
      <c r="L1321" s="8"/>
      <c r="M1321" s="8"/>
      <c r="N1321" s="8"/>
      <c r="O1321" s="8"/>
      <c r="P1321" s="9"/>
      <c r="Q1321" s="3"/>
      <c r="R1321" s="8"/>
    </row>
    <row r="1322" spans="1:18" x14ac:dyDescent="0.3">
      <c r="A1322" s="182" t="s">
        <v>2758</v>
      </c>
      <c r="B1322" s="109"/>
      <c r="C1322" s="1" t="s">
        <v>2759</v>
      </c>
      <c r="D1322" s="2">
        <v>30656</v>
      </c>
      <c r="E1322" s="1"/>
      <c r="F1322" s="1">
        <f t="shared" ref="F1322" ca="1" si="129">YEAR(TODAY())-YEAR(D1322)</f>
        <v>43</v>
      </c>
      <c r="G1322" s="1"/>
      <c r="H1322" s="1"/>
      <c r="I1322" s="8"/>
      <c r="J1322" s="1"/>
      <c r="K1322" s="1"/>
      <c r="L1322" s="8"/>
      <c r="M1322" s="8"/>
      <c r="N1322" s="8"/>
      <c r="O1322" s="8"/>
      <c r="P1322" s="9"/>
      <c r="Q1322" s="3"/>
      <c r="R1322" s="8"/>
    </row>
    <row r="1323" spans="1:18" x14ac:dyDescent="0.3">
      <c r="A1323" s="182" t="s">
        <v>1468</v>
      </c>
      <c r="B1323" s="109"/>
      <c r="C1323" s="1" t="s">
        <v>2760</v>
      </c>
      <c r="D1323" s="2">
        <v>16471</v>
      </c>
      <c r="E1323" s="1">
        <v>2629710</v>
      </c>
      <c r="F1323" s="1">
        <f t="shared" ref="F1323:F1326" ca="1" si="130">YEAR(TODAY())-YEAR(D1323)</f>
        <v>81</v>
      </c>
      <c r="G1323" s="1"/>
      <c r="H1323" s="1"/>
      <c r="I1323" s="8"/>
      <c r="J1323" s="1"/>
      <c r="K1323" s="1"/>
      <c r="L1323" s="8"/>
      <c r="M1323" s="8"/>
      <c r="N1323" s="8"/>
      <c r="O1323" s="8"/>
      <c r="P1323" s="9"/>
      <c r="Q1323" s="3"/>
      <c r="R1323" s="8"/>
    </row>
    <row r="1324" spans="1:18" x14ac:dyDescent="0.3">
      <c r="A1324" s="183" t="s">
        <v>1494</v>
      </c>
      <c r="B1324" s="113"/>
      <c r="C1324" s="30" t="s">
        <v>2761</v>
      </c>
      <c r="D1324" s="31">
        <v>22108</v>
      </c>
      <c r="E1324" s="30">
        <v>1090616</v>
      </c>
      <c r="F1324" s="30">
        <f t="shared" ca="1" si="130"/>
        <v>66</v>
      </c>
      <c r="G1324" s="30" t="s">
        <v>2762</v>
      </c>
      <c r="H1324" s="30"/>
      <c r="I1324" s="8"/>
      <c r="J1324" s="1"/>
      <c r="K1324" s="1"/>
      <c r="L1324" s="8"/>
      <c r="M1324" s="8"/>
      <c r="N1324" s="8"/>
      <c r="O1324" s="8"/>
      <c r="P1324" s="9"/>
      <c r="Q1324" s="3"/>
      <c r="R1324" s="8"/>
    </row>
    <row r="1325" spans="1:18" x14ac:dyDescent="0.3">
      <c r="A1325" s="400" t="s">
        <v>2239</v>
      </c>
      <c r="B1325" s="123"/>
      <c r="C1325" s="18" t="s">
        <v>609</v>
      </c>
      <c r="D1325" s="19">
        <v>22327</v>
      </c>
      <c r="E1325" s="18">
        <v>1011815</v>
      </c>
      <c r="F1325" s="18">
        <f t="shared" ca="1" si="130"/>
        <v>65</v>
      </c>
      <c r="G1325" s="18" t="s">
        <v>2763</v>
      </c>
      <c r="H1325" s="18"/>
      <c r="I1325" s="8"/>
      <c r="J1325" s="1"/>
      <c r="K1325" s="1"/>
      <c r="L1325" s="8"/>
      <c r="M1325" s="8"/>
      <c r="N1325" s="8"/>
      <c r="O1325" s="8"/>
      <c r="P1325" s="9"/>
      <c r="Q1325" s="3"/>
      <c r="R1325" s="8"/>
    </row>
    <row r="1326" spans="1:18" x14ac:dyDescent="0.3">
      <c r="A1326" s="468"/>
      <c r="B1326" s="123"/>
      <c r="C1326" s="18" t="s">
        <v>2243</v>
      </c>
      <c r="D1326" s="19">
        <v>22060</v>
      </c>
      <c r="E1326" s="18">
        <v>2408711</v>
      </c>
      <c r="F1326" s="18">
        <f t="shared" ca="1" si="130"/>
        <v>66</v>
      </c>
      <c r="G1326" s="18" t="s">
        <v>2244</v>
      </c>
      <c r="H1326" s="18"/>
      <c r="I1326" s="8"/>
      <c r="J1326" s="1"/>
      <c r="K1326" s="1"/>
      <c r="L1326" s="8"/>
      <c r="M1326" s="8"/>
      <c r="N1326" s="8"/>
      <c r="O1326" s="8"/>
      <c r="P1326" s="9"/>
      <c r="Q1326" s="3"/>
      <c r="R1326" s="8"/>
    </row>
    <row r="1327" spans="1:18" x14ac:dyDescent="0.3">
      <c r="A1327" s="394" t="s">
        <v>2764</v>
      </c>
      <c r="B1327" s="120"/>
      <c r="C1327" s="36" t="s">
        <v>2765</v>
      </c>
      <c r="D1327" s="37">
        <v>33643</v>
      </c>
      <c r="E1327" s="36">
        <v>1187511</v>
      </c>
      <c r="F1327" s="36">
        <f t="shared" ref="F1327:F1334" ca="1" si="131">YEAR(TODAY())-YEAR(D1327)</f>
        <v>34</v>
      </c>
      <c r="G1327" s="36" t="s">
        <v>2766</v>
      </c>
      <c r="H1327" s="36"/>
      <c r="I1327" s="8"/>
      <c r="J1327" s="1"/>
      <c r="K1327" s="1"/>
      <c r="L1327" s="8"/>
      <c r="M1327" s="8"/>
      <c r="N1327" s="8"/>
      <c r="O1327" s="8"/>
      <c r="P1327" s="9"/>
      <c r="Q1327" s="3"/>
      <c r="R1327" s="8"/>
    </row>
    <row r="1328" spans="1:18" x14ac:dyDescent="0.3">
      <c r="A1328" s="401"/>
      <c r="B1328" s="120"/>
      <c r="C1328" s="36" t="s">
        <v>2767</v>
      </c>
      <c r="D1328" s="37">
        <v>32792</v>
      </c>
      <c r="E1328" s="36"/>
      <c r="F1328" s="36">
        <f t="shared" ca="1" si="131"/>
        <v>37</v>
      </c>
      <c r="G1328" s="36"/>
      <c r="H1328" s="36"/>
      <c r="I1328" s="8"/>
      <c r="J1328" s="1"/>
      <c r="K1328" s="1"/>
      <c r="L1328" s="8"/>
      <c r="M1328" s="8"/>
      <c r="N1328" s="8"/>
      <c r="O1328" s="8"/>
      <c r="P1328" s="9"/>
      <c r="Q1328" s="3"/>
      <c r="R1328" s="8"/>
    </row>
    <row r="1329" spans="1:18" x14ac:dyDescent="0.3">
      <c r="A1329" s="401"/>
      <c r="B1329" s="120"/>
      <c r="C1329" s="36" t="s">
        <v>2768</v>
      </c>
      <c r="D1329" s="37"/>
      <c r="E1329" s="36"/>
      <c r="F1329" s="36">
        <f ca="1">YEAR(TODAY())-YEAR(D1329)</f>
        <v>126</v>
      </c>
      <c r="G1329" s="36"/>
      <c r="H1329" s="36"/>
      <c r="I1329" s="8"/>
      <c r="J1329" s="1"/>
      <c r="K1329" s="1"/>
      <c r="L1329" s="8"/>
      <c r="M1329" s="8"/>
      <c r="N1329" s="8"/>
      <c r="O1329" s="8"/>
      <c r="P1329" s="9"/>
      <c r="Q1329" s="3"/>
      <c r="R1329" s="8"/>
    </row>
    <row r="1330" spans="1:18" x14ac:dyDescent="0.3">
      <c r="A1330" s="401"/>
      <c r="B1330" s="120"/>
      <c r="C1330" s="36" t="s">
        <v>2769</v>
      </c>
      <c r="D1330" s="37">
        <v>23816</v>
      </c>
      <c r="E1330" s="36"/>
      <c r="F1330" s="36">
        <f ca="1">YEAR(TODAY())-YEAR(D1330)</f>
        <v>61</v>
      </c>
      <c r="G1330" s="36" t="s">
        <v>2770</v>
      </c>
      <c r="H1330" s="36"/>
      <c r="I1330" s="8"/>
      <c r="J1330" s="1"/>
      <c r="K1330" s="1"/>
      <c r="L1330" s="8"/>
      <c r="M1330" s="8"/>
      <c r="N1330" s="8"/>
      <c r="O1330" s="8"/>
      <c r="P1330" s="9"/>
      <c r="Q1330" s="3"/>
      <c r="R1330" s="8"/>
    </row>
    <row r="1331" spans="1:18" x14ac:dyDescent="0.3">
      <c r="A1331" s="182" t="s">
        <v>2771</v>
      </c>
      <c r="B1331" s="109"/>
      <c r="C1331" s="1" t="s">
        <v>2772</v>
      </c>
      <c r="D1331" s="2"/>
      <c r="E1331" s="1"/>
      <c r="F1331" s="1">
        <f ca="1">YEAR(TODAY())-YEAR(D1331)</f>
        <v>126</v>
      </c>
      <c r="G1331" s="1" t="s">
        <v>2773</v>
      </c>
      <c r="H1331" s="1"/>
      <c r="I1331" s="8"/>
      <c r="J1331" s="1"/>
      <c r="K1331" s="1"/>
      <c r="L1331" s="8"/>
      <c r="M1331" s="8"/>
      <c r="N1331" s="8"/>
      <c r="O1331" s="8"/>
      <c r="P1331" s="9"/>
      <c r="Q1331" s="3"/>
      <c r="R1331" s="8"/>
    </row>
    <row r="1332" spans="1:18" x14ac:dyDescent="0.3">
      <c r="A1332" s="184" t="s">
        <v>2774</v>
      </c>
      <c r="B1332" s="121"/>
      <c r="C1332" s="27" t="s">
        <v>2775</v>
      </c>
      <c r="D1332" s="28">
        <v>25695</v>
      </c>
      <c r="E1332" s="27">
        <v>1547529</v>
      </c>
      <c r="F1332" s="27">
        <f t="shared" ca="1" si="131"/>
        <v>56</v>
      </c>
      <c r="G1332" s="27" t="s">
        <v>2776</v>
      </c>
      <c r="H1332" s="27"/>
      <c r="I1332" s="8"/>
      <c r="J1332" s="1"/>
      <c r="K1332" s="1"/>
      <c r="L1332" s="8"/>
      <c r="M1332" s="8"/>
      <c r="N1332" s="8"/>
      <c r="O1332" s="8"/>
      <c r="P1332" s="9"/>
      <c r="Q1332" s="3"/>
      <c r="R1332" s="8"/>
    </row>
    <row r="1333" spans="1:18" x14ac:dyDescent="0.3">
      <c r="A1333" s="388" t="s">
        <v>2777</v>
      </c>
      <c r="B1333" s="111"/>
      <c r="C1333" s="33" t="s">
        <v>2778</v>
      </c>
      <c r="D1333" s="34"/>
      <c r="E1333" s="33"/>
      <c r="F1333" s="33">
        <f t="shared" ca="1" si="131"/>
        <v>126</v>
      </c>
      <c r="G1333" s="33"/>
      <c r="H1333" s="33"/>
      <c r="I1333" s="8"/>
      <c r="J1333" s="1"/>
      <c r="K1333" s="1"/>
      <c r="L1333" s="8"/>
      <c r="M1333" s="8"/>
      <c r="N1333" s="8"/>
      <c r="O1333" s="8"/>
      <c r="P1333" s="9"/>
      <c r="Q1333" s="3"/>
      <c r="R1333" s="8"/>
    </row>
    <row r="1334" spans="1:18" x14ac:dyDescent="0.3">
      <c r="A1334" s="389"/>
      <c r="B1334" s="111"/>
      <c r="C1334" s="33" t="s">
        <v>2779</v>
      </c>
      <c r="D1334" s="34"/>
      <c r="E1334" s="33"/>
      <c r="F1334" s="33">
        <f t="shared" ca="1" si="131"/>
        <v>126</v>
      </c>
      <c r="G1334" s="33" t="s">
        <v>2780</v>
      </c>
      <c r="H1334" s="33"/>
      <c r="I1334" s="8"/>
      <c r="J1334" s="1"/>
      <c r="K1334" s="1"/>
      <c r="L1334" s="8"/>
      <c r="M1334" s="8"/>
      <c r="N1334" s="8"/>
      <c r="O1334" s="8"/>
      <c r="P1334" s="9"/>
      <c r="Q1334" s="3"/>
      <c r="R1334" s="8"/>
    </row>
    <row r="1335" spans="1:18" x14ac:dyDescent="0.3">
      <c r="B1335" s="109"/>
      <c r="C1335" s="1" t="s">
        <v>2781</v>
      </c>
      <c r="D1335" s="2">
        <v>44701</v>
      </c>
      <c r="E1335" s="1">
        <v>3456634</v>
      </c>
      <c r="F1335" s="1">
        <f t="shared" ref="F1335:F1341" ca="1" si="132">YEAR(TODAY())-YEAR(D1335)</f>
        <v>4</v>
      </c>
      <c r="G1335" s="1"/>
      <c r="H1335" s="1"/>
      <c r="I1335" s="8"/>
      <c r="J1335" s="1"/>
      <c r="K1335" s="1"/>
      <c r="L1335" s="8"/>
      <c r="M1335" s="8"/>
      <c r="N1335" s="8"/>
      <c r="O1335" s="8"/>
      <c r="P1335" s="9"/>
      <c r="Q1335" s="3"/>
      <c r="R1335" s="8"/>
    </row>
    <row r="1336" spans="1:18" x14ac:dyDescent="0.3">
      <c r="A1336" s="420" t="s">
        <v>2782</v>
      </c>
      <c r="B1336" s="121"/>
      <c r="C1336" s="27" t="s">
        <v>2783</v>
      </c>
      <c r="D1336" s="28">
        <v>29535</v>
      </c>
      <c r="E1336" s="27">
        <v>2382921</v>
      </c>
      <c r="F1336" s="27">
        <f t="shared" ca="1" si="132"/>
        <v>46</v>
      </c>
      <c r="G1336" s="27" t="s">
        <v>2784</v>
      </c>
      <c r="H1336" s="27"/>
      <c r="I1336" s="8"/>
      <c r="J1336" s="1"/>
      <c r="K1336" s="1"/>
      <c r="L1336" s="8"/>
      <c r="M1336" s="8"/>
      <c r="N1336" s="8"/>
      <c r="O1336" s="8"/>
      <c r="P1336" s="9"/>
      <c r="Q1336" s="3"/>
      <c r="R1336" s="8"/>
    </row>
    <row r="1337" spans="1:18" x14ac:dyDescent="0.3">
      <c r="A1337" s="420"/>
      <c r="B1337" s="121"/>
      <c r="C1337" s="27" t="s">
        <v>1099</v>
      </c>
      <c r="D1337" s="28"/>
      <c r="E1337" s="27"/>
      <c r="F1337" s="27">
        <f t="shared" ca="1" si="132"/>
        <v>126</v>
      </c>
      <c r="G1337" s="27"/>
      <c r="H1337" s="27"/>
      <c r="I1337" s="8"/>
      <c r="J1337" s="1"/>
      <c r="K1337" s="1"/>
      <c r="L1337" s="8"/>
      <c r="M1337" s="8"/>
      <c r="N1337" s="8"/>
      <c r="O1337" s="8"/>
      <c r="P1337" s="9"/>
      <c r="Q1337" s="3"/>
      <c r="R1337" s="8"/>
    </row>
    <row r="1338" spans="1:18" x14ac:dyDescent="0.3">
      <c r="A1338" s="420" t="s">
        <v>2785</v>
      </c>
      <c r="B1338" s="121"/>
      <c r="C1338" s="27" t="s">
        <v>2786</v>
      </c>
      <c r="D1338" s="159"/>
      <c r="E1338" s="160"/>
      <c r="F1338" s="160">
        <f t="shared" ca="1" si="132"/>
        <v>126</v>
      </c>
      <c r="G1338" s="160" t="s">
        <v>2787</v>
      </c>
      <c r="H1338" s="160"/>
      <c r="I1338" s="8"/>
      <c r="J1338" s="1"/>
      <c r="K1338" s="1"/>
      <c r="L1338" s="8"/>
      <c r="M1338" s="8"/>
      <c r="N1338" s="8"/>
      <c r="O1338" s="8"/>
      <c r="P1338" s="9"/>
      <c r="Q1338" s="3"/>
      <c r="R1338" s="8"/>
    </row>
    <row r="1339" spans="1:18" x14ac:dyDescent="0.3">
      <c r="A1339" s="421"/>
      <c r="B1339" s="121"/>
      <c r="C1339" s="160" t="s">
        <v>2788</v>
      </c>
      <c r="D1339" s="159">
        <v>29770</v>
      </c>
      <c r="E1339" s="160">
        <v>2915213</v>
      </c>
      <c r="F1339" s="160">
        <f t="shared" ca="1" si="132"/>
        <v>45</v>
      </c>
      <c r="G1339" s="160"/>
      <c r="H1339" s="160"/>
      <c r="I1339" s="8"/>
      <c r="J1339" s="1"/>
      <c r="K1339" s="1"/>
      <c r="L1339" s="8"/>
      <c r="M1339" s="8"/>
      <c r="N1339" s="8"/>
      <c r="O1339" s="8"/>
      <c r="P1339" s="9"/>
      <c r="Q1339" s="3"/>
      <c r="R1339" s="8"/>
    </row>
    <row r="1340" spans="1:18" x14ac:dyDescent="0.3">
      <c r="A1340" s="182" t="s">
        <v>2789</v>
      </c>
      <c r="B1340" s="109"/>
      <c r="C1340" s="1" t="s">
        <v>2790</v>
      </c>
      <c r="D1340" s="2">
        <v>32428</v>
      </c>
      <c r="E1340" s="1">
        <v>2081411</v>
      </c>
      <c r="F1340" s="1">
        <f t="shared" ca="1" si="132"/>
        <v>38</v>
      </c>
      <c r="G1340" s="1" t="s">
        <v>2791</v>
      </c>
      <c r="H1340" s="1"/>
      <c r="I1340" s="8" t="s">
        <v>2676</v>
      </c>
      <c r="J1340" s="1"/>
      <c r="K1340" s="1"/>
      <c r="L1340" s="8"/>
      <c r="M1340" s="8"/>
      <c r="N1340" s="8"/>
      <c r="O1340" s="8"/>
      <c r="P1340" s="9"/>
      <c r="Q1340" s="3"/>
      <c r="R1340" s="8"/>
    </row>
    <row r="1341" spans="1:18" x14ac:dyDescent="0.3">
      <c r="A1341" s="183" t="s">
        <v>2792</v>
      </c>
      <c r="B1341" s="113"/>
      <c r="C1341" s="30" t="s">
        <v>2793</v>
      </c>
      <c r="D1341" s="31">
        <v>39191</v>
      </c>
      <c r="E1341" s="30">
        <v>4852210</v>
      </c>
      <c r="F1341" s="30">
        <f t="shared" ca="1" si="132"/>
        <v>19</v>
      </c>
      <c r="G1341" s="30"/>
      <c r="H1341" s="30"/>
      <c r="I1341" s="8"/>
      <c r="J1341" s="1"/>
      <c r="K1341" s="1"/>
      <c r="L1341" s="8"/>
      <c r="M1341" s="8"/>
      <c r="N1341" s="8"/>
      <c r="O1341" s="8"/>
      <c r="P1341" s="9"/>
      <c r="Q1341" s="3"/>
      <c r="R1341" s="8"/>
    </row>
    <row r="1342" spans="1:18" x14ac:dyDescent="0.3">
      <c r="B1342" s="109"/>
      <c r="C1342" s="1" t="s">
        <v>2794</v>
      </c>
      <c r="D1342" s="2"/>
      <c r="E1342" s="1"/>
      <c r="F1342" s="1">
        <f t="shared" ref="F1342" ca="1" si="133">YEAR(TODAY())-YEAR(D1342)</f>
        <v>126</v>
      </c>
      <c r="G1342" s="1"/>
      <c r="H1342" s="1"/>
      <c r="I1342" s="8"/>
      <c r="J1342" s="1"/>
      <c r="K1342" s="1"/>
      <c r="L1342" s="8"/>
      <c r="M1342" s="8"/>
      <c r="N1342" s="8"/>
      <c r="O1342" s="8"/>
      <c r="P1342" s="9"/>
      <c r="Q1342" s="3"/>
      <c r="R1342" s="8"/>
    </row>
    <row r="1343" spans="1:18" x14ac:dyDescent="0.3">
      <c r="A1343" s="439" t="s">
        <v>2795</v>
      </c>
      <c r="B1343" s="124"/>
      <c r="C1343" s="40" t="s">
        <v>2796</v>
      </c>
      <c r="D1343" s="41">
        <v>35379</v>
      </c>
      <c r="E1343" s="40">
        <v>1476619</v>
      </c>
      <c r="F1343" s="40">
        <f t="shared" ref="F1343:F1346" ca="1" si="134">YEAR(TODAY())-YEAR(D1343)</f>
        <v>30</v>
      </c>
      <c r="G1343" s="40"/>
      <c r="H1343" s="40"/>
      <c r="I1343" s="8"/>
      <c r="J1343" s="1"/>
      <c r="K1343" s="1"/>
      <c r="L1343" s="8"/>
      <c r="M1343" s="8"/>
      <c r="N1343" s="8"/>
      <c r="O1343" s="8"/>
      <c r="P1343" s="9"/>
      <c r="Q1343" s="3"/>
      <c r="R1343" s="8"/>
    </row>
    <row r="1344" spans="1:18" x14ac:dyDescent="0.3">
      <c r="A1344" s="440"/>
      <c r="B1344" s="124"/>
      <c r="C1344" s="40" t="s">
        <v>2797</v>
      </c>
      <c r="D1344" s="41">
        <v>25515</v>
      </c>
      <c r="E1344" s="40">
        <v>2411811</v>
      </c>
      <c r="F1344" s="40">
        <f t="shared" ca="1" si="134"/>
        <v>57</v>
      </c>
      <c r="G1344" s="40" t="s">
        <v>2798</v>
      </c>
      <c r="H1344" s="40"/>
      <c r="I1344" s="8" t="s">
        <v>2676</v>
      </c>
      <c r="J1344" s="1"/>
      <c r="K1344" s="1"/>
      <c r="L1344" s="8"/>
      <c r="M1344" s="8"/>
      <c r="N1344" s="8"/>
      <c r="O1344" s="8"/>
      <c r="P1344" s="9"/>
      <c r="Q1344" s="3"/>
      <c r="R1344" s="8"/>
    </row>
    <row r="1345" spans="1:18" x14ac:dyDescent="0.3">
      <c r="B1345" s="109"/>
      <c r="C1345" s="1" t="s">
        <v>2799</v>
      </c>
      <c r="D1345" s="2"/>
      <c r="E1345" s="1"/>
      <c r="F1345" s="1">
        <f t="shared" ca="1" si="134"/>
        <v>126</v>
      </c>
      <c r="G1345" s="1"/>
      <c r="H1345" s="1"/>
      <c r="I1345" s="8"/>
      <c r="J1345" s="1"/>
      <c r="K1345" s="1"/>
      <c r="L1345" s="8"/>
      <c r="M1345" s="8"/>
      <c r="N1345" s="8"/>
      <c r="O1345" s="8"/>
      <c r="P1345" s="9"/>
      <c r="Q1345" s="3"/>
      <c r="R1345" s="8"/>
    </row>
    <row r="1346" spans="1:18" x14ac:dyDescent="0.3">
      <c r="B1346" s="109"/>
      <c r="C1346" s="1" t="s">
        <v>2800</v>
      </c>
      <c r="D1346" s="2"/>
      <c r="E1346" s="1"/>
      <c r="F1346" s="1">
        <f t="shared" ca="1" si="134"/>
        <v>126</v>
      </c>
      <c r="G1346" s="1"/>
      <c r="H1346" s="1"/>
      <c r="I1346" s="8"/>
      <c r="J1346" s="1"/>
      <c r="K1346" s="1"/>
      <c r="L1346" s="8"/>
      <c r="M1346" s="8"/>
      <c r="N1346" s="8"/>
      <c r="O1346" s="8"/>
      <c r="P1346" s="9"/>
      <c r="Q1346" s="3"/>
      <c r="R1346" s="8"/>
    </row>
    <row r="1347" spans="1:18" x14ac:dyDescent="0.3">
      <c r="A1347" s="182" t="s">
        <v>2801</v>
      </c>
      <c r="B1347" s="109"/>
      <c r="C1347" s="1" t="s">
        <v>2802</v>
      </c>
      <c r="D1347" s="2">
        <v>26860</v>
      </c>
      <c r="E1347" s="1">
        <v>2472416</v>
      </c>
      <c r="F1347" s="1">
        <f t="shared" ref="F1347:F1351" ca="1" si="135">YEAR(TODAY())-YEAR(D1347)</f>
        <v>53</v>
      </c>
      <c r="G1347" s="1" t="s">
        <v>2803</v>
      </c>
      <c r="H1347" s="1"/>
      <c r="I1347" s="8" t="s">
        <v>2676</v>
      </c>
      <c r="J1347" s="1"/>
      <c r="K1347" s="1"/>
      <c r="L1347" s="8"/>
      <c r="M1347" s="8"/>
      <c r="N1347" s="8"/>
      <c r="O1347" s="8"/>
      <c r="P1347" s="9"/>
      <c r="Q1347" s="3"/>
      <c r="R1347" s="8"/>
    </row>
    <row r="1348" spans="1:18" x14ac:dyDescent="0.3">
      <c r="A1348" s="182" t="s">
        <v>2437</v>
      </c>
      <c r="B1348" s="109"/>
      <c r="C1348" s="1" t="s">
        <v>2804</v>
      </c>
      <c r="D1348" s="2">
        <v>32595</v>
      </c>
      <c r="E1348" s="1">
        <v>2178612</v>
      </c>
      <c r="F1348" s="1">
        <f t="shared" ca="1" si="135"/>
        <v>37</v>
      </c>
      <c r="G1348" s="1" t="s">
        <v>2805</v>
      </c>
      <c r="H1348" s="1"/>
      <c r="I1348" s="8" t="s">
        <v>2676</v>
      </c>
      <c r="J1348" s="1"/>
      <c r="K1348" s="1"/>
      <c r="L1348" s="8"/>
      <c r="M1348" s="8"/>
      <c r="N1348" s="8"/>
      <c r="O1348" s="8"/>
      <c r="P1348" s="9"/>
      <c r="Q1348" s="3"/>
      <c r="R1348" s="8"/>
    </row>
    <row r="1349" spans="1:18" x14ac:dyDescent="0.3">
      <c r="A1349" s="404" t="s">
        <v>2806</v>
      </c>
      <c r="B1349" s="111"/>
      <c r="C1349" s="33" t="s">
        <v>2807</v>
      </c>
      <c r="D1349" s="34">
        <v>28834</v>
      </c>
      <c r="E1349" s="33">
        <v>2817514</v>
      </c>
      <c r="F1349" s="33">
        <f t="shared" ca="1" si="135"/>
        <v>48</v>
      </c>
      <c r="G1349" s="33"/>
      <c r="H1349" s="33"/>
      <c r="I1349" s="8"/>
      <c r="J1349" s="1"/>
      <c r="K1349" s="1"/>
      <c r="L1349" s="8"/>
      <c r="M1349" s="8"/>
      <c r="N1349" s="8"/>
      <c r="O1349" s="8"/>
      <c r="P1349" s="9"/>
      <c r="Q1349" s="3"/>
      <c r="R1349" s="8"/>
    </row>
    <row r="1350" spans="1:18" x14ac:dyDescent="0.3">
      <c r="A1350" s="454"/>
      <c r="B1350" s="111"/>
      <c r="C1350" s="33" t="s">
        <v>2808</v>
      </c>
      <c r="D1350" s="34">
        <v>38835</v>
      </c>
      <c r="E1350" s="33">
        <v>3469212</v>
      </c>
      <c r="F1350" s="33">
        <f t="shared" ca="1" si="135"/>
        <v>20</v>
      </c>
      <c r="G1350" s="33"/>
      <c r="H1350" s="33"/>
      <c r="I1350" s="8"/>
      <c r="J1350" s="1"/>
      <c r="K1350" s="1"/>
      <c r="L1350" s="8"/>
      <c r="M1350" s="8"/>
      <c r="N1350" s="8"/>
      <c r="O1350" s="8"/>
      <c r="P1350" s="9"/>
      <c r="Q1350" s="3"/>
      <c r="R1350" s="8"/>
    </row>
    <row r="1351" spans="1:18" x14ac:dyDescent="0.3">
      <c r="A1351" s="453"/>
      <c r="B1351" s="111"/>
      <c r="C1351" s="33" t="s">
        <v>2809</v>
      </c>
      <c r="D1351" s="34">
        <v>39416</v>
      </c>
      <c r="E1351" s="33">
        <v>3469215</v>
      </c>
      <c r="F1351" s="33">
        <f t="shared" ca="1" si="135"/>
        <v>19</v>
      </c>
      <c r="G1351" s="33"/>
      <c r="H1351" s="33"/>
      <c r="I1351" s="8"/>
      <c r="J1351" s="1"/>
      <c r="K1351" s="1"/>
      <c r="L1351" s="8"/>
      <c r="M1351" s="8"/>
      <c r="N1351" s="8"/>
      <c r="O1351" s="8"/>
      <c r="P1351" s="9"/>
      <c r="Q1351" s="3"/>
      <c r="R1351" s="8"/>
    </row>
    <row r="1352" spans="1:18" x14ac:dyDescent="0.3">
      <c r="A1352" s="455" t="s">
        <v>2810</v>
      </c>
      <c r="B1352" s="123"/>
      <c r="C1352" s="18" t="s">
        <v>2811</v>
      </c>
      <c r="D1352" s="19">
        <v>18402</v>
      </c>
      <c r="E1352" s="18">
        <v>1</v>
      </c>
      <c r="F1352" s="18">
        <f t="shared" ref="F1352:F1359" ca="1" si="136">YEAR(TODAY())-YEAR(D1352)</f>
        <v>76</v>
      </c>
      <c r="G1352" s="18"/>
      <c r="H1352" s="18"/>
      <c r="I1352" s="8"/>
      <c r="J1352" s="1"/>
      <c r="K1352" s="1"/>
      <c r="L1352" s="8"/>
      <c r="M1352" s="8"/>
      <c r="N1352" s="8"/>
      <c r="O1352" s="8"/>
      <c r="P1352" s="9"/>
      <c r="Q1352" s="3"/>
      <c r="R1352" s="8"/>
    </row>
    <row r="1353" spans="1:18" x14ac:dyDescent="0.3">
      <c r="A1353" s="457"/>
      <c r="B1353" s="123"/>
      <c r="C1353" s="18" t="s">
        <v>2812</v>
      </c>
      <c r="D1353" s="19">
        <v>18901</v>
      </c>
      <c r="E1353" s="18">
        <v>2</v>
      </c>
      <c r="F1353" s="18">
        <f t="shared" ca="1" si="136"/>
        <v>75</v>
      </c>
      <c r="G1353" s="18"/>
      <c r="H1353" s="18"/>
      <c r="I1353" s="8"/>
      <c r="J1353" s="1"/>
      <c r="K1353" s="1"/>
      <c r="L1353" s="8"/>
      <c r="M1353" s="8"/>
      <c r="N1353" s="8"/>
      <c r="O1353" s="8"/>
      <c r="P1353" s="9"/>
      <c r="Q1353" s="3"/>
      <c r="R1353" s="8"/>
    </row>
    <row r="1354" spans="1:18" x14ac:dyDescent="0.3">
      <c r="A1354" s="390" t="s">
        <v>2813</v>
      </c>
      <c r="B1354" s="120"/>
      <c r="C1354" s="36" t="s">
        <v>2814</v>
      </c>
      <c r="D1354" s="37"/>
      <c r="E1354" s="36"/>
      <c r="F1354" s="36">
        <f t="shared" ca="1" si="136"/>
        <v>126</v>
      </c>
      <c r="G1354" s="36"/>
      <c r="H1354" s="36"/>
      <c r="I1354" s="8"/>
      <c r="J1354" s="1"/>
      <c r="K1354" s="1"/>
      <c r="L1354" s="8"/>
      <c r="M1354" s="8"/>
      <c r="N1354" s="8"/>
      <c r="O1354" s="8"/>
      <c r="P1354" s="9"/>
      <c r="Q1354" s="3"/>
      <c r="R1354" s="8"/>
    </row>
    <row r="1355" spans="1:18" x14ac:dyDescent="0.3">
      <c r="A1355" s="458"/>
      <c r="B1355" s="120"/>
      <c r="C1355" s="36" t="s">
        <v>2815</v>
      </c>
      <c r="D1355" s="37"/>
      <c r="E1355" s="36"/>
      <c r="F1355" s="36">
        <f t="shared" ca="1" si="136"/>
        <v>126</v>
      </c>
      <c r="G1355" s="36"/>
      <c r="H1355" s="36"/>
      <c r="I1355" s="8"/>
      <c r="J1355" s="1"/>
      <c r="K1355" s="1"/>
      <c r="L1355" s="8"/>
      <c r="M1355" s="8"/>
      <c r="N1355" s="8"/>
      <c r="O1355" s="8"/>
      <c r="P1355" s="9"/>
      <c r="Q1355" s="3"/>
      <c r="R1355" s="8"/>
    </row>
    <row r="1356" spans="1:18" x14ac:dyDescent="0.3">
      <c r="A1356" s="391"/>
      <c r="B1356" s="120"/>
      <c r="C1356" s="36" t="s">
        <v>2816</v>
      </c>
      <c r="D1356" s="37"/>
      <c r="E1356" s="36"/>
      <c r="F1356" s="36">
        <f t="shared" ca="1" si="136"/>
        <v>126</v>
      </c>
      <c r="G1356" s="36"/>
      <c r="H1356" s="36"/>
      <c r="I1356" s="8"/>
      <c r="J1356" s="1"/>
      <c r="K1356" s="1"/>
      <c r="L1356" s="8"/>
      <c r="M1356" s="8"/>
      <c r="N1356" s="8"/>
      <c r="O1356" s="8"/>
      <c r="P1356" s="9"/>
      <c r="Q1356" s="3"/>
      <c r="R1356" s="8"/>
    </row>
    <row r="1357" spans="1:18" x14ac:dyDescent="0.3">
      <c r="A1357" s="182" t="s">
        <v>2817</v>
      </c>
      <c r="B1357" s="109"/>
      <c r="C1357" s="1" t="s">
        <v>2818</v>
      </c>
      <c r="D1357" s="2">
        <v>30960</v>
      </c>
      <c r="E1357" s="1">
        <v>2047911</v>
      </c>
      <c r="F1357" s="1">
        <f t="shared" ca="1" si="136"/>
        <v>42</v>
      </c>
      <c r="G1357" s="1" t="s">
        <v>2819</v>
      </c>
      <c r="H1357" s="1"/>
      <c r="I1357" s="8" t="s">
        <v>2676</v>
      </c>
      <c r="J1357" s="1"/>
      <c r="K1357" s="1"/>
      <c r="L1357" s="8"/>
      <c r="M1357" s="8"/>
      <c r="N1357" s="8"/>
      <c r="O1357" s="8"/>
      <c r="P1357" s="9"/>
      <c r="Q1357" s="3"/>
      <c r="R1357" s="8"/>
    </row>
    <row r="1358" spans="1:18" x14ac:dyDescent="0.3">
      <c r="A1358" s="229"/>
      <c r="B1358" s="121"/>
      <c r="C1358" s="27" t="s">
        <v>1732</v>
      </c>
      <c r="D1358" s="28">
        <v>32331</v>
      </c>
      <c r="E1358" s="27">
        <v>2458517</v>
      </c>
      <c r="F1358" s="27">
        <f t="shared" ca="1" si="136"/>
        <v>38</v>
      </c>
      <c r="G1358" s="27" t="s">
        <v>1733</v>
      </c>
      <c r="H1358" s="27"/>
      <c r="I1358" s="8" t="s">
        <v>2676</v>
      </c>
      <c r="J1358" s="1"/>
      <c r="K1358" s="1"/>
      <c r="L1358" s="8"/>
      <c r="M1358" s="8"/>
      <c r="N1358" s="8"/>
      <c r="O1358" s="8"/>
      <c r="P1358" s="9"/>
      <c r="Q1358" s="3"/>
      <c r="R1358" s="8"/>
    </row>
    <row r="1359" spans="1:18" x14ac:dyDescent="0.3">
      <c r="B1359" s="109"/>
      <c r="C1359" s="1" t="s">
        <v>2752</v>
      </c>
      <c r="D1359" s="2">
        <v>44375</v>
      </c>
      <c r="E1359" s="1">
        <v>3942135</v>
      </c>
      <c r="F1359" s="1">
        <f t="shared" ca="1" si="136"/>
        <v>5</v>
      </c>
      <c r="G1359" s="1"/>
      <c r="H1359" s="1"/>
      <c r="I1359" s="8"/>
      <c r="J1359" s="1"/>
      <c r="K1359" s="1"/>
      <c r="L1359" s="8"/>
      <c r="M1359" s="8"/>
      <c r="N1359" s="8"/>
      <c r="O1359" s="8"/>
      <c r="P1359" s="9"/>
      <c r="Q1359" s="3"/>
      <c r="R1359" s="8"/>
    </row>
    <row r="1360" spans="1:18" x14ac:dyDescent="0.3">
      <c r="A1360" s="182" t="s">
        <v>2820</v>
      </c>
      <c r="B1360" s="109"/>
      <c r="C1360" s="1" t="s">
        <v>2821</v>
      </c>
      <c r="D1360" s="2">
        <v>32379</v>
      </c>
      <c r="E1360" s="1">
        <v>2224812</v>
      </c>
      <c r="F1360" s="1">
        <f t="shared" ref="F1360:F1361" ca="1" si="137">YEAR(TODAY())-YEAR(D1360)</f>
        <v>38</v>
      </c>
      <c r="G1360" s="1" t="s">
        <v>2822</v>
      </c>
      <c r="H1360" s="1"/>
      <c r="I1360" s="8" t="s">
        <v>2676</v>
      </c>
      <c r="J1360" s="1"/>
      <c r="K1360" s="1"/>
      <c r="L1360" s="8"/>
      <c r="M1360" s="8"/>
      <c r="N1360" s="8"/>
      <c r="O1360" s="8"/>
      <c r="P1360" s="9"/>
      <c r="Q1360" s="3"/>
      <c r="R1360" s="8"/>
    </row>
    <row r="1361" spans="1:18" x14ac:dyDescent="0.3">
      <c r="A1361" s="182" t="s">
        <v>2823</v>
      </c>
      <c r="B1361" s="109"/>
      <c r="C1361" s="1" t="s">
        <v>2824</v>
      </c>
      <c r="D1361" s="2">
        <v>26682</v>
      </c>
      <c r="E1361" s="1">
        <v>1634422</v>
      </c>
      <c r="F1361" s="1">
        <f t="shared" ca="1" si="137"/>
        <v>53</v>
      </c>
      <c r="G1361" s="1" t="s">
        <v>2825</v>
      </c>
      <c r="H1361" s="1"/>
      <c r="I1361" s="8" t="s">
        <v>2676</v>
      </c>
      <c r="J1361" s="1"/>
      <c r="K1361" s="1"/>
      <c r="L1361" s="8"/>
      <c r="M1361" s="8"/>
      <c r="N1361" s="8"/>
      <c r="O1361" s="8"/>
      <c r="P1361" s="9"/>
      <c r="Q1361" s="3"/>
      <c r="R1361" s="8"/>
    </row>
    <row r="1362" spans="1:18" x14ac:dyDescent="0.3">
      <c r="A1362" s="182" t="s">
        <v>2474</v>
      </c>
      <c r="B1362" s="109"/>
      <c r="C1362" s="1" t="s">
        <v>2826</v>
      </c>
      <c r="D1362" s="2">
        <v>33968</v>
      </c>
      <c r="E1362" s="1">
        <v>2013011</v>
      </c>
      <c r="F1362" s="1">
        <f t="shared" ref="F1362:F1374" ca="1" si="138">YEAR(TODAY())-YEAR(D1362)</f>
        <v>34</v>
      </c>
      <c r="G1362" s="1" t="s">
        <v>2827</v>
      </c>
      <c r="H1362" s="1"/>
      <c r="I1362" s="8" t="s">
        <v>2676</v>
      </c>
      <c r="J1362" s="1"/>
      <c r="K1362" s="1"/>
      <c r="L1362" s="8"/>
      <c r="M1362" s="8"/>
      <c r="N1362" s="8"/>
      <c r="O1362" s="8"/>
      <c r="P1362" s="9"/>
      <c r="Q1362" s="3"/>
      <c r="R1362" s="8"/>
    </row>
    <row r="1363" spans="1:18" x14ac:dyDescent="0.3">
      <c r="A1363" s="455" t="s">
        <v>2049</v>
      </c>
      <c r="B1363" s="123"/>
      <c r="C1363" s="18" t="s">
        <v>184</v>
      </c>
      <c r="D1363" s="19">
        <v>29031</v>
      </c>
      <c r="E1363" s="18">
        <v>2149238</v>
      </c>
      <c r="F1363" s="18">
        <f t="shared" ca="1" si="138"/>
        <v>47</v>
      </c>
      <c r="G1363" s="18" t="s">
        <v>2052</v>
      </c>
      <c r="H1363" s="212"/>
      <c r="I1363" s="8" t="s">
        <v>2676</v>
      </c>
      <c r="J1363" s="1"/>
      <c r="K1363" s="1"/>
      <c r="L1363" s="8"/>
      <c r="M1363" s="8"/>
      <c r="N1363" s="8"/>
      <c r="O1363" s="8"/>
      <c r="P1363" s="9"/>
      <c r="Q1363" s="3"/>
      <c r="R1363" s="8"/>
    </row>
    <row r="1364" spans="1:18" x14ac:dyDescent="0.3">
      <c r="A1364" s="470"/>
      <c r="B1364" s="123"/>
      <c r="C1364" s="18" t="s">
        <v>2054</v>
      </c>
      <c r="D1364" s="19">
        <v>40224</v>
      </c>
      <c r="E1364" s="18">
        <v>3412614</v>
      </c>
      <c r="F1364" s="18">
        <f t="shared" ca="1" si="138"/>
        <v>16</v>
      </c>
      <c r="G1364" s="18"/>
      <c r="H1364" s="18"/>
      <c r="I1364" s="8"/>
      <c r="J1364" s="1"/>
      <c r="K1364" s="1"/>
      <c r="L1364" s="8"/>
      <c r="M1364" s="8"/>
      <c r="N1364" s="8"/>
      <c r="O1364" s="8"/>
      <c r="P1364" s="9"/>
      <c r="Q1364" s="3"/>
      <c r="R1364" s="8"/>
    </row>
    <row r="1365" spans="1:18" x14ac:dyDescent="0.3">
      <c r="A1365" s="182" t="s">
        <v>2828</v>
      </c>
      <c r="B1365" s="109"/>
      <c r="C1365" s="1" t="s">
        <v>2829</v>
      </c>
      <c r="D1365" s="2">
        <v>19777</v>
      </c>
      <c r="E1365" s="1">
        <v>2177617</v>
      </c>
      <c r="F1365" s="1">
        <f t="shared" ca="1" si="138"/>
        <v>72</v>
      </c>
      <c r="G1365" s="1" t="s">
        <v>2830</v>
      </c>
      <c r="H1365" s="1"/>
      <c r="I1365" s="8"/>
      <c r="J1365" s="1"/>
      <c r="K1365" s="1"/>
      <c r="L1365" s="8"/>
      <c r="M1365" s="8"/>
      <c r="N1365" s="8"/>
      <c r="O1365" s="8"/>
      <c r="P1365" s="9"/>
      <c r="Q1365" s="3"/>
      <c r="R1365" s="8"/>
    </row>
    <row r="1366" spans="1:18" x14ac:dyDescent="0.3">
      <c r="A1366" s="182" t="s">
        <v>2831</v>
      </c>
      <c r="B1366" s="109"/>
      <c r="C1366" s="1" t="s">
        <v>2832</v>
      </c>
      <c r="D1366" s="2">
        <v>20135</v>
      </c>
      <c r="E1366" s="1">
        <v>1412010</v>
      </c>
      <c r="F1366" s="1">
        <f t="shared" ca="1" si="138"/>
        <v>71</v>
      </c>
      <c r="G1366" s="1" t="s">
        <v>2833</v>
      </c>
      <c r="H1366" s="1"/>
      <c r="I1366" s="8" t="s">
        <v>2676</v>
      </c>
      <c r="J1366" s="1"/>
      <c r="K1366" s="1"/>
      <c r="L1366" s="8"/>
      <c r="M1366" s="8"/>
      <c r="N1366" s="8"/>
      <c r="O1366" s="8"/>
      <c r="P1366" s="9"/>
      <c r="Q1366" s="3"/>
      <c r="R1366" s="8"/>
    </row>
    <row r="1367" spans="1:18" x14ac:dyDescent="0.3">
      <c r="A1367" s="182" t="s">
        <v>2834</v>
      </c>
      <c r="B1367" s="109"/>
      <c r="C1367" s="1" t="s">
        <v>2835</v>
      </c>
      <c r="D1367" s="2">
        <v>21928</v>
      </c>
      <c r="E1367" s="1">
        <v>1074517</v>
      </c>
      <c r="F1367" s="1">
        <f t="shared" ca="1" si="138"/>
        <v>66</v>
      </c>
      <c r="G1367" s="1" t="s">
        <v>2836</v>
      </c>
      <c r="H1367" s="1"/>
      <c r="I1367" s="8" t="s">
        <v>2676</v>
      </c>
      <c r="J1367" s="1"/>
      <c r="K1367" s="1"/>
      <c r="L1367" s="8"/>
      <c r="M1367" s="8"/>
      <c r="N1367" s="8"/>
      <c r="O1367" s="8"/>
      <c r="P1367" s="9"/>
      <c r="Q1367" s="3"/>
      <c r="R1367" s="8"/>
    </row>
    <row r="1368" spans="1:18" x14ac:dyDescent="0.3">
      <c r="A1368" s="182" t="s">
        <v>2837</v>
      </c>
      <c r="B1368" s="109"/>
      <c r="C1368" s="1" t="s">
        <v>2838</v>
      </c>
      <c r="D1368" s="2">
        <v>25016</v>
      </c>
      <c r="E1368" s="1">
        <v>2245414</v>
      </c>
      <c r="F1368" s="1">
        <f t="shared" ca="1" si="138"/>
        <v>58</v>
      </c>
      <c r="G1368" s="1" t="s">
        <v>2839</v>
      </c>
      <c r="H1368" s="1"/>
      <c r="I1368" s="8" t="s">
        <v>2676</v>
      </c>
      <c r="J1368" s="1"/>
      <c r="K1368" s="1"/>
      <c r="L1368" s="8"/>
      <c r="M1368" s="8"/>
      <c r="N1368" s="8"/>
      <c r="O1368" s="8"/>
      <c r="P1368" s="9"/>
      <c r="Q1368" s="3"/>
      <c r="R1368" s="8"/>
    </row>
    <row r="1369" spans="1:18" x14ac:dyDescent="0.3">
      <c r="A1369" s="398" t="s">
        <v>1808</v>
      </c>
      <c r="B1369" s="121"/>
      <c r="C1369" s="27" t="s">
        <v>2840</v>
      </c>
      <c r="D1369" s="28">
        <v>28095</v>
      </c>
      <c r="E1369" s="27">
        <v>2477916</v>
      </c>
      <c r="F1369" s="27">
        <f t="shared" ca="1" si="138"/>
        <v>50</v>
      </c>
      <c r="G1369" s="27" t="s">
        <v>2841</v>
      </c>
      <c r="H1369" s="27"/>
      <c r="I1369" s="8" t="s">
        <v>2676</v>
      </c>
      <c r="J1369" s="1"/>
      <c r="K1369" s="1"/>
      <c r="L1369" s="8"/>
      <c r="M1369" s="8"/>
      <c r="N1369" s="8"/>
      <c r="O1369" s="8"/>
      <c r="P1369" s="9"/>
      <c r="Q1369" s="3"/>
      <c r="R1369" s="8"/>
    </row>
    <row r="1370" spans="1:18" x14ac:dyDescent="0.3">
      <c r="A1370" s="433"/>
      <c r="B1370" s="121"/>
      <c r="C1370" s="27" t="s">
        <v>691</v>
      </c>
      <c r="D1370" s="28">
        <v>36207</v>
      </c>
      <c r="E1370" s="27">
        <v>2353117</v>
      </c>
      <c r="F1370" s="27">
        <f t="shared" ca="1" si="138"/>
        <v>27</v>
      </c>
      <c r="G1370" s="27" t="s">
        <v>2842</v>
      </c>
      <c r="H1370" s="27"/>
      <c r="I1370" s="8"/>
      <c r="J1370" s="1"/>
      <c r="K1370" s="1"/>
      <c r="L1370" s="8"/>
      <c r="M1370" s="8"/>
      <c r="N1370" s="8"/>
      <c r="O1370" s="8"/>
      <c r="P1370" s="9"/>
      <c r="Q1370" s="3"/>
      <c r="R1370" s="8"/>
    </row>
    <row r="1371" spans="1:18" x14ac:dyDescent="0.3">
      <c r="A1371" s="433"/>
      <c r="B1371" s="121"/>
      <c r="C1371" s="27" t="s">
        <v>2843</v>
      </c>
      <c r="D1371" s="28">
        <v>37027</v>
      </c>
      <c r="E1371" s="27">
        <v>4477911</v>
      </c>
      <c r="F1371" s="27">
        <f t="shared" ca="1" si="138"/>
        <v>25</v>
      </c>
      <c r="G1371" s="27" t="s">
        <v>2844</v>
      </c>
      <c r="H1371" s="27"/>
      <c r="I1371" s="8"/>
      <c r="J1371" s="1"/>
      <c r="K1371" s="1"/>
      <c r="L1371" s="8"/>
      <c r="M1371" s="8"/>
      <c r="N1371" s="8"/>
      <c r="O1371" s="8"/>
      <c r="P1371" s="9"/>
      <c r="Q1371" s="3"/>
      <c r="R1371" s="8"/>
    </row>
    <row r="1372" spans="1:18" x14ac:dyDescent="0.3">
      <c r="A1372" s="379"/>
      <c r="B1372" s="121"/>
      <c r="C1372" s="27" t="s">
        <v>2845</v>
      </c>
      <c r="D1372" s="28">
        <v>39416</v>
      </c>
      <c r="E1372" s="27">
        <v>3477913</v>
      </c>
      <c r="F1372" s="27">
        <f t="shared" ca="1" si="138"/>
        <v>19</v>
      </c>
      <c r="G1372" s="27"/>
      <c r="H1372" s="27"/>
      <c r="I1372" s="8"/>
      <c r="J1372" s="1"/>
      <c r="K1372" s="1"/>
      <c r="L1372" s="8"/>
      <c r="M1372" s="8"/>
      <c r="N1372" s="8"/>
      <c r="O1372" s="8"/>
      <c r="P1372" s="9"/>
      <c r="Q1372" s="3"/>
      <c r="R1372" s="8"/>
    </row>
    <row r="1373" spans="1:18" x14ac:dyDescent="0.3">
      <c r="A1373" s="404" t="s">
        <v>2846</v>
      </c>
      <c r="B1373" s="111"/>
      <c r="C1373" s="33" t="s">
        <v>1382</v>
      </c>
      <c r="D1373" s="34">
        <v>20599</v>
      </c>
      <c r="E1373" s="33">
        <v>2024423</v>
      </c>
      <c r="F1373" s="33">
        <f t="shared" ca="1" si="138"/>
        <v>70</v>
      </c>
      <c r="G1373" s="33"/>
      <c r="H1373" s="33"/>
      <c r="I1373" s="8" t="s">
        <v>2676</v>
      </c>
      <c r="J1373" s="1"/>
      <c r="K1373" s="1"/>
      <c r="L1373" s="8"/>
      <c r="M1373" s="8"/>
      <c r="N1373" s="8"/>
      <c r="O1373" s="8"/>
      <c r="P1373" s="9"/>
      <c r="Q1373" s="3"/>
      <c r="R1373" s="8"/>
    </row>
    <row r="1374" spans="1:18" x14ac:dyDescent="0.3">
      <c r="A1374" s="453"/>
      <c r="B1374" s="111"/>
      <c r="C1374" s="33" t="s">
        <v>2847</v>
      </c>
      <c r="D1374" s="34">
        <v>30423</v>
      </c>
      <c r="E1374" s="33">
        <v>2536114</v>
      </c>
      <c r="F1374" s="33">
        <f t="shared" ca="1" si="138"/>
        <v>43</v>
      </c>
      <c r="G1374" s="33" t="s">
        <v>2848</v>
      </c>
      <c r="H1374" s="33"/>
      <c r="I1374" s="8" t="s">
        <v>2676</v>
      </c>
      <c r="J1374" s="1"/>
      <c r="K1374" s="1"/>
      <c r="L1374" s="8"/>
      <c r="M1374" s="8"/>
      <c r="N1374" s="8"/>
      <c r="O1374" s="8"/>
      <c r="P1374" s="9"/>
      <c r="Q1374" s="3"/>
      <c r="R1374" s="8"/>
    </row>
    <row r="1375" spans="1:18" s="289" customFormat="1" x14ac:dyDescent="0.3">
      <c r="A1375" s="287" t="s">
        <v>1141</v>
      </c>
      <c r="B1375" s="288"/>
      <c r="C1375" s="176" t="s">
        <v>2849</v>
      </c>
      <c r="D1375" s="269">
        <v>19005</v>
      </c>
      <c r="E1375" s="176">
        <v>2411524</v>
      </c>
      <c r="F1375" s="176">
        <f t="shared" ref="F1375:F1377" ca="1" si="139">YEAR(TODAY())-YEAR(D1375)</f>
        <v>74</v>
      </c>
      <c r="G1375" s="176" t="s">
        <v>2850</v>
      </c>
      <c r="H1375" s="176"/>
      <c r="I1375" s="270" t="s">
        <v>2676</v>
      </c>
      <c r="J1375" s="176"/>
      <c r="K1375" s="176"/>
      <c r="L1375" s="270"/>
      <c r="M1375" s="270"/>
      <c r="N1375" s="270"/>
      <c r="O1375" s="270"/>
      <c r="P1375" s="170"/>
      <c r="Q1375" s="171"/>
      <c r="R1375" s="270"/>
    </row>
    <row r="1376" spans="1:18" x14ac:dyDescent="0.3">
      <c r="A1376" s="287" t="s">
        <v>2851</v>
      </c>
      <c r="B1376" s="109"/>
      <c r="C1376" s="1" t="s">
        <v>2852</v>
      </c>
      <c r="D1376" s="2">
        <v>20611</v>
      </c>
      <c r="E1376" s="1">
        <v>2318713</v>
      </c>
      <c r="F1376" s="1">
        <f t="shared" ca="1" si="139"/>
        <v>70</v>
      </c>
      <c r="G1376" s="1" t="s">
        <v>2853</v>
      </c>
      <c r="H1376" s="1"/>
      <c r="I1376" s="270" t="s">
        <v>2676</v>
      </c>
      <c r="J1376" s="1"/>
      <c r="K1376" s="1"/>
      <c r="L1376" s="8"/>
      <c r="M1376" s="8"/>
      <c r="N1376" s="8"/>
      <c r="O1376" s="8"/>
      <c r="P1376" s="9"/>
      <c r="Q1376" s="3"/>
      <c r="R1376" s="8"/>
    </row>
    <row r="1377" spans="1:18" x14ac:dyDescent="0.3">
      <c r="A1377" s="287" t="s">
        <v>2854</v>
      </c>
      <c r="B1377" s="109"/>
      <c r="C1377" s="1" t="s">
        <v>2855</v>
      </c>
      <c r="D1377" s="2">
        <v>26535</v>
      </c>
      <c r="E1377" s="1">
        <v>1476711</v>
      </c>
      <c r="F1377" s="1">
        <f t="shared" ca="1" si="139"/>
        <v>54</v>
      </c>
      <c r="G1377" s="1" t="s">
        <v>2856</v>
      </c>
      <c r="H1377" s="1"/>
      <c r="I1377" s="270" t="s">
        <v>2676</v>
      </c>
      <c r="J1377" s="1"/>
      <c r="K1377" s="1"/>
      <c r="L1377" s="8"/>
      <c r="M1377" s="8"/>
      <c r="N1377" s="8"/>
      <c r="O1377" s="8"/>
      <c r="P1377" s="9"/>
      <c r="Q1377" s="3"/>
      <c r="R1377" s="8"/>
    </row>
    <row r="1378" spans="1:18" x14ac:dyDescent="0.3">
      <c r="A1378" s="287" t="s">
        <v>2857</v>
      </c>
      <c r="B1378" s="109"/>
      <c r="C1378" s="1" t="s">
        <v>2858</v>
      </c>
      <c r="D1378" s="2">
        <v>20591</v>
      </c>
      <c r="E1378" s="1">
        <v>2069014</v>
      </c>
      <c r="F1378" s="1">
        <f t="shared" ref="F1378:F1442" ca="1" si="140">YEAR(TODAY())-YEAR(D1378)</f>
        <v>70</v>
      </c>
      <c r="G1378" s="1" t="s">
        <v>2859</v>
      </c>
      <c r="H1378" s="1"/>
      <c r="I1378" s="270" t="s">
        <v>2676</v>
      </c>
      <c r="J1378" s="1"/>
      <c r="K1378" s="1"/>
      <c r="L1378" s="8"/>
      <c r="M1378" s="8"/>
      <c r="N1378" s="8"/>
      <c r="O1378" s="8"/>
      <c r="P1378" s="9"/>
      <c r="Q1378" s="3"/>
      <c r="R1378" s="8"/>
    </row>
    <row r="1379" spans="1:18" s="293" customFormat="1" x14ac:dyDescent="0.3">
      <c r="A1379" s="261" t="s">
        <v>2860</v>
      </c>
      <c r="B1379" s="151"/>
      <c r="C1379" s="262" t="s">
        <v>2861</v>
      </c>
      <c r="D1379" s="263">
        <v>31867</v>
      </c>
      <c r="E1379" s="262">
        <v>2046616</v>
      </c>
      <c r="F1379" s="262">
        <f t="shared" ca="1" si="140"/>
        <v>39</v>
      </c>
      <c r="G1379" s="262" t="s">
        <v>2862</v>
      </c>
      <c r="H1379" s="262"/>
      <c r="I1379" s="290" t="s">
        <v>2676</v>
      </c>
      <c r="J1379" s="262"/>
      <c r="K1379" s="262"/>
      <c r="L1379" s="290"/>
      <c r="M1379" s="290"/>
      <c r="N1379" s="290"/>
      <c r="O1379" s="290"/>
      <c r="P1379" s="291"/>
      <c r="Q1379" s="292"/>
      <c r="R1379" s="290"/>
    </row>
    <row r="1380" spans="1:18" s="300" customFormat="1" x14ac:dyDescent="0.3">
      <c r="A1380" s="474" t="s">
        <v>2863</v>
      </c>
      <c r="B1380" s="294"/>
      <c r="C1380" s="295" t="s">
        <v>1413</v>
      </c>
      <c r="D1380" s="296">
        <v>37301</v>
      </c>
      <c r="E1380" s="295">
        <v>4520129</v>
      </c>
      <c r="F1380" s="295">
        <f t="shared" ca="1" si="140"/>
        <v>24</v>
      </c>
      <c r="G1380" s="295" t="s">
        <v>2864</v>
      </c>
      <c r="H1380" s="295"/>
      <c r="I1380" s="297"/>
      <c r="J1380" s="295"/>
      <c r="K1380" s="295"/>
      <c r="L1380" s="297"/>
      <c r="M1380" s="297"/>
      <c r="N1380" s="297"/>
      <c r="O1380" s="297"/>
      <c r="P1380" s="298"/>
      <c r="Q1380" s="299"/>
      <c r="R1380" s="297"/>
    </row>
    <row r="1381" spans="1:18" s="300" customFormat="1" x14ac:dyDescent="0.3">
      <c r="A1381" s="475"/>
      <c r="B1381" s="294"/>
      <c r="C1381" s="295" t="s">
        <v>875</v>
      </c>
      <c r="D1381" s="296">
        <v>38048</v>
      </c>
      <c r="E1381" s="295">
        <v>3484121</v>
      </c>
      <c r="F1381" s="295">
        <f t="shared" ref="F1381" ca="1" si="141">YEAR(TODAY())-YEAR(D1381)</f>
        <v>22</v>
      </c>
      <c r="G1381" s="295" t="s">
        <v>2865</v>
      </c>
      <c r="H1381" s="295"/>
      <c r="I1381" s="297"/>
      <c r="J1381" s="295"/>
      <c r="K1381" s="295"/>
      <c r="L1381" s="297"/>
      <c r="M1381" s="297"/>
      <c r="N1381" s="297"/>
      <c r="O1381" s="297"/>
      <c r="P1381" s="298"/>
      <c r="Q1381" s="299"/>
      <c r="R1381" s="297"/>
    </row>
    <row r="1382" spans="1:18" x14ac:dyDescent="0.3">
      <c r="A1382" s="287" t="s">
        <v>2866</v>
      </c>
      <c r="B1382" s="109"/>
      <c r="C1382" s="1" t="s">
        <v>2867</v>
      </c>
      <c r="D1382" s="2">
        <v>19585</v>
      </c>
      <c r="E1382" s="1">
        <v>2454927</v>
      </c>
      <c r="F1382" s="1">
        <f t="shared" ca="1" si="140"/>
        <v>73</v>
      </c>
      <c r="G1382" s="1" t="s">
        <v>2868</v>
      </c>
      <c r="H1382" s="1"/>
      <c r="I1382" s="270" t="s">
        <v>2676</v>
      </c>
      <c r="J1382" s="1"/>
      <c r="K1382" s="1"/>
      <c r="L1382" s="142" t="s">
        <v>2869</v>
      </c>
      <c r="M1382" s="8"/>
      <c r="N1382" s="8"/>
      <c r="O1382" s="8"/>
      <c r="P1382" s="9"/>
      <c r="Q1382" s="3"/>
      <c r="R1382" s="8"/>
    </row>
    <row r="1383" spans="1:18" x14ac:dyDescent="0.3">
      <c r="A1383" s="176" t="s">
        <v>2870</v>
      </c>
      <c r="B1383" s="109"/>
      <c r="C1383" s="1" t="s">
        <v>2871</v>
      </c>
      <c r="D1383" s="2">
        <v>29271</v>
      </c>
      <c r="E1383" s="1">
        <v>2012922</v>
      </c>
      <c r="F1383" s="1">
        <f t="shared" ca="1" si="140"/>
        <v>46</v>
      </c>
      <c r="G1383" s="1" t="s">
        <v>2872</v>
      </c>
      <c r="H1383" s="1"/>
      <c r="I1383" s="270" t="s">
        <v>2676</v>
      </c>
      <c r="J1383" s="1" t="s">
        <v>2873</v>
      </c>
      <c r="K1383" s="1"/>
      <c r="L1383" s="143" t="s">
        <v>2874</v>
      </c>
      <c r="M1383" s="8"/>
      <c r="N1383" s="8"/>
      <c r="O1383" s="8"/>
      <c r="P1383" s="9"/>
      <c r="Q1383" s="3"/>
      <c r="R1383" s="8"/>
    </row>
    <row r="1384" spans="1:18" x14ac:dyDescent="0.3">
      <c r="A1384" s="176" t="s">
        <v>2875</v>
      </c>
      <c r="B1384" s="109"/>
      <c r="C1384" s="1" t="s">
        <v>194</v>
      </c>
      <c r="D1384" s="2">
        <v>35589</v>
      </c>
      <c r="E1384" s="1">
        <v>2222514</v>
      </c>
      <c r="F1384" s="1">
        <f t="shared" ca="1" si="140"/>
        <v>29</v>
      </c>
      <c r="G1384" s="1" t="s">
        <v>2876</v>
      </c>
      <c r="H1384" s="1"/>
      <c r="I1384" s="270" t="s">
        <v>2676</v>
      </c>
      <c r="J1384" s="1"/>
      <c r="K1384" s="1"/>
      <c r="L1384" s="8" t="s">
        <v>2877</v>
      </c>
      <c r="M1384" s="8"/>
      <c r="N1384" s="8"/>
      <c r="O1384" s="8"/>
      <c r="P1384" s="9"/>
      <c r="Q1384" s="3"/>
      <c r="R1384" s="8"/>
    </row>
    <row r="1385" spans="1:18" x14ac:dyDescent="0.3">
      <c r="A1385" s="176" t="s">
        <v>2878</v>
      </c>
      <c r="B1385" s="109"/>
      <c r="C1385" s="1" t="s">
        <v>2879</v>
      </c>
      <c r="D1385" s="2">
        <v>32365</v>
      </c>
      <c r="E1385" s="1">
        <v>2058012</v>
      </c>
      <c r="F1385" s="1">
        <f t="shared" ca="1" si="140"/>
        <v>38</v>
      </c>
      <c r="G1385" s="1" t="s">
        <v>2880</v>
      </c>
      <c r="H1385" s="1"/>
      <c r="I1385" s="270" t="s">
        <v>2676</v>
      </c>
      <c r="J1385" s="1"/>
      <c r="K1385" s="1"/>
      <c r="L1385" s="8" t="s">
        <v>2881</v>
      </c>
      <c r="M1385" s="8"/>
      <c r="N1385" s="8"/>
      <c r="O1385" s="8"/>
      <c r="P1385" s="9"/>
      <c r="Q1385" s="3"/>
      <c r="R1385" s="8"/>
    </row>
    <row r="1386" spans="1:18" x14ac:dyDescent="0.3">
      <c r="A1386" s="382" t="s">
        <v>2882</v>
      </c>
      <c r="B1386" s="109"/>
      <c r="C1386" s="1" t="s">
        <v>2883</v>
      </c>
      <c r="D1386" s="2">
        <v>18815</v>
      </c>
      <c r="E1386" s="1">
        <v>2462143</v>
      </c>
      <c r="F1386" s="1">
        <f t="shared" ca="1" si="140"/>
        <v>75</v>
      </c>
      <c r="G1386" s="1" t="s">
        <v>2884</v>
      </c>
      <c r="H1386" s="1"/>
      <c r="I1386" s="270" t="s">
        <v>2676</v>
      </c>
      <c r="J1386" s="1"/>
      <c r="K1386" s="1"/>
      <c r="L1386" s="8" t="s">
        <v>2885</v>
      </c>
      <c r="M1386" s="8"/>
      <c r="N1386" s="8"/>
      <c r="O1386" s="8"/>
      <c r="P1386" s="9"/>
      <c r="Q1386" s="3"/>
      <c r="R1386" s="8"/>
    </row>
    <row r="1387" spans="1:18" x14ac:dyDescent="0.3">
      <c r="A1387" s="383"/>
      <c r="B1387" s="109"/>
      <c r="C1387" s="1" t="s">
        <v>2886</v>
      </c>
      <c r="D1387" s="2">
        <v>15564</v>
      </c>
      <c r="E1387" s="1">
        <v>1411619</v>
      </c>
      <c r="F1387" s="1">
        <f t="shared" ca="1" si="140"/>
        <v>84</v>
      </c>
      <c r="G1387" s="1" t="s">
        <v>2887</v>
      </c>
      <c r="H1387" s="1"/>
      <c r="I1387" s="270" t="s">
        <v>2676</v>
      </c>
      <c r="J1387" s="1"/>
      <c r="K1387" s="1"/>
      <c r="L1387" s="8"/>
      <c r="M1387" s="8"/>
      <c r="N1387" s="8"/>
      <c r="O1387" s="8"/>
      <c r="P1387" s="9"/>
      <c r="Q1387" s="3"/>
      <c r="R1387" s="8"/>
    </row>
    <row r="1388" spans="1:18" x14ac:dyDescent="0.3">
      <c r="A1388" s="176" t="s">
        <v>2888</v>
      </c>
      <c r="B1388" s="109"/>
      <c r="C1388" s="1" t="s">
        <v>2889</v>
      </c>
      <c r="D1388" s="2">
        <v>27655</v>
      </c>
      <c r="E1388" s="1">
        <v>2411416</v>
      </c>
      <c r="F1388" s="1">
        <f t="shared" ca="1" si="140"/>
        <v>51</v>
      </c>
      <c r="G1388" s="1" t="s">
        <v>2890</v>
      </c>
      <c r="H1388" s="1"/>
      <c r="I1388" s="270" t="s">
        <v>2676</v>
      </c>
      <c r="J1388" s="1"/>
      <c r="K1388" s="1"/>
      <c r="L1388" s="8" t="s">
        <v>2891</v>
      </c>
      <c r="M1388" s="8"/>
      <c r="N1388" s="8"/>
      <c r="O1388" s="8"/>
      <c r="P1388" s="9"/>
      <c r="Q1388" s="3"/>
      <c r="R1388" s="8"/>
    </row>
    <row r="1389" spans="1:18" x14ac:dyDescent="0.3">
      <c r="A1389" s="382" t="s">
        <v>2892</v>
      </c>
      <c r="B1389" s="109"/>
      <c r="C1389" s="1" t="s">
        <v>2893</v>
      </c>
      <c r="D1389" s="2">
        <v>25716</v>
      </c>
      <c r="E1389" s="1">
        <v>2067131</v>
      </c>
      <c r="F1389" s="1">
        <f t="shared" ca="1" si="140"/>
        <v>56</v>
      </c>
      <c r="G1389" s="1" t="s">
        <v>2894</v>
      </c>
      <c r="H1389" s="1"/>
      <c r="I1389" s="270" t="s">
        <v>2676</v>
      </c>
      <c r="J1389" s="1"/>
      <c r="K1389" s="1"/>
      <c r="L1389" s="264" t="s">
        <v>2895</v>
      </c>
    </row>
    <row r="1390" spans="1:18" x14ac:dyDescent="0.3">
      <c r="A1390" s="383"/>
      <c r="B1390" s="149"/>
      <c r="C1390" s="265" t="s">
        <v>2896</v>
      </c>
      <c r="D1390" s="266">
        <v>37589</v>
      </c>
      <c r="E1390" s="265">
        <v>4067111</v>
      </c>
      <c r="F1390" s="1">
        <f t="shared" ca="1" si="140"/>
        <v>24</v>
      </c>
      <c r="G1390" s="265" t="s">
        <v>2897</v>
      </c>
      <c r="H1390" s="265"/>
      <c r="I1390" s="270"/>
      <c r="J1390" s="265"/>
      <c r="K1390" s="265"/>
      <c r="L1390" t="s">
        <v>2898</v>
      </c>
    </row>
    <row r="1391" spans="1:18" x14ac:dyDescent="0.3">
      <c r="A1391" s="382" t="s">
        <v>2899</v>
      </c>
      <c r="B1391" s="154"/>
      <c r="C1391" s="265" t="s">
        <v>2900</v>
      </c>
      <c r="D1391" s="266">
        <v>17958</v>
      </c>
      <c r="E1391" s="265">
        <v>1496311</v>
      </c>
      <c r="F1391" s="1">
        <f t="shared" ca="1" si="140"/>
        <v>77</v>
      </c>
      <c r="G1391" s="265" t="s">
        <v>2901</v>
      </c>
      <c r="H1391" s="267"/>
      <c r="I1391" s="270" t="s">
        <v>2676</v>
      </c>
      <c r="J1391" s="265"/>
      <c r="K1391" s="265"/>
      <c r="L1391" s="267" t="s">
        <v>2902</v>
      </c>
    </row>
    <row r="1392" spans="1:18" x14ac:dyDescent="0.3">
      <c r="A1392" s="383"/>
      <c r="B1392" s="150"/>
      <c r="C1392" s="1" t="s">
        <v>2903</v>
      </c>
      <c r="D1392" s="2">
        <v>19976</v>
      </c>
      <c r="E1392" s="1">
        <v>2473618</v>
      </c>
      <c r="F1392" s="1">
        <f t="shared" ca="1" si="140"/>
        <v>72</v>
      </c>
      <c r="G1392" s="1" t="s">
        <v>2904</v>
      </c>
      <c r="H1392" s="8"/>
      <c r="I1392" s="270" t="s">
        <v>2676</v>
      </c>
      <c r="J1392" s="1"/>
      <c r="K1392" s="1"/>
      <c r="L1392" s="8"/>
      <c r="M1392" s="8"/>
      <c r="N1392" s="8"/>
      <c r="O1392" s="8"/>
    </row>
    <row r="1393" spans="1:70" x14ac:dyDescent="0.3">
      <c r="A1393" s="385" t="s">
        <v>2905</v>
      </c>
      <c r="B1393" s="150"/>
      <c r="C1393" s="1" t="s">
        <v>2906</v>
      </c>
      <c r="D1393" s="2">
        <v>19809</v>
      </c>
      <c r="E1393" s="1">
        <v>2024815</v>
      </c>
      <c r="F1393" s="1">
        <f t="shared" ca="1" si="140"/>
        <v>72</v>
      </c>
      <c r="G1393" s="1" t="s">
        <v>2907</v>
      </c>
      <c r="H1393" s="8"/>
      <c r="I1393" s="270" t="s">
        <v>2676</v>
      </c>
      <c r="J1393" s="1"/>
      <c r="K1393" s="1"/>
      <c r="L1393" s="8" t="s">
        <v>2908</v>
      </c>
      <c r="M1393" s="8"/>
      <c r="N1393" s="8"/>
      <c r="O1393" s="8"/>
    </row>
    <row r="1394" spans="1:70" x14ac:dyDescent="0.3">
      <c r="A1394" s="383"/>
      <c r="B1394" s="150"/>
      <c r="C1394" s="1" t="s">
        <v>2909</v>
      </c>
      <c r="D1394" s="2">
        <v>17679</v>
      </c>
      <c r="E1394" s="1">
        <v>1652516</v>
      </c>
      <c r="F1394" s="1">
        <f t="shared" ca="1" si="140"/>
        <v>78</v>
      </c>
      <c r="G1394" s="1" t="s">
        <v>2910</v>
      </c>
      <c r="H1394" s="8"/>
      <c r="I1394" s="270" t="s">
        <v>2676</v>
      </c>
      <c r="J1394" s="1"/>
      <c r="K1394" s="1"/>
      <c r="L1394" s="8"/>
      <c r="M1394" s="8"/>
      <c r="N1394" s="8"/>
      <c r="O1394" s="8"/>
    </row>
    <row r="1395" spans="1:70" x14ac:dyDescent="0.3">
      <c r="A1395" s="176" t="s">
        <v>2911</v>
      </c>
      <c r="B1395" s="150"/>
      <c r="C1395" s="1" t="s">
        <v>483</v>
      </c>
      <c r="D1395" s="2">
        <v>24872</v>
      </c>
      <c r="E1395" s="1">
        <v>2055513</v>
      </c>
      <c r="F1395" s="1">
        <f t="shared" ca="1" si="140"/>
        <v>58</v>
      </c>
      <c r="G1395" s="1" t="s">
        <v>2912</v>
      </c>
      <c r="H1395" s="8"/>
      <c r="I1395" s="270" t="s">
        <v>2676</v>
      </c>
      <c r="J1395" s="1"/>
      <c r="K1395" s="1"/>
      <c r="L1395" s="8" t="s">
        <v>2913</v>
      </c>
      <c r="M1395" s="8"/>
      <c r="N1395" s="8"/>
      <c r="O1395" s="8"/>
      <c r="P1395" s="9"/>
      <c r="Q1395" s="3"/>
      <c r="R1395" s="8"/>
      <c r="S1395" s="8"/>
      <c r="T1395" s="8"/>
      <c r="U1395" s="8"/>
      <c r="V1395" s="8"/>
      <c r="W1395" s="8"/>
      <c r="X1395" s="8"/>
      <c r="Y1395" s="8"/>
      <c r="Z1395" s="8"/>
      <c r="AA1395" s="8"/>
      <c r="AB1395" s="8"/>
      <c r="AC1395" s="8"/>
      <c r="AD1395" s="8"/>
      <c r="AE1395" s="8"/>
      <c r="AF1395" s="8"/>
      <c r="AG1395" s="8"/>
      <c r="AH1395" s="8"/>
      <c r="AI1395" s="8"/>
      <c r="AJ1395" s="8"/>
      <c r="AK1395" s="8"/>
      <c r="AL1395" s="8"/>
      <c r="AM1395" s="8"/>
      <c r="AN1395" s="8"/>
      <c r="AO1395" s="8"/>
      <c r="AP1395" s="8"/>
      <c r="AQ1395" s="8"/>
      <c r="AR1395" s="8"/>
      <c r="AS1395" s="8"/>
      <c r="AT1395" s="8"/>
      <c r="AU1395" s="8"/>
      <c r="AV1395" s="8"/>
      <c r="AW1395" s="8"/>
      <c r="AX1395" s="8"/>
      <c r="AY1395" s="8"/>
      <c r="AZ1395" s="8"/>
      <c r="BA1395" s="8"/>
      <c r="BB1395" s="8"/>
      <c r="BC1395" s="8"/>
      <c r="BD1395" s="8"/>
      <c r="BE1395" s="8"/>
      <c r="BF1395" s="8"/>
      <c r="BG1395" s="8"/>
      <c r="BH1395" s="8"/>
      <c r="BI1395" s="8"/>
      <c r="BJ1395" s="8"/>
      <c r="BK1395" s="8"/>
      <c r="BL1395" s="8"/>
      <c r="BM1395" s="8"/>
      <c r="BN1395" s="8"/>
      <c r="BO1395" s="8"/>
      <c r="BP1395" s="8"/>
      <c r="BQ1395" s="8"/>
      <c r="BR1395" s="8"/>
    </row>
    <row r="1396" spans="1:70" x14ac:dyDescent="0.3">
      <c r="A1396" s="382" t="s">
        <v>2914</v>
      </c>
      <c r="B1396" s="154"/>
      <c r="C1396" s="265" t="s">
        <v>2915</v>
      </c>
      <c r="D1396" s="266">
        <v>26849</v>
      </c>
      <c r="E1396" s="265">
        <v>1779518</v>
      </c>
      <c r="F1396" s="1">
        <f t="shared" ca="1" si="140"/>
        <v>53</v>
      </c>
      <c r="G1396" s="265" t="s">
        <v>2916</v>
      </c>
      <c r="H1396" s="267"/>
      <c r="I1396" s="270" t="s">
        <v>2676</v>
      </c>
      <c r="J1396" s="265"/>
      <c r="K1396" s="265"/>
      <c r="L1396" s="267"/>
      <c r="M1396" s="267"/>
      <c r="N1396" s="267"/>
      <c r="O1396" s="267"/>
      <c r="P1396" s="166"/>
      <c r="Q1396" s="167"/>
      <c r="R1396" s="267"/>
      <c r="S1396" s="267"/>
      <c r="T1396" s="267"/>
      <c r="U1396" s="267"/>
      <c r="V1396" s="267"/>
      <c r="W1396" s="267"/>
      <c r="X1396" s="267"/>
      <c r="Y1396" s="267"/>
      <c r="Z1396" s="267"/>
      <c r="AA1396" s="267"/>
      <c r="AB1396" s="267"/>
      <c r="AC1396" s="267"/>
      <c r="AD1396" s="267"/>
      <c r="AE1396" s="267"/>
      <c r="AF1396" s="267"/>
      <c r="AG1396" s="267"/>
      <c r="AH1396" s="267"/>
      <c r="AI1396" s="267"/>
      <c r="AJ1396" s="267"/>
      <c r="AK1396" s="267"/>
      <c r="AL1396" s="267"/>
      <c r="AM1396" s="267"/>
      <c r="AN1396" s="267"/>
      <c r="AO1396" s="267"/>
      <c r="AP1396" s="267"/>
      <c r="AQ1396" s="267"/>
      <c r="AR1396" s="267"/>
      <c r="AS1396" s="267"/>
      <c r="AT1396" s="267"/>
      <c r="AU1396" s="267"/>
      <c r="AV1396" s="267"/>
      <c r="AW1396" s="267"/>
      <c r="AX1396" s="267"/>
      <c r="AY1396" s="267"/>
      <c r="AZ1396" s="267"/>
      <c r="BA1396" s="267"/>
      <c r="BB1396" s="267"/>
      <c r="BC1396" s="267"/>
      <c r="BD1396" s="267"/>
      <c r="BE1396" s="267"/>
      <c r="BF1396" s="267"/>
      <c r="BG1396" s="267"/>
      <c r="BH1396" s="267"/>
      <c r="BI1396" s="267"/>
      <c r="BJ1396" s="267"/>
      <c r="BK1396" s="267"/>
      <c r="BL1396" s="267"/>
      <c r="BM1396" s="267"/>
      <c r="BN1396" s="267"/>
      <c r="BO1396" s="267"/>
      <c r="BP1396" s="267"/>
      <c r="BQ1396" s="267"/>
      <c r="BR1396" s="267"/>
    </row>
    <row r="1397" spans="1:70" s="8" customFormat="1" x14ac:dyDescent="0.3">
      <c r="A1397" s="385"/>
      <c r="B1397" s="150"/>
      <c r="C1397" s="1" t="s">
        <v>2917</v>
      </c>
      <c r="D1397" s="2">
        <v>36567</v>
      </c>
      <c r="E1397" s="1">
        <v>4678311</v>
      </c>
      <c r="F1397" s="1">
        <f t="shared" ca="1" si="140"/>
        <v>26</v>
      </c>
      <c r="G1397" s="1"/>
      <c r="I1397" s="270"/>
      <c r="J1397" s="1"/>
      <c r="K1397" s="1"/>
      <c r="P1397" s="9"/>
      <c r="Q1397" s="3"/>
    </row>
    <row r="1398" spans="1:70" s="8" customFormat="1" x14ac:dyDescent="0.3">
      <c r="A1398" s="385"/>
      <c r="B1398" s="150"/>
      <c r="C1398" s="1" t="s">
        <v>2918</v>
      </c>
      <c r="D1398" s="2">
        <v>37880</v>
      </c>
      <c r="E1398" s="1">
        <v>3678322</v>
      </c>
      <c r="F1398" s="1">
        <f t="shared" ca="1" si="140"/>
        <v>23</v>
      </c>
      <c r="G1398" s="1"/>
      <c r="I1398" s="270"/>
      <c r="J1398" s="1"/>
      <c r="K1398" s="1"/>
      <c r="P1398" s="9"/>
      <c r="Q1398" s="3"/>
    </row>
    <row r="1399" spans="1:70" s="8" customFormat="1" x14ac:dyDescent="0.3">
      <c r="A1399" s="379"/>
      <c r="B1399" s="150"/>
      <c r="C1399" s="311" t="s">
        <v>3282</v>
      </c>
      <c r="D1399" s="2">
        <v>26895</v>
      </c>
      <c r="E1399" s="311">
        <v>2231621</v>
      </c>
      <c r="F1399" s="311">
        <f t="shared" ca="1" si="140"/>
        <v>53</v>
      </c>
      <c r="G1399" s="311" t="s">
        <v>3283</v>
      </c>
      <c r="I1399" s="270"/>
      <c r="J1399" s="311"/>
      <c r="K1399" s="311"/>
      <c r="P1399" s="9"/>
      <c r="Q1399" s="3"/>
    </row>
    <row r="1400" spans="1:70" s="8" customFormat="1" x14ac:dyDescent="0.3">
      <c r="A1400" s="382" t="s">
        <v>2919</v>
      </c>
      <c r="B1400" s="273"/>
      <c r="C1400" s="1" t="s">
        <v>1289</v>
      </c>
      <c r="D1400" s="2">
        <v>20221</v>
      </c>
      <c r="E1400" s="1">
        <v>2350911</v>
      </c>
      <c r="F1400" s="1">
        <f t="shared" ca="1" si="140"/>
        <v>71</v>
      </c>
      <c r="G1400" s="8" t="s">
        <v>2920</v>
      </c>
      <c r="I1400" s="270" t="s">
        <v>2676</v>
      </c>
      <c r="J1400" s="1"/>
      <c r="K1400" s="1"/>
      <c r="L1400" s="8" t="s">
        <v>2921</v>
      </c>
      <c r="P1400" s="9"/>
      <c r="Q1400" s="3"/>
    </row>
    <row r="1401" spans="1:70" s="8" customFormat="1" x14ac:dyDescent="0.3">
      <c r="A1401" s="383"/>
      <c r="B1401" s="273"/>
      <c r="C1401" s="1" t="s">
        <v>2922</v>
      </c>
      <c r="D1401" s="2">
        <v>17645</v>
      </c>
      <c r="E1401" s="1">
        <v>1451013</v>
      </c>
      <c r="F1401" s="1">
        <f t="shared" ca="1" si="140"/>
        <v>78</v>
      </c>
      <c r="G1401" s="8" t="s">
        <v>2923</v>
      </c>
      <c r="I1401" s="270" t="s">
        <v>2676</v>
      </c>
      <c r="J1401" s="1"/>
      <c r="K1401" s="1"/>
      <c r="P1401" s="9"/>
      <c r="Q1401" s="3"/>
    </row>
    <row r="1402" spans="1:70" s="8" customFormat="1" x14ac:dyDescent="0.3">
      <c r="A1402" s="1" t="s">
        <v>2924</v>
      </c>
      <c r="B1402" s="273"/>
      <c r="C1402" s="1" t="s">
        <v>3484</v>
      </c>
      <c r="D1402" s="2">
        <v>28019</v>
      </c>
      <c r="E1402" s="1">
        <v>5760031</v>
      </c>
      <c r="F1402" s="1">
        <f t="shared" ca="1" si="140"/>
        <v>50</v>
      </c>
      <c r="G1402" s="8" t="s">
        <v>2925</v>
      </c>
      <c r="J1402" s="1"/>
      <c r="K1402" s="1"/>
      <c r="L1402" s="8" t="s">
        <v>2926</v>
      </c>
      <c r="P1402" s="9"/>
      <c r="Q1402" s="3"/>
    </row>
    <row r="1403" spans="1:70" x14ac:dyDescent="0.3">
      <c r="A1403" s="378" t="s">
        <v>2927</v>
      </c>
      <c r="C1403" s="1" t="s">
        <v>2928</v>
      </c>
      <c r="D1403" s="2">
        <v>17638</v>
      </c>
      <c r="E1403" s="1">
        <v>2468443</v>
      </c>
      <c r="F1403" s="1">
        <f t="shared" ca="1" si="140"/>
        <v>78</v>
      </c>
      <c r="G1403" s="8" t="s">
        <v>2929</v>
      </c>
      <c r="H1403" s="8"/>
      <c r="I1403" s="8"/>
      <c r="J1403" s="1"/>
      <c r="K1403" s="1"/>
      <c r="L1403" t="s">
        <v>2930</v>
      </c>
    </row>
    <row r="1404" spans="1:70" s="8" customFormat="1" x14ac:dyDescent="0.3">
      <c r="A1404" s="379"/>
      <c r="B1404" s="150"/>
      <c r="C1404" s="1" t="s">
        <v>2931</v>
      </c>
      <c r="D1404" s="2">
        <v>14878</v>
      </c>
      <c r="E1404" s="1">
        <v>1468414</v>
      </c>
      <c r="F1404" s="1">
        <f t="shared" ca="1" si="140"/>
        <v>86</v>
      </c>
      <c r="G1404" s="8" t="s">
        <v>2932</v>
      </c>
      <c r="J1404" s="1"/>
      <c r="K1404" s="1"/>
      <c r="L1404" t="s">
        <v>2930</v>
      </c>
      <c r="P1404" s="9"/>
      <c r="Q1404" s="3"/>
    </row>
    <row r="1405" spans="1:70" s="8" customFormat="1" x14ac:dyDescent="0.3">
      <c r="A1405" s="1" t="s">
        <v>2933</v>
      </c>
      <c r="B1405" s="150"/>
      <c r="C1405" s="1" t="s">
        <v>2934</v>
      </c>
      <c r="D1405" s="2">
        <v>16156</v>
      </c>
      <c r="E1405" s="1">
        <v>1466516</v>
      </c>
      <c r="F1405" s="1">
        <f t="shared" ca="1" si="140"/>
        <v>82</v>
      </c>
      <c r="G1405" s="8" t="s">
        <v>2935</v>
      </c>
      <c r="J1405" s="1"/>
      <c r="K1405" s="1"/>
      <c r="L1405" s="8" t="s">
        <v>2936</v>
      </c>
      <c r="P1405" s="9"/>
      <c r="Q1405" s="3"/>
    </row>
    <row r="1406" spans="1:70" s="8" customFormat="1" x14ac:dyDescent="0.3">
      <c r="A1406" s="378" t="s">
        <v>2937</v>
      </c>
      <c r="B1406" s="150"/>
      <c r="C1406" s="1" t="s">
        <v>2938</v>
      </c>
      <c r="D1406" s="2">
        <v>18562</v>
      </c>
      <c r="E1406" s="1">
        <v>2468719</v>
      </c>
      <c r="F1406" s="1">
        <f t="shared" ca="1" si="140"/>
        <v>76</v>
      </c>
      <c r="G1406" s="8" t="s">
        <v>2939</v>
      </c>
      <c r="J1406" s="1"/>
      <c r="K1406" s="1"/>
      <c r="L1406" s="8" t="s">
        <v>2940</v>
      </c>
      <c r="P1406" s="9"/>
      <c r="Q1406" s="3"/>
    </row>
    <row r="1407" spans="1:70" s="8" customFormat="1" x14ac:dyDescent="0.3">
      <c r="A1407" s="379"/>
      <c r="B1407" s="150"/>
      <c r="C1407" s="1" t="s">
        <v>2941</v>
      </c>
      <c r="D1407" s="2">
        <v>18643</v>
      </c>
      <c r="E1407" s="1">
        <v>1468720</v>
      </c>
      <c r="F1407" s="1">
        <f t="shared" ca="1" si="140"/>
        <v>75</v>
      </c>
      <c r="G1407" s="8" t="s">
        <v>2942</v>
      </c>
      <c r="J1407" s="1"/>
      <c r="K1407" s="1"/>
      <c r="L1407" s="8" t="s">
        <v>2940</v>
      </c>
      <c r="P1407" s="9"/>
      <c r="Q1407" s="3"/>
    </row>
    <row r="1408" spans="1:70" s="8" customFormat="1" x14ac:dyDescent="0.3">
      <c r="A1408" s="378" t="s">
        <v>2943</v>
      </c>
      <c r="B1408" s="150"/>
      <c r="C1408" s="1" t="s">
        <v>2944</v>
      </c>
      <c r="D1408" s="2">
        <v>20018</v>
      </c>
      <c r="E1408" s="1">
        <v>1468717</v>
      </c>
      <c r="F1408" s="1">
        <f t="shared" ca="1" si="140"/>
        <v>72</v>
      </c>
      <c r="G1408" s="8" t="s">
        <v>2945</v>
      </c>
      <c r="J1408" s="1"/>
      <c r="K1408" s="1"/>
      <c r="L1408" s="8" t="s">
        <v>2946</v>
      </c>
      <c r="P1408" s="9"/>
      <c r="Q1408" s="3"/>
    </row>
    <row r="1409" spans="1:17" s="8" customFormat="1" x14ac:dyDescent="0.3">
      <c r="A1409" s="379"/>
      <c r="B1409" s="150"/>
      <c r="C1409" s="1" t="s">
        <v>2947</v>
      </c>
      <c r="D1409" s="2">
        <v>25155</v>
      </c>
      <c r="E1409" s="1">
        <v>2524512</v>
      </c>
      <c r="F1409" s="1">
        <f t="shared" ca="1" si="140"/>
        <v>58</v>
      </c>
      <c r="G1409" s="8" t="s">
        <v>2948</v>
      </c>
      <c r="J1409" s="1"/>
      <c r="K1409" s="1"/>
      <c r="P1409" s="9"/>
      <c r="Q1409" s="3"/>
    </row>
    <row r="1410" spans="1:17" s="8" customFormat="1" x14ac:dyDescent="0.3">
      <c r="A1410" s="378" t="s">
        <v>2949</v>
      </c>
      <c r="B1410" s="150"/>
      <c r="C1410" s="1" t="s">
        <v>2950</v>
      </c>
      <c r="D1410" s="2">
        <v>18355</v>
      </c>
      <c r="E1410" s="1">
        <v>1469421</v>
      </c>
      <c r="F1410" s="1">
        <f t="shared" ca="1" si="140"/>
        <v>76</v>
      </c>
      <c r="G1410" s="8" t="s">
        <v>2951</v>
      </c>
      <c r="J1410" s="1"/>
      <c r="K1410" s="1"/>
      <c r="L1410" s="1"/>
      <c r="P1410" s="9"/>
      <c r="Q1410" s="3"/>
    </row>
    <row r="1411" spans="1:17" s="8" customFormat="1" x14ac:dyDescent="0.3">
      <c r="A1411" s="379"/>
      <c r="B1411" s="150"/>
      <c r="C1411" s="1" t="s">
        <v>2952</v>
      </c>
      <c r="D1411" s="2">
        <v>30074</v>
      </c>
      <c r="E1411" s="1">
        <v>1469414</v>
      </c>
      <c r="F1411" s="1">
        <f t="shared" ca="1" si="140"/>
        <v>44</v>
      </c>
      <c r="J1411" s="1"/>
      <c r="K1411" s="1"/>
      <c r="P1411" s="9"/>
      <c r="Q1411" s="3"/>
    </row>
    <row r="1412" spans="1:17" s="8" customFormat="1" x14ac:dyDescent="0.3">
      <c r="A1412" s="378" t="s">
        <v>2953</v>
      </c>
      <c r="B1412" s="150"/>
      <c r="C1412" s="1" t="s">
        <v>3346</v>
      </c>
      <c r="D1412" s="2">
        <v>16483</v>
      </c>
      <c r="E1412" s="1">
        <v>2469315</v>
      </c>
      <c r="F1412" s="1">
        <f t="shared" ca="1" si="140"/>
        <v>81</v>
      </c>
      <c r="G1412" s="8" t="s">
        <v>2954</v>
      </c>
      <c r="J1412" s="1"/>
      <c r="K1412" s="1"/>
      <c r="L1412" s="142" t="s">
        <v>2955</v>
      </c>
      <c r="P1412" s="9"/>
      <c r="Q1412" s="3"/>
    </row>
    <row r="1413" spans="1:17" s="8" customFormat="1" x14ac:dyDescent="0.3">
      <c r="A1413" s="384"/>
      <c r="B1413" s="150"/>
      <c r="C1413" s="1" t="s">
        <v>2956</v>
      </c>
      <c r="D1413" s="2">
        <v>20250</v>
      </c>
      <c r="E1413" s="1">
        <v>2463217</v>
      </c>
      <c r="F1413" s="1">
        <f t="shared" ca="1" si="140"/>
        <v>71</v>
      </c>
      <c r="G1413" s="8" t="s">
        <v>2957</v>
      </c>
      <c r="J1413" s="1"/>
      <c r="K1413" s="1"/>
      <c r="L1413" s="142" t="s">
        <v>2958</v>
      </c>
      <c r="P1413" s="9"/>
      <c r="Q1413" s="3"/>
    </row>
    <row r="1414" spans="1:17" s="8" customFormat="1" x14ac:dyDescent="0.3">
      <c r="A1414" s="384"/>
      <c r="B1414" s="150" t="s">
        <v>1257</v>
      </c>
      <c r="C1414" s="1" t="s">
        <v>2959</v>
      </c>
      <c r="D1414" s="2">
        <v>28548</v>
      </c>
      <c r="E1414" s="1">
        <v>1463211</v>
      </c>
      <c r="F1414" s="1">
        <f t="shared" ca="1" si="140"/>
        <v>48</v>
      </c>
      <c r="G1414" s="8" t="s">
        <v>2960</v>
      </c>
      <c r="I1414" s="8" t="s">
        <v>924</v>
      </c>
      <c r="J1414" s="1"/>
      <c r="K1414" s="1"/>
      <c r="L1414" s="142" t="s">
        <v>2961</v>
      </c>
      <c r="P1414" s="9"/>
      <c r="Q1414" s="3"/>
    </row>
    <row r="1415" spans="1:17" s="8" customFormat="1" x14ac:dyDescent="0.3">
      <c r="A1415" s="379"/>
      <c r="B1415" s="150"/>
      <c r="C1415" s="1" t="s">
        <v>2962</v>
      </c>
      <c r="D1415" s="2">
        <v>28536</v>
      </c>
      <c r="E1415" s="1">
        <v>2469332</v>
      </c>
      <c r="F1415" s="1">
        <f t="shared" ca="1" si="140"/>
        <v>48</v>
      </c>
      <c r="G1415" s="8" t="s">
        <v>2963</v>
      </c>
      <c r="J1415" s="1"/>
      <c r="K1415" s="1"/>
      <c r="L1415" s="142"/>
      <c r="P1415" s="9"/>
      <c r="Q1415" s="3"/>
    </row>
    <row r="1416" spans="1:17" s="8" customFormat="1" x14ac:dyDescent="0.3">
      <c r="A1416" s="378" t="s">
        <v>2964</v>
      </c>
      <c r="B1416" s="150"/>
      <c r="C1416" s="1" t="s">
        <v>2965</v>
      </c>
      <c r="D1416" s="2">
        <v>20685</v>
      </c>
      <c r="E1416" s="1">
        <v>2109011</v>
      </c>
      <c r="F1416" s="1">
        <f t="shared" ca="1" si="140"/>
        <v>70</v>
      </c>
      <c r="G1416" s="8" t="s">
        <v>2966</v>
      </c>
      <c r="J1416" s="1"/>
      <c r="K1416" s="1"/>
      <c r="L1416" s="301" t="s">
        <v>2967</v>
      </c>
      <c r="P1416" s="9"/>
      <c r="Q1416" s="3"/>
    </row>
    <row r="1417" spans="1:17" s="8" customFormat="1" x14ac:dyDescent="0.3">
      <c r="A1417" s="379"/>
      <c r="B1417" s="150" t="s">
        <v>2968</v>
      </c>
      <c r="C1417" s="1" t="s">
        <v>2969</v>
      </c>
      <c r="D1417" s="2">
        <v>30098</v>
      </c>
      <c r="E1417" s="1">
        <v>1125015</v>
      </c>
      <c r="F1417" s="1">
        <f t="shared" ca="1" si="140"/>
        <v>44</v>
      </c>
      <c r="G1417" s="8" t="s">
        <v>2970</v>
      </c>
      <c r="I1417" s="8" t="s">
        <v>175</v>
      </c>
      <c r="J1417" s="1"/>
      <c r="K1417" s="1"/>
      <c r="L1417" s="8" t="s">
        <v>2971</v>
      </c>
      <c r="P1417" s="9"/>
      <c r="Q1417" s="3"/>
    </row>
    <row r="1418" spans="1:17" s="8" customFormat="1" x14ac:dyDescent="0.3">
      <c r="A1418" s="378" t="s">
        <v>2972</v>
      </c>
      <c r="B1418" s="150"/>
      <c r="C1418" s="1" t="s">
        <v>2973</v>
      </c>
      <c r="D1418" s="2">
        <v>29754</v>
      </c>
      <c r="E1418" s="1">
        <v>1235211</v>
      </c>
      <c r="F1418" s="1">
        <f t="shared" ca="1" si="140"/>
        <v>45</v>
      </c>
      <c r="G1418" s="8" t="s">
        <v>2974</v>
      </c>
      <c r="J1418" s="1"/>
      <c r="K1418" s="1"/>
      <c r="L1418" s="8" t="s">
        <v>2975</v>
      </c>
      <c r="P1418" s="9"/>
      <c r="Q1418" s="3"/>
    </row>
    <row r="1419" spans="1:17" s="8" customFormat="1" x14ac:dyDescent="0.3">
      <c r="A1419" s="384"/>
      <c r="B1419" s="150"/>
      <c r="C1419" s="1" t="s">
        <v>2976</v>
      </c>
      <c r="D1419" s="2">
        <v>31379</v>
      </c>
      <c r="E1419" s="1">
        <v>2380633</v>
      </c>
      <c r="F1419" s="1">
        <f t="shared" ca="1" si="140"/>
        <v>41</v>
      </c>
      <c r="G1419" s="8" t="s">
        <v>2977</v>
      </c>
      <c r="J1419" s="1"/>
      <c r="K1419" s="1"/>
      <c r="L1419" s="8" t="s">
        <v>2978</v>
      </c>
      <c r="P1419" s="9"/>
      <c r="Q1419" s="3"/>
    </row>
    <row r="1420" spans="1:17" s="8" customFormat="1" x14ac:dyDescent="0.3">
      <c r="A1420" s="379"/>
      <c r="B1420" s="150" t="s">
        <v>2979</v>
      </c>
      <c r="C1420" s="1" t="s">
        <v>2980</v>
      </c>
      <c r="D1420" s="2">
        <v>19885</v>
      </c>
      <c r="E1420" s="1">
        <v>1235229</v>
      </c>
      <c r="F1420" s="1">
        <f t="shared" ca="1" si="140"/>
        <v>72</v>
      </c>
      <c r="G1420" s="8" t="s">
        <v>2981</v>
      </c>
      <c r="I1420" s="8" t="s">
        <v>2982</v>
      </c>
      <c r="J1420" s="1"/>
      <c r="K1420" s="1"/>
      <c r="P1420" s="9"/>
      <c r="Q1420" s="3"/>
    </row>
    <row r="1421" spans="1:17" s="305" customFormat="1" x14ac:dyDescent="0.3">
      <c r="A1421" s="392" t="s">
        <v>2983</v>
      </c>
      <c r="B1421" s="302"/>
      <c r="C1421" s="303" t="s">
        <v>2984</v>
      </c>
      <c r="D1421" s="304">
        <v>19448</v>
      </c>
      <c r="E1421" s="303">
        <v>2345916</v>
      </c>
      <c r="F1421" s="1">
        <f t="shared" ca="1" si="140"/>
        <v>73</v>
      </c>
      <c r="G1421" s="305" t="s">
        <v>2985</v>
      </c>
      <c r="J1421" s="303"/>
      <c r="K1421" s="303"/>
      <c r="L1421" s="305" t="s">
        <v>2986</v>
      </c>
      <c r="Q1421" s="303"/>
    </row>
    <row r="1422" spans="1:17" s="305" customFormat="1" x14ac:dyDescent="0.3">
      <c r="A1422" s="393"/>
      <c r="B1422" s="302"/>
      <c r="C1422" s="303" t="s">
        <v>2987</v>
      </c>
      <c r="D1422" s="304">
        <v>18861</v>
      </c>
      <c r="E1422" s="303">
        <v>1769918</v>
      </c>
      <c r="F1422" s="1">
        <f t="shared" ca="1" si="140"/>
        <v>75</v>
      </c>
      <c r="G1422" s="305" t="s">
        <v>2988</v>
      </c>
      <c r="J1422" s="303"/>
      <c r="K1422" s="303"/>
      <c r="L1422" s="305" t="s">
        <v>2986</v>
      </c>
      <c r="Q1422" s="303"/>
    </row>
    <row r="1423" spans="1:17" s="8" customFormat="1" x14ac:dyDescent="0.3">
      <c r="A1423" s="378" t="s">
        <v>2989</v>
      </c>
      <c r="B1423" s="150"/>
      <c r="C1423" s="1" t="s">
        <v>2990</v>
      </c>
      <c r="D1423" s="2">
        <v>28871</v>
      </c>
      <c r="E1423" s="1">
        <v>2188214</v>
      </c>
      <c r="F1423" s="1">
        <f t="shared" ca="1" si="140"/>
        <v>47</v>
      </c>
      <c r="J1423" s="1"/>
      <c r="K1423" s="1"/>
      <c r="P1423" s="9"/>
      <c r="Q1423" s="3"/>
    </row>
    <row r="1424" spans="1:17" s="8" customFormat="1" x14ac:dyDescent="0.3">
      <c r="A1424" s="379"/>
      <c r="B1424" s="280">
        <v>45589</v>
      </c>
      <c r="C1424" s="1" t="s">
        <v>2991</v>
      </c>
      <c r="D1424" s="2">
        <v>27364</v>
      </c>
      <c r="E1424" s="1">
        <v>1644511</v>
      </c>
      <c r="F1424" s="1">
        <f t="shared" ca="1" si="140"/>
        <v>52</v>
      </c>
      <c r="G1424" s="8" t="s">
        <v>2992</v>
      </c>
      <c r="I1424" s="8" t="s">
        <v>2993</v>
      </c>
      <c r="J1424" s="1"/>
      <c r="K1424" s="1"/>
      <c r="P1424" s="9"/>
      <c r="Q1424" s="3"/>
    </row>
    <row r="1425" spans="1:17" s="8" customFormat="1" x14ac:dyDescent="0.3">
      <c r="A1425" s="1" t="s">
        <v>2994</v>
      </c>
      <c r="B1425" s="280">
        <v>45338</v>
      </c>
      <c r="C1425" s="1" t="s">
        <v>2995</v>
      </c>
      <c r="D1425" s="2">
        <v>24123</v>
      </c>
      <c r="E1425" s="1">
        <v>1119713</v>
      </c>
      <c r="F1425" s="1">
        <f t="shared" ca="1" si="140"/>
        <v>60</v>
      </c>
      <c r="G1425" s="8" t="s">
        <v>2996</v>
      </c>
      <c r="J1425" s="1"/>
      <c r="K1425" s="1"/>
      <c r="L1425" s="8" t="s">
        <v>2997</v>
      </c>
      <c r="P1425" s="9"/>
      <c r="Q1425" s="3"/>
    </row>
    <row r="1426" spans="1:17" s="8" customFormat="1" x14ac:dyDescent="0.3">
      <c r="A1426" s="1" t="s">
        <v>2994</v>
      </c>
      <c r="B1426" s="280">
        <v>45299</v>
      </c>
      <c r="C1426" s="1" t="s">
        <v>2995</v>
      </c>
      <c r="D1426" s="2">
        <v>24123</v>
      </c>
      <c r="E1426" s="1">
        <v>1119713</v>
      </c>
      <c r="F1426" s="1">
        <f t="shared" ca="1" si="140"/>
        <v>60</v>
      </c>
      <c r="G1426" s="8" t="s">
        <v>2996</v>
      </c>
      <c r="J1426" s="1"/>
      <c r="K1426" s="1"/>
      <c r="L1426" s="8" t="s">
        <v>2997</v>
      </c>
      <c r="P1426" s="9"/>
      <c r="Q1426" s="3"/>
    </row>
    <row r="1427" spans="1:17" s="8" customFormat="1" x14ac:dyDescent="0.3">
      <c r="A1427" s="378" t="s">
        <v>2998</v>
      </c>
      <c r="B1427" s="280">
        <v>45584</v>
      </c>
      <c r="C1427" s="1" t="s">
        <v>2999</v>
      </c>
      <c r="D1427" s="2">
        <v>20893</v>
      </c>
      <c r="E1427" s="1">
        <v>1105217</v>
      </c>
      <c r="F1427" s="1">
        <f t="shared" ca="1" si="140"/>
        <v>69</v>
      </c>
      <c r="G1427" s="8" t="s">
        <v>3000</v>
      </c>
      <c r="I1427" s="8" t="s">
        <v>3001</v>
      </c>
      <c r="J1427" s="1"/>
      <c r="K1427" s="1"/>
      <c r="L1427" s="8" t="s">
        <v>3002</v>
      </c>
      <c r="P1427" s="9"/>
      <c r="Q1427" s="3"/>
    </row>
    <row r="1428" spans="1:17" s="8" customFormat="1" x14ac:dyDescent="0.3">
      <c r="A1428" s="384"/>
      <c r="B1428" s="150"/>
      <c r="C1428" s="1" t="s">
        <v>3003</v>
      </c>
      <c r="D1428" s="2">
        <v>22725</v>
      </c>
      <c r="E1428" s="1">
        <v>2120024</v>
      </c>
      <c r="F1428" s="1">
        <f t="shared" ca="1" si="140"/>
        <v>64</v>
      </c>
      <c r="G1428" s="8" t="s">
        <v>3004</v>
      </c>
      <c r="J1428" s="1"/>
      <c r="K1428" s="1"/>
      <c r="P1428" s="9"/>
      <c r="Q1428" s="3"/>
    </row>
    <row r="1429" spans="1:17" s="8" customFormat="1" x14ac:dyDescent="0.3">
      <c r="A1429" s="384"/>
      <c r="B1429" s="280">
        <v>45654</v>
      </c>
      <c r="C1429" s="1" t="s">
        <v>3005</v>
      </c>
      <c r="D1429" s="2">
        <v>34528</v>
      </c>
      <c r="E1429" s="1">
        <v>1829417</v>
      </c>
      <c r="F1429" s="1">
        <f t="shared" ca="1" si="140"/>
        <v>32</v>
      </c>
      <c r="G1429" s="8" t="s">
        <v>3006</v>
      </c>
      <c r="I1429" s="8" t="s">
        <v>3007</v>
      </c>
      <c r="J1429" s="1"/>
      <c r="K1429" s="1"/>
      <c r="P1429" s="9"/>
      <c r="Q1429" s="3"/>
    </row>
    <row r="1430" spans="1:17" s="8" customFormat="1" x14ac:dyDescent="0.3">
      <c r="A1430" s="379"/>
      <c r="B1430" s="280">
        <v>45646</v>
      </c>
      <c r="C1430" s="1" t="s">
        <v>3008</v>
      </c>
      <c r="D1430" s="2">
        <v>34528</v>
      </c>
      <c r="E1430" s="1">
        <v>1829422</v>
      </c>
      <c r="F1430" s="1">
        <f t="shared" ca="1" si="140"/>
        <v>32</v>
      </c>
      <c r="G1430" s="8" t="s">
        <v>3009</v>
      </c>
      <c r="I1430" s="8" t="s">
        <v>3007</v>
      </c>
      <c r="J1430" s="1"/>
      <c r="K1430" s="1"/>
      <c r="P1430" s="9"/>
      <c r="Q1430" s="3"/>
    </row>
    <row r="1431" spans="1:17" s="8" customFormat="1" x14ac:dyDescent="0.3">
      <c r="A1431" s="380" t="s">
        <v>3010</v>
      </c>
      <c r="B1431" s="280">
        <v>45581</v>
      </c>
      <c r="C1431" s="1" t="s">
        <v>3011</v>
      </c>
      <c r="D1431" s="2">
        <v>18702</v>
      </c>
      <c r="E1431" s="1">
        <v>1380433</v>
      </c>
      <c r="F1431" s="1">
        <f t="shared" ca="1" si="140"/>
        <v>75</v>
      </c>
      <c r="G1431" s="8" t="s">
        <v>3012</v>
      </c>
      <c r="J1431" s="1"/>
      <c r="K1431" s="1"/>
      <c r="L1431" s="8" t="s">
        <v>3013</v>
      </c>
      <c r="P1431" s="9"/>
      <c r="Q1431" s="3"/>
    </row>
    <row r="1432" spans="1:17" s="8" customFormat="1" x14ac:dyDescent="0.3">
      <c r="A1432" s="379"/>
      <c r="B1432" s="150"/>
      <c r="C1432" s="1" t="s">
        <v>3014</v>
      </c>
      <c r="D1432" s="2">
        <v>21119</v>
      </c>
      <c r="E1432" s="1">
        <v>2453011</v>
      </c>
      <c r="F1432" s="1">
        <f t="shared" ca="1" si="140"/>
        <v>69</v>
      </c>
      <c r="G1432" s="8" t="s">
        <v>3015</v>
      </c>
      <c r="J1432" s="1"/>
      <c r="K1432" s="1"/>
      <c r="P1432" s="9"/>
      <c r="Q1432" s="3"/>
    </row>
    <row r="1433" spans="1:17" s="8" customFormat="1" x14ac:dyDescent="0.3">
      <c r="A1433" s="306" t="s">
        <v>3016</v>
      </c>
      <c r="B1433" s="150"/>
      <c r="C1433" s="1" t="s">
        <v>3017</v>
      </c>
      <c r="D1433" s="2">
        <v>19829</v>
      </c>
      <c r="E1433" s="1">
        <v>2468715</v>
      </c>
      <c r="F1433" s="1">
        <f t="shared" ca="1" si="140"/>
        <v>72</v>
      </c>
      <c r="G1433" s="8" t="s">
        <v>3018</v>
      </c>
      <c r="J1433" s="1"/>
      <c r="K1433" s="1"/>
      <c r="L1433" s="8" t="s">
        <v>3019</v>
      </c>
      <c r="P1433" s="9"/>
      <c r="Q1433" s="3"/>
    </row>
    <row r="1434" spans="1:17" s="8" customFormat="1" x14ac:dyDescent="0.3">
      <c r="A1434" s="380" t="s">
        <v>3020</v>
      </c>
      <c r="B1434" s="280">
        <v>45596</v>
      </c>
      <c r="C1434" s="1" t="s">
        <v>3021</v>
      </c>
      <c r="D1434" s="2">
        <v>26916</v>
      </c>
      <c r="E1434" s="1">
        <v>1533127</v>
      </c>
      <c r="F1434" s="1">
        <f t="shared" ca="1" si="140"/>
        <v>53</v>
      </c>
      <c r="G1434" s="8" t="s">
        <v>3022</v>
      </c>
      <c r="I1434" s="8" t="s">
        <v>2993</v>
      </c>
      <c r="J1434" s="1"/>
      <c r="K1434" s="1"/>
      <c r="L1434" s="8" t="s">
        <v>3023</v>
      </c>
      <c r="P1434" s="9"/>
      <c r="Q1434" s="3"/>
    </row>
    <row r="1435" spans="1:17" s="8" customFormat="1" x14ac:dyDescent="0.3">
      <c r="A1435" s="384"/>
      <c r="B1435" s="150"/>
      <c r="C1435" s="1" t="s">
        <v>3024</v>
      </c>
      <c r="D1435" s="2">
        <v>16928</v>
      </c>
      <c r="E1435" s="1">
        <v>2068911</v>
      </c>
      <c r="F1435" s="1">
        <f t="shared" ca="1" si="140"/>
        <v>80</v>
      </c>
      <c r="G1435" s="8" t="s">
        <v>3025</v>
      </c>
      <c r="J1435" s="1"/>
      <c r="K1435" s="1"/>
      <c r="L1435" s="8" t="s">
        <v>3026</v>
      </c>
      <c r="P1435" s="9"/>
      <c r="Q1435" s="3"/>
    </row>
    <row r="1436" spans="1:17" s="8" customFormat="1" x14ac:dyDescent="0.3">
      <c r="A1436" s="384"/>
      <c r="B1436" s="150"/>
      <c r="C1436" s="1" t="s">
        <v>3027</v>
      </c>
      <c r="D1436" s="2">
        <v>16195</v>
      </c>
      <c r="E1436" s="1">
        <v>1068913</v>
      </c>
      <c r="F1436" s="1">
        <f t="shared" ca="1" si="140"/>
        <v>82</v>
      </c>
      <c r="G1436" s="8" t="s">
        <v>3028</v>
      </c>
      <c r="J1436" s="1"/>
      <c r="K1436" s="1"/>
      <c r="P1436" s="9"/>
      <c r="Q1436" s="3"/>
    </row>
    <row r="1437" spans="1:17" s="8" customFormat="1" x14ac:dyDescent="0.3">
      <c r="A1437" s="379"/>
      <c r="B1437" s="150"/>
      <c r="C1437" s="1" t="s">
        <v>411</v>
      </c>
      <c r="D1437" s="2">
        <v>28810</v>
      </c>
      <c r="E1437" s="1">
        <v>2650210</v>
      </c>
      <c r="F1437" s="1">
        <f t="shared" ca="1" si="140"/>
        <v>48</v>
      </c>
      <c r="G1437" s="8" t="s">
        <v>3029</v>
      </c>
      <c r="J1437" s="1"/>
      <c r="K1437" s="1"/>
      <c r="P1437" s="9"/>
      <c r="Q1437" s="3"/>
    </row>
    <row r="1438" spans="1:17" s="8" customFormat="1" x14ac:dyDescent="0.3">
      <c r="A1438" s="380" t="s">
        <v>3030</v>
      </c>
      <c r="B1438" s="150"/>
      <c r="C1438" s="1" t="s">
        <v>3031</v>
      </c>
      <c r="D1438" s="2">
        <v>29212</v>
      </c>
      <c r="E1438" s="1">
        <v>1386125</v>
      </c>
      <c r="F1438" s="1">
        <f t="shared" ca="1" si="140"/>
        <v>47</v>
      </c>
      <c r="G1438" s="8" t="s">
        <v>3032</v>
      </c>
      <c r="J1438" s="1"/>
      <c r="K1438" s="1"/>
      <c r="L1438" s="8" t="s">
        <v>3033</v>
      </c>
      <c r="P1438" s="9"/>
      <c r="Q1438" s="3"/>
    </row>
    <row r="1439" spans="1:17" s="8" customFormat="1" x14ac:dyDescent="0.3">
      <c r="A1439" s="384"/>
      <c r="B1439" s="280">
        <v>45554</v>
      </c>
      <c r="C1439" s="1" t="s">
        <v>3034</v>
      </c>
      <c r="D1439" s="2">
        <v>29440</v>
      </c>
      <c r="E1439" s="1">
        <v>2386122</v>
      </c>
      <c r="F1439" s="1">
        <f t="shared" ca="1" si="140"/>
        <v>46</v>
      </c>
      <c r="G1439" s="8" t="s">
        <v>3035</v>
      </c>
      <c r="I1439" s="8" t="s">
        <v>3001</v>
      </c>
      <c r="J1439" s="1"/>
      <c r="K1439" s="1"/>
      <c r="P1439" s="9"/>
      <c r="Q1439" s="3"/>
    </row>
    <row r="1440" spans="1:17" s="8" customFormat="1" x14ac:dyDescent="0.3">
      <c r="A1440" s="384"/>
      <c r="B1440" s="150"/>
      <c r="C1440" s="1" t="s">
        <v>3036</v>
      </c>
      <c r="D1440" s="2">
        <v>40557</v>
      </c>
      <c r="E1440" s="1">
        <v>3475912</v>
      </c>
      <c r="F1440" s="1">
        <f t="shared" ca="1" si="140"/>
        <v>15</v>
      </c>
      <c r="J1440" s="1"/>
      <c r="K1440" s="1"/>
      <c r="P1440" s="9"/>
      <c r="Q1440" s="3"/>
    </row>
    <row r="1441" spans="1:17" s="8" customFormat="1" x14ac:dyDescent="0.3">
      <c r="A1441" s="384"/>
      <c r="B1441" s="150"/>
      <c r="C1441" s="1" t="s">
        <v>3037</v>
      </c>
      <c r="D1441" s="2">
        <v>41548</v>
      </c>
      <c r="E1441" s="1">
        <v>3476215</v>
      </c>
      <c r="F1441" s="1">
        <f t="shared" ca="1" si="140"/>
        <v>13</v>
      </c>
      <c r="J1441" s="1"/>
      <c r="K1441" s="1"/>
      <c r="P1441" s="9"/>
      <c r="Q1441" s="3"/>
    </row>
    <row r="1442" spans="1:17" s="8" customFormat="1" x14ac:dyDescent="0.3">
      <c r="A1442" s="384"/>
      <c r="B1442" s="150"/>
      <c r="C1442" s="1" t="s">
        <v>3038</v>
      </c>
      <c r="D1442" s="2">
        <v>20065</v>
      </c>
      <c r="E1442" s="1">
        <v>2450717</v>
      </c>
      <c r="F1442" s="1">
        <f t="shared" ca="1" si="140"/>
        <v>72</v>
      </c>
      <c r="G1442" s="8" t="s">
        <v>3039</v>
      </c>
      <c r="J1442" s="1"/>
      <c r="K1442" s="1"/>
      <c r="L1442" s="8" t="s">
        <v>3040</v>
      </c>
      <c r="P1442" s="9"/>
      <c r="Q1442" s="3"/>
    </row>
    <row r="1443" spans="1:17" s="8" customFormat="1" x14ac:dyDescent="0.3">
      <c r="A1443" s="379"/>
      <c r="B1443" s="150"/>
      <c r="C1443" s="1" t="s">
        <v>3041</v>
      </c>
      <c r="D1443" s="2">
        <v>18174</v>
      </c>
      <c r="E1443" s="1">
        <v>1157018</v>
      </c>
      <c r="F1443" s="1">
        <f t="shared" ref="F1443:F1498" ca="1" si="142">YEAR(TODAY())-YEAR(D1443)</f>
        <v>77</v>
      </c>
      <c r="J1443" s="1"/>
      <c r="K1443" s="1"/>
      <c r="P1443" s="9"/>
      <c r="Q1443" s="3"/>
    </row>
    <row r="1444" spans="1:17" s="8" customFormat="1" x14ac:dyDescent="0.3">
      <c r="A1444" s="380" t="s">
        <v>3042</v>
      </c>
      <c r="B1444" s="150"/>
      <c r="C1444" s="1" t="s">
        <v>3043</v>
      </c>
      <c r="D1444" s="2">
        <v>31209</v>
      </c>
      <c r="E1444" s="1">
        <v>1155715</v>
      </c>
      <c r="F1444" s="1">
        <f t="shared" ca="1" si="142"/>
        <v>41</v>
      </c>
      <c r="G1444" s="8" t="s">
        <v>3044</v>
      </c>
      <c r="J1444" s="1"/>
      <c r="K1444" s="1"/>
      <c r="L1444" s="8" t="s">
        <v>3045</v>
      </c>
      <c r="P1444" s="9"/>
      <c r="Q1444" s="3"/>
    </row>
    <row r="1445" spans="1:17" s="8" customFormat="1" x14ac:dyDescent="0.3">
      <c r="A1445" s="384"/>
      <c r="B1445" s="150" t="s">
        <v>3046</v>
      </c>
      <c r="C1445" s="1" t="s">
        <v>3047</v>
      </c>
      <c r="D1445" s="2">
        <v>31454</v>
      </c>
      <c r="E1445" s="1">
        <v>2183617</v>
      </c>
      <c r="F1445" s="1">
        <f t="shared" ca="1" si="142"/>
        <v>40</v>
      </c>
      <c r="G1445" s="8" t="s">
        <v>3048</v>
      </c>
      <c r="I1445" s="8" t="s">
        <v>1175</v>
      </c>
      <c r="J1445" s="1"/>
      <c r="K1445" s="1"/>
      <c r="P1445" s="9"/>
      <c r="Q1445" s="3"/>
    </row>
    <row r="1446" spans="1:17" s="8" customFormat="1" x14ac:dyDescent="0.3">
      <c r="A1446" s="384"/>
      <c r="B1446" s="308" t="s">
        <v>3049</v>
      </c>
      <c r="C1446" s="1" t="s">
        <v>3050</v>
      </c>
      <c r="D1446" s="2">
        <v>21233</v>
      </c>
      <c r="E1446" s="1">
        <v>1472114</v>
      </c>
      <c r="F1446" s="1">
        <f t="shared" ca="1" si="142"/>
        <v>68</v>
      </c>
      <c r="G1446" s="8" t="s">
        <v>3051</v>
      </c>
      <c r="I1446" s="8" t="s">
        <v>924</v>
      </c>
      <c r="J1446" s="1"/>
      <c r="K1446" s="1"/>
      <c r="L1446" s="8" t="s">
        <v>3052</v>
      </c>
      <c r="P1446" s="9"/>
      <c r="Q1446" s="3"/>
    </row>
    <row r="1447" spans="1:17" s="8" customFormat="1" x14ac:dyDescent="0.3">
      <c r="A1447" s="379"/>
      <c r="B1447" s="150"/>
      <c r="C1447" s="1" t="s">
        <v>3053</v>
      </c>
      <c r="D1447" s="2">
        <v>23877</v>
      </c>
      <c r="E1447" s="1">
        <v>2472112</v>
      </c>
      <c r="F1447" s="1">
        <f t="shared" ca="1" si="142"/>
        <v>61</v>
      </c>
      <c r="G1447" s="8" t="s">
        <v>3054</v>
      </c>
      <c r="J1447" s="1"/>
      <c r="K1447" s="1"/>
      <c r="P1447" s="9"/>
      <c r="Q1447" s="3"/>
    </row>
    <row r="1448" spans="1:17" s="8" customFormat="1" x14ac:dyDescent="0.3">
      <c r="A1448" s="381" t="s">
        <v>3055</v>
      </c>
      <c r="B1448" s="150"/>
      <c r="C1448" s="1" t="s">
        <v>3056</v>
      </c>
      <c r="D1448" s="2">
        <v>18447</v>
      </c>
      <c r="E1448" s="1">
        <v>2468711</v>
      </c>
      <c r="F1448" s="1">
        <f t="shared" ca="1" si="142"/>
        <v>76</v>
      </c>
      <c r="G1448" s="8" t="s">
        <v>3057</v>
      </c>
      <c r="J1448" s="1"/>
      <c r="K1448" s="1"/>
      <c r="L1448" s="8" t="s">
        <v>3058</v>
      </c>
      <c r="P1448" s="9"/>
      <c r="Q1448" s="3"/>
    </row>
    <row r="1449" spans="1:17" s="8" customFormat="1" x14ac:dyDescent="0.3">
      <c r="A1449" s="379"/>
      <c r="B1449" s="150"/>
      <c r="C1449" s="1" t="s">
        <v>3059</v>
      </c>
      <c r="D1449" s="2">
        <v>18964</v>
      </c>
      <c r="E1449" s="1">
        <v>1468711</v>
      </c>
      <c r="F1449" s="1">
        <f t="shared" ca="1" si="142"/>
        <v>75</v>
      </c>
      <c r="G1449" s="8" t="s">
        <v>3060</v>
      </c>
      <c r="J1449" s="1"/>
      <c r="K1449" s="1"/>
      <c r="P1449" s="9"/>
      <c r="Q1449" s="3"/>
    </row>
    <row r="1450" spans="1:17" s="8" customFormat="1" x14ac:dyDescent="0.3">
      <c r="A1450" s="380" t="s">
        <v>3061</v>
      </c>
      <c r="B1450" s="150"/>
      <c r="C1450" s="1" t="s">
        <v>3062</v>
      </c>
      <c r="D1450" s="2">
        <v>22457</v>
      </c>
      <c r="E1450" s="1">
        <v>2468722</v>
      </c>
      <c r="F1450" s="1">
        <f t="shared" ca="1" si="142"/>
        <v>65</v>
      </c>
      <c r="G1450" s="8" t="s">
        <v>3063</v>
      </c>
      <c r="J1450" s="1"/>
      <c r="K1450" s="1"/>
      <c r="L1450" s="8" t="s">
        <v>3064</v>
      </c>
      <c r="P1450" s="9"/>
      <c r="Q1450" s="3"/>
    </row>
    <row r="1451" spans="1:17" s="8" customFormat="1" x14ac:dyDescent="0.3">
      <c r="A1451" s="379"/>
      <c r="B1451" s="150" t="s">
        <v>3065</v>
      </c>
      <c r="C1451" s="1" t="s">
        <v>3066</v>
      </c>
      <c r="D1451" s="2">
        <v>21649</v>
      </c>
      <c r="E1451" s="1">
        <v>1468719</v>
      </c>
      <c r="F1451" s="1">
        <f t="shared" ca="1" si="142"/>
        <v>67</v>
      </c>
      <c r="I1451" s="8" t="s">
        <v>3067</v>
      </c>
      <c r="J1451" s="1"/>
      <c r="K1451" s="1"/>
      <c r="P1451" s="9"/>
      <c r="Q1451" s="3"/>
    </row>
    <row r="1452" spans="1:17" s="8" customFormat="1" x14ac:dyDescent="0.3">
      <c r="A1452" s="182" t="s">
        <v>3068</v>
      </c>
      <c r="B1452" s="150" t="s">
        <v>3069</v>
      </c>
      <c r="C1452" s="1" t="s">
        <v>3070</v>
      </c>
      <c r="D1452" s="2">
        <v>18727</v>
      </c>
      <c r="E1452" s="1">
        <v>1469419</v>
      </c>
      <c r="F1452" s="1">
        <f t="shared" ca="1" si="142"/>
        <v>75</v>
      </c>
      <c r="G1452" s="8" t="s">
        <v>3071</v>
      </c>
      <c r="I1452" s="8" t="s">
        <v>3072</v>
      </c>
      <c r="J1452" s="1"/>
      <c r="K1452" s="1"/>
      <c r="L1452" s="8" t="s">
        <v>3073</v>
      </c>
      <c r="P1452" s="9"/>
      <c r="Q1452" s="3"/>
    </row>
    <row r="1453" spans="1:17" s="8" customFormat="1" x14ac:dyDescent="0.3">
      <c r="A1453" s="307" t="s">
        <v>3074</v>
      </c>
      <c r="B1453" s="150"/>
      <c r="C1453" s="1" t="s">
        <v>3075</v>
      </c>
      <c r="D1453" s="2">
        <v>17573</v>
      </c>
      <c r="E1453" s="1">
        <v>2468418</v>
      </c>
      <c r="F1453" s="1">
        <f t="shared" ca="1" si="142"/>
        <v>78</v>
      </c>
      <c r="G1453" s="8" t="s">
        <v>3076</v>
      </c>
      <c r="J1453" s="1"/>
      <c r="K1453" s="1"/>
      <c r="L1453" s="8" t="s">
        <v>3077</v>
      </c>
      <c r="P1453" s="9"/>
      <c r="Q1453" s="3"/>
    </row>
    <row r="1454" spans="1:17" s="8" customFormat="1" x14ac:dyDescent="0.3">
      <c r="A1454" s="380" t="s">
        <v>3078</v>
      </c>
      <c r="B1454" s="150"/>
      <c r="C1454" s="1" t="s">
        <v>3079</v>
      </c>
      <c r="D1454" s="2">
        <v>18215</v>
      </c>
      <c r="E1454" s="1">
        <v>1168029</v>
      </c>
      <c r="F1454" s="1">
        <f t="shared" ca="1" si="142"/>
        <v>77</v>
      </c>
      <c r="G1454" s="8" t="s">
        <v>3080</v>
      </c>
      <c r="J1454" s="1"/>
      <c r="K1454" s="1"/>
      <c r="L1454" s="8" t="s">
        <v>3081</v>
      </c>
      <c r="P1454" s="9"/>
      <c r="Q1454" s="3"/>
    </row>
    <row r="1455" spans="1:17" s="8" customFormat="1" x14ac:dyDescent="0.3">
      <c r="A1455" s="379"/>
      <c r="B1455" s="150"/>
      <c r="C1455" s="1" t="s">
        <v>3082</v>
      </c>
      <c r="D1455" s="2">
        <v>21280</v>
      </c>
      <c r="E1455" s="1">
        <v>2468816</v>
      </c>
      <c r="F1455" s="1">
        <f t="shared" ca="1" si="142"/>
        <v>68</v>
      </c>
      <c r="G1455" s="8" t="s">
        <v>3083</v>
      </c>
      <c r="J1455" s="1"/>
      <c r="K1455" s="1"/>
      <c r="P1455" s="9"/>
      <c r="Q1455" s="3"/>
    </row>
    <row r="1456" spans="1:17" s="8" customFormat="1" x14ac:dyDescent="0.3">
      <c r="A1456" s="182" t="s">
        <v>3084</v>
      </c>
      <c r="B1456" s="150"/>
      <c r="C1456" s="1" t="s">
        <v>3085</v>
      </c>
      <c r="D1456" s="2">
        <v>17578</v>
      </c>
      <c r="E1456" s="1">
        <v>2253520</v>
      </c>
      <c r="F1456" s="1">
        <f t="shared" ca="1" si="142"/>
        <v>78</v>
      </c>
      <c r="G1456" s="8" t="s">
        <v>3086</v>
      </c>
      <c r="J1456" s="1"/>
      <c r="K1456" s="1"/>
      <c r="L1456" s="8" t="s">
        <v>3087</v>
      </c>
      <c r="P1456" s="9"/>
      <c r="Q1456" s="3"/>
    </row>
    <row r="1457" spans="1:17" s="8" customFormat="1" x14ac:dyDescent="0.3">
      <c r="A1457" s="357"/>
      <c r="B1457" s="150"/>
      <c r="C1457" s="358" t="s">
        <v>3527</v>
      </c>
      <c r="D1457" s="2">
        <v>17156</v>
      </c>
      <c r="E1457" s="358">
        <v>1148911</v>
      </c>
      <c r="F1457" s="358">
        <f t="shared" ca="1" si="142"/>
        <v>80</v>
      </c>
      <c r="G1457" s="8" t="s">
        <v>3528</v>
      </c>
      <c r="J1457" s="358"/>
      <c r="K1457" s="358"/>
      <c r="P1457" s="9"/>
      <c r="Q1457" s="3"/>
    </row>
    <row r="1458" spans="1:17" s="8" customFormat="1" x14ac:dyDescent="0.3">
      <c r="A1458" s="381" t="s">
        <v>3088</v>
      </c>
      <c r="B1458" s="150"/>
      <c r="C1458" s="372" t="s">
        <v>3660</v>
      </c>
      <c r="D1458" s="2">
        <v>17215</v>
      </c>
      <c r="E1458" s="372">
        <v>2469525</v>
      </c>
      <c r="F1458" s="372">
        <f t="shared" ca="1" si="142"/>
        <v>79</v>
      </c>
      <c r="G1458" s="8" t="s">
        <v>3661</v>
      </c>
      <c r="J1458" s="372"/>
      <c r="K1458" s="372"/>
      <c r="P1458" s="9"/>
      <c r="Q1458" s="3"/>
    </row>
    <row r="1459" spans="1:17" s="8" customFormat="1" x14ac:dyDescent="0.3">
      <c r="A1459" s="379"/>
      <c r="B1459" s="150"/>
      <c r="C1459" s="1" t="s">
        <v>3089</v>
      </c>
      <c r="D1459" s="2">
        <v>16876</v>
      </c>
      <c r="E1459" s="1">
        <v>1469518</v>
      </c>
      <c r="F1459" s="1">
        <f t="shared" ca="1" si="142"/>
        <v>80</v>
      </c>
      <c r="G1459" s="8" t="s">
        <v>3090</v>
      </c>
      <c r="J1459" s="1"/>
      <c r="K1459" s="1"/>
      <c r="L1459" s="8" t="s">
        <v>3091</v>
      </c>
      <c r="P1459" s="9"/>
      <c r="Q1459" s="3"/>
    </row>
    <row r="1460" spans="1:17" s="8" customFormat="1" x14ac:dyDescent="0.3">
      <c r="A1460" s="381" t="s">
        <v>3092</v>
      </c>
      <c r="B1460" s="150"/>
      <c r="C1460" s="1" t="s">
        <v>3093</v>
      </c>
      <c r="D1460" s="2">
        <v>30536</v>
      </c>
      <c r="E1460" s="1">
        <v>1155120</v>
      </c>
      <c r="F1460" s="1">
        <f t="shared" ca="1" si="142"/>
        <v>43</v>
      </c>
      <c r="G1460" s="8" t="s">
        <v>3094</v>
      </c>
      <c r="J1460" s="1"/>
      <c r="K1460" s="1"/>
      <c r="L1460" s="8" t="s">
        <v>3095</v>
      </c>
      <c r="P1460" s="9"/>
      <c r="Q1460" s="3"/>
    </row>
    <row r="1461" spans="1:17" s="8" customFormat="1" x14ac:dyDescent="0.3">
      <c r="A1461" s="379"/>
      <c r="B1461" s="150"/>
      <c r="C1461" s="1" t="s">
        <v>3096</v>
      </c>
      <c r="D1461" s="2">
        <v>29920</v>
      </c>
      <c r="E1461" s="1">
        <v>2024411</v>
      </c>
      <c r="F1461" s="1">
        <f t="shared" ca="1" si="142"/>
        <v>45</v>
      </c>
      <c r="G1461" s="8" t="s">
        <v>3097</v>
      </c>
      <c r="J1461" s="1"/>
      <c r="K1461" s="1"/>
      <c r="L1461" s="8" t="s">
        <v>3095</v>
      </c>
      <c r="P1461" s="9"/>
      <c r="Q1461" s="3"/>
    </row>
    <row r="1462" spans="1:17" s="8" customFormat="1" x14ac:dyDescent="0.3">
      <c r="A1462" s="182" t="s">
        <v>3098</v>
      </c>
      <c r="B1462" s="150"/>
      <c r="C1462" s="1" t="s">
        <v>3099</v>
      </c>
      <c r="D1462" s="2">
        <v>28128</v>
      </c>
      <c r="E1462" s="1">
        <v>1011740</v>
      </c>
      <c r="F1462" s="1">
        <f t="shared" ca="1" si="142"/>
        <v>49</v>
      </c>
      <c r="G1462" s="8" t="s">
        <v>3100</v>
      </c>
      <c r="J1462" s="1"/>
      <c r="K1462" s="1"/>
      <c r="L1462" s="8" t="s">
        <v>3101</v>
      </c>
      <c r="P1462" s="9"/>
      <c r="Q1462" s="3"/>
    </row>
    <row r="1463" spans="1:17" s="8" customFormat="1" x14ac:dyDescent="0.3">
      <c r="A1463" s="380" t="s">
        <v>3102</v>
      </c>
      <c r="B1463" s="150"/>
      <c r="C1463" s="1" t="s">
        <v>3103</v>
      </c>
      <c r="D1463" s="2">
        <v>31816</v>
      </c>
      <c r="E1463" s="1">
        <v>2108824</v>
      </c>
      <c r="F1463" s="1">
        <f t="shared" ca="1" si="142"/>
        <v>39</v>
      </c>
      <c r="G1463" s="8" t="s">
        <v>3104</v>
      </c>
      <c r="J1463" s="1"/>
      <c r="K1463" s="1"/>
      <c r="L1463" s="8" t="s">
        <v>3105</v>
      </c>
      <c r="P1463" s="9"/>
      <c r="Q1463" s="3"/>
    </row>
    <row r="1464" spans="1:17" s="8" customFormat="1" x14ac:dyDescent="0.3">
      <c r="A1464" s="379"/>
      <c r="B1464" s="150"/>
      <c r="C1464" s="1" t="s">
        <v>3106</v>
      </c>
      <c r="D1464" s="2">
        <v>29135</v>
      </c>
      <c r="E1464" s="1">
        <v>1105812</v>
      </c>
      <c r="F1464" s="1">
        <f t="shared" ca="1" si="142"/>
        <v>47</v>
      </c>
      <c r="G1464" s="8" t="s">
        <v>3107</v>
      </c>
      <c r="J1464" s="1"/>
      <c r="K1464" s="1"/>
      <c r="L1464" s="8" t="s">
        <v>3105</v>
      </c>
      <c r="P1464" s="9"/>
      <c r="Q1464" s="3"/>
    </row>
    <row r="1465" spans="1:17" s="8" customFormat="1" x14ac:dyDescent="0.3">
      <c r="A1465" s="381" t="s">
        <v>3108</v>
      </c>
      <c r="B1465" s="150"/>
      <c r="C1465" s="1" t="s">
        <v>3109</v>
      </c>
      <c r="D1465" s="2">
        <v>28109</v>
      </c>
      <c r="E1465" s="1">
        <v>1466532</v>
      </c>
      <c r="F1465" s="1">
        <f t="shared" ca="1" si="142"/>
        <v>50</v>
      </c>
      <c r="G1465" s="8" t="s">
        <v>3110</v>
      </c>
      <c r="J1465" s="1"/>
      <c r="K1465" s="1"/>
      <c r="L1465" s="8" t="s">
        <v>3111</v>
      </c>
      <c r="P1465" s="9"/>
      <c r="Q1465" s="3"/>
    </row>
    <row r="1466" spans="1:17" s="8" customFormat="1" x14ac:dyDescent="0.3">
      <c r="A1466" s="379"/>
      <c r="B1466" s="150"/>
      <c r="C1466" s="1" t="s">
        <v>3112</v>
      </c>
      <c r="D1466" s="2">
        <v>28804</v>
      </c>
      <c r="E1466" s="1">
        <v>2095521</v>
      </c>
      <c r="F1466" s="1">
        <f t="shared" ca="1" si="142"/>
        <v>48</v>
      </c>
      <c r="G1466" s="8" t="s">
        <v>3113</v>
      </c>
      <c r="J1466" s="1"/>
      <c r="K1466" s="1"/>
      <c r="P1466" s="9"/>
      <c r="Q1466" s="3"/>
    </row>
    <row r="1467" spans="1:17" s="8" customFormat="1" x14ac:dyDescent="0.3">
      <c r="A1467" s="381" t="s">
        <v>3114</v>
      </c>
      <c r="B1467" s="150"/>
      <c r="C1467" s="1" t="s">
        <v>3115</v>
      </c>
      <c r="D1467" s="2">
        <v>33722</v>
      </c>
      <c r="E1467" s="1">
        <v>2400914</v>
      </c>
      <c r="F1467" s="1">
        <f t="shared" ca="1" si="142"/>
        <v>34</v>
      </c>
      <c r="G1467" s="8" t="s">
        <v>3116</v>
      </c>
      <c r="J1467" s="1"/>
      <c r="K1467" s="1"/>
      <c r="L1467" s="8" t="s">
        <v>3117</v>
      </c>
      <c r="P1467" s="9"/>
      <c r="Q1467" s="3"/>
    </row>
    <row r="1468" spans="1:17" s="8" customFormat="1" x14ac:dyDescent="0.3">
      <c r="A1468" s="384"/>
      <c r="B1468" s="150"/>
      <c r="C1468" s="1" t="s">
        <v>2962</v>
      </c>
      <c r="D1468" s="2">
        <v>36361</v>
      </c>
      <c r="E1468" s="1">
        <v>2404014</v>
      </c>
      <c r="F1468" s="1">
        <f t="shared" ca="1" si="142"/>
        <v>27</v>
      </c>
      <c r="G1468" s="8" t="s">
        <v>3118</v>
      </c>
      <c r="J1468" s="1"/>
      <c r="K1468" s="1"/>
      <c r="L1468" s="8" t="s">
        <v>3119</v>
      </c>
      <c r="P1468" s="9"/>
      <c r="Q1468" s="3"/>
    </row>
    <row r="1469" spans="1:17" s="8" customFormat="1" x14ac:dyDescent="0.3">
      <c r="A1469" s="384"/>
      <c r="B1469" s="150"/>
      <c r="C1469" s="1" t="s">
        <v>3120</v>
      </c>
      <c r="D1469" s="2">
        <v>33808</v>
      </c>
      <c r="E1469" s="1">
        <v>1123517</v>
      </c>
      <c r="F1469" s="1">
        <f t="shared" ca="1" si="142"/>
        <v>34</v>
      </c>
      <c r="G1469" s="8" t="s">
        <v>3121</v>
      </c>
      <c r="J1469" s="1"/>
      <c r="K1469" s="1"/>
      <c r="L1469" s="8" t="s">
        <v>3122</v>
      </c>
      <c r="P1469" s="9"/>
      <c r="Q1469" s="3"/>
    </row>
    <row r="1470" spans="1:17" s="8" customFormat="1" x14ac:dyDescent="0.3">
      <c r="A1470" s="384"/>
      <c r="B1470" s="150"/>
      <c r="C1470" s="309" t="s">
        <v>3274</v>
      </c>
      <c r="D1470" s="2">
        <v>23689</v>
      </c>
      <c r="E1470" s="309">
        <v>1402826</v>
      </c>
      <c r="F1470" s="309">
        <f t="shared" ca="1" si="142"/>
        <v>62</v>
      </c>
      <c r="G1470" s="8" t="s">
        <v>3275</v>
      </c>
      <c r="J1470" s="309"/>
      <c r="K1470" s="309"/>
      <c r="P1470" s="9"/>
      <c r="Q1470" s="3"/>
    </row>
    <row r="1471" spans="1:17" s="8" customFormat="1" x14ac:dyDescent="0.3">
      <c r="A1471" s="379"/>
      <c r="B1471" s="150"/>
      <c r="C1471" s="1" t="s">
        <v>3123</v>
      </c>
      <c r="D1471" s="2">
        <v>35534</v>
      </c>
      <c r="E1471" s="1">
        <v>1404011</v>
      </c>
      <c r="F1471" s="1">
        <f t="shared" ca="1" si="142"/>
        <v>29</v>
      </c>
      <c r="G1471" s="8" t="s">
        <v>3124</v>
      </c>
      <c r="J1471" s="1"/>
      <c r="K1471" s="1"/>
      <c r="L1471" s="8" t="s">
        <v>3125</v>
      </c>
      <c r="P1471" s="9"/>
      <c r="Q1471" s="3"/>
    </row>
    <row r="1472" spans="1:17" s="8" customFormat="1" x14ac:dyDescent="0.3">
      <c r="A1472" s="381" t="s">
        <v>3126</v>
      </c>
      <c r="B1472" s="150"/>
      <c r="C1472" s="1" t="s">
        <v>3127</v>
      </c>
      <c r="D1472" s="2">
        <v>32891</v>
      </c>
      <c r="E1472" s="1">
        <v>2205425</v>
      </c>
      <c r="F1472" s="1">
        <f t="shared" ca="1" si="142"/>
        <v>36</v>
      </c>
      <c r="G1472" s="8" t="s">
        <v>3128</v>
      </c>
      <c r="J1472" s="1"/>
      <c r="K1472" s="1"/>
      <c r="L1472" s="8" t="s">
        <v>3129</v>
      </c>
      <c r="P1472" s="9"/>
      <c r="Q1472" s="3"/>
    </row>
    <row r="1473" spans="1:17" s="8" customFormat="1" x14ac:dyDescent="0.3">
      <c r="A1473" s="384"/>
      <c r="B1473" s="150"/>
      <c r="C1473" s="1" t="s">
        <v>3130</v>
      </c>
      <c r="D1473" s="2">
        <v>43359</v>
      </c>
      <c r="E1473" s="1">
        <v>4415528</v>
      </c>
      <c r="F1473" s="1">
        <f t="shared" ca="1" si="142"/>
        <v>8</v>
      </c>
      <c r="J1473" s="1"/>
      <c r="K1473" s="1"/>
      <c r="P1473" s="9"/>
      <c r="Q1473" s="3"/>
    </row>
    <row r="1474" spans="1:17" s="8" customFormat="1" x14ac:dyDescent="0.3">
      <c r="A1474" s="384"/>
      <c r="B1474" s="150"/>
      <c r="C1474" s="1" t="s">
        <v>3131</v>
      </c>
      <c r="D1474" s="2">
        <v>23386</v>
      </c>
      <c r="E1474" s="1">
        <v>2452450</v>
      </c>
      <c r="F1474" s="1">
        <f t="shared" ca="1" si="142"/>
        <v>62</v>
      </c>
      <c r="G1474" s="8" t="s">
        <v>3132</v>
      </c>
      <c r="J1474" s="1"/>
      <c r="K1474" s="1"/>
      <c r="P1474" s="9"/>
      <c r="Q1474" s="3"/>
    </row>
    <row r="1475" spans="1:17" s="8" customFormat="1" x14ac:dyDescent="0.3">
      <c r="A1475" s="384"/>
      <c r="B1475" s="150"/>
      <c r="C1475" s="1" t="s">
        <v>456</v>
      </c>
      <c r="D1475" s="2">
        <v>30970</v>
      </c>
      <c r="E1475" s="1">
        <v>1531611</v>
      </c>
      <c r="F1475" s="1">
        <f t="shared" ca="1" si="142"/>
        <v>42</v>
      </c>
      <c r="G1475" s="8" t="s">
        <v>3133</v>
      </c>
      <c r="J1475" s="1"/>
      <c r="K1475" s="1"/>
      <c r="P1475" s="9"/>
      <c r="Q1475" s="3"/>
    </row>
    <row r="1476" spans="1:17" s="8" customFormat="1" x14ac:dyDescent="0.3">
      <c r="A1476" s="379"/>
      <c r="B1476" s="150"/>
      <c r="C1476" s="310" t="s">
        <v>3277</v>
      </c>
      <c r="D1476" s="2">
        <v>31426</v>
      </c>
      <c r="E1476" s="310">
        <v>1415014</v>
      </c>
      <c r="F1476" s="310">
        <f t="shared" ca="1" si="142"/>
        <v>40</v>
      </c>
      <c r="G1476" s="8" t="s">
        <v>3278</v>
      </c>
      <c r="J1476" s="310"/>
      <c r="K1476" s="310"/>
      <c r="P1476" s="9"/>
      <c r="Q1476" s="3"/>
    </row>
    <row r="1477" spans="1:17" s="8" customFormat="1" x14ac:dyDescent="0.3">
      <c r="A1477" s="381" t="s">
        <v>3134</v>
      </c>
      <c r="B1477" s="150"/>
      <c r="C1477" s="1" t="s">
        <v>3135</v>
      </c>
      <c r="D1477" s="2">
        <v>30967</v>
      </c>
      <c r="E1477" s="1">
        <v>2820629</v>
      </c>
      <c r="F1477" s="1">
        <f t="shared" ca="1" si="142"/>
        <v>42</v>
      </c>
      <c r="G1477" s="8" t="s">
        <v>3136</v>
      </c>
      <c r="J1477" s="1"/>
      <c r="K1477" s="1"/>
      <c r="L1477" s="8" t="s">
        <v>3137</v>
      </c>
      <c r="P1477" s="9"/>
      <c r="Q1477" s="3"/>
    </row>
    <row r="1478" spans="1:17" s="8" customFormat="1" x14ac:dyDescent="0.3">
      <c r="A1478" s="379"/>
      <c r="B1478" s="150"/>
      <c r="C1478" s="336" t="s">
        <v>3428</v>
      </c>
      <c r="D1478" s="2">
        <v>29049</v>
      </c>
      <c r="E1478" s="336">
        <v>1482012</v>
      </c>
      <c r="F1478" s="336">
        <f t="shared" ca="1" si="142"/>
        <v>47</v>
      </c>
      <c r="G1478" s="8" t="s">
        <v>3429</v>
      </c>
      <c r="J1478" s="336"/>
      <c r="K1478" s="336"/>
      <c r="P1478" s="9"/>
      <c r="Q1478" s="3"/>
    </row>
    <row r="1479" spans="1:17" s="8" customFormat="1" x14ac:dyDescent="0.3">
      <c r="A1479" s="182" t="s">
        <v>3138</v>
      </c>
      <c r="B1479" s="150"/>
      <c r="C1479" s="1" t="s">
        <v>3139</v>
      </c>
      <c r="D1479" s="2">
        <v>18320</v>
      </c>
      <c r="E1479" s="1">
        <v>1047613</v>
      </c>
      <c r="F1479" s="1">
        <f t="shared" ca="1" si="142"/>
        <v>76</v>
      </c>
      <c r="G1479" s="8" t="s">
        <v>3140</v>
      </c>
      <c r="J1479" s="1"/>
      <c r="K1479" s="1"/>
      <c r="L1479" s="8" t="s">
        <v>3141</v>
      </c>
      <c r="P1479" s="9"/>
      <c r="Q1479" s="3"/>
    </row>
    <row r="1480" spans="1:17" s="8" customFormat="1" x14ac:dyDescent="0.3">
      <c r="A1480" s="381" t="s">
        <v>3142</v>
      </c>
      <c r="B1480" s="150"/>
      <c r="C1480" s="1" t="s">
        <v>3143</v>
      </c>
      <c r="D1480" s="2">
        <v>23721</v>
      </c>
      <c r="E1480" s="1">
        <v>1474236</v>
      </c>
      <c r="F1480" s="8">
        <f t="shared" ca="1" si="142"/>
        <v>62</v>
      </c>
      <c r="G1480" s="8" t="s">
        <v>3144</v>
      </c>
      <c r="J1480" s="1"/>
      <c r="K1480" s="1"/>
      <c r="L1480" s="8" t="s">
        <v>3145</v>
      </c>
      <c r="P1480" s="9"/>
      <c r="Q1480" s="3"/>
    </row>
    <row r="1481" spans="1:17" s="8" customFormat="1" x14ac:dyDescent="0.3">
      <c r="A1481" s="384"/>
      <c r="B1481" s="150"/>
      <c r="C1481" s="1" t="s">
        <v>237</v>
      </c>
      <c r="D1481" s="2">
        <v>24536</v>
      </c>
      <c r="E1481" s="1">
        <v>2476313</v>
      </c>
      <c r="F1481" s="8">
        <f t="shared" ca="1" si="142"/>
        <v>59</v>
      </c>
      <c r="G1481" s="8" t="s">
        <v>3146</v>
      </c>
      <c r="J1481" s="1"/>
      <c r="K1481" s="1"/>
      <c r="P1481" s="9"/>
      <c r="Q1481" s="3"/>
    </row>
    <row r="1482" spans="1:17" s="8" customFormat="1" x14ac:dyDescent="0.3">
      <c r="A1482" s="379"/>
      <c r="B1482" s="150"/>
      <c r="C1482" s="367" t="s">
        <v>3571</v>
      </c>
      <c r="D1482" s="2">
        <v>33273</v>
      </c>
      <c r="E1482" s="367">
        <v>2478918</v>
      </c>
      <c r="F1482" s="8">
        <f t="shared" ca="1" si="142"/>
        <v>35</v>
      </c>
      <c r="G1482" s="8" t="s">
        <v>3573</v>
      </c>
      <c r="J1482" s="367"/>
      <c r="K1482" s="367"/>
      <c r="L1482" s="8" t="s">
        <v>3572</v>
      </c>
      <c r="P1482" s="9"/>
      <c r="Q1482" s="3"/>
    </row>
    <row r="1483" spans="1:17" s="8" customFormat="1" x14ac:dyDescent="0.3">
      <c r="A1483" s="380" t="s">
        <v>3276</v>
      </c>
      <c r="B1483" s="150"/>
      <c r="C1483" s="1" t="s">
        <v>3270</v>
      </c>
      <c r="D1483" s="2">
        <v>23782</v>
      </c>
      <c r="E1483" s="1">
        <v>2468411</v>
      </c>
      <c r="F1483" s="8">
        <f t="shared" ca="1" si="142"/>
        <v>61</v>
      </c>
      <c r="G1483" s="8" t="s">
        <v>3271</v>
      </c>
      <c r="J1483" s="1"/>
      <c r="K1483" s="1"/>
      <c r="L1483" s="8" t="s">
        <v>3272</v>
      </c>
      <c r="P1483" s="9"/>
      <c r="Q1483" s="3"/>
    </row>
    <row r="1484" spans="1:17" s="8" customFormat="1" x14ac:dyDescent="0.3">
      <c r="A1484" s="379"/>
      <c r="B1484" s="150"/>
      <c r="C1484" s="1" t="s">
        <v>3273</v>
      </c>
      <c r="D1484" s="2">
        <v>20839</v>
      </c>
      <c r="E1484" s="1">
        <v>1469411</v>
      </c>
      <c r="F1484" s="8">
        <f t="shared" ca="1" si="142"/>
        <v>69</v>
      </c>
      <c r="J1484" s="1"/>
      <c r="K1484" s="1"/>
      <c r="L1484" s="8" t="s">
        <v>3272</v>
      </c>
      <c r="P1484" s="9"/>
      <c r="Q1484" s="3"/>
    </row>
    <row r="1485" spans="1:17" s="8" customFormat="1" x14ac:dyDescent="0.3">
      <c r="A1485" s="307" t="s">
        <v>3284</v>
      </c>
      <c r="B1485" s="150"/>
      <c r="C1485" s="1" t="s">
        <v>3279</v>
      </c>
      <c r="D1485" s="2">
        <v>33740</v>
      </c>
      <c r="E1485" s="1">
        <v>2005415</v>
      </c>
      <c r="F1485" s="8">
        <f t="shared" ca="1" si="142"/>
        <v>34</v>
      </c>
      <c r="G1485" s="8" t="s">
        <v>3280</v>
      </c>
      <c r="J1485" s="1"/>
      <c r="K1485" s="1"/>
      <c r="P1485" s="9"/>
      <c r="Q1485" s="3"/>
    </row>
    <row r="1486" spans="1:17" s="8" customFormat="1" x14ac:dyDescent="0.3">
      <c r="A1486" s="381" t="s">
        <v>3295</v>
      </c>
      <c r="B1486" s="150"/>
      <c r="C1486" s="1" t="s">
        <v>3291</v>
      </c>
      <c r="D1486" s="2">
        <v>18183</v>
      </c>
      <c r="E1486" s="1">
        <v>1390612</v>
      </c>
      <c r="F1486" s="8">
        <f t="shared" ca="1" si="142"/>
        <v>77</v>
      </c>
      <c r="G1486" s="8" t="s">
        <v>3287</v>
      </c>
      <c r="J1486" s="1"/>
      <c r="K1486" s="1"/>
      <c r="L1486" s="8" t="s">
        <v>3285</v>
      </c>
      <c r="P1486" s="9"/>
      <c r="Q1486" s="3"/>
    </row>
    <row r="1487" spans="1:17" s="8" customFormat="1" x14ac:dyDescent="0.3">
      <c r="A1487" s="384"/>
      <c r="B1487" s="150"/>
      <c r="C1487" s="1" t="s">
        <v>1316</v>
      </c>
      <c r="D1487" s="2">
        <v>28756</v>
      </c>
      <c r="E1487" s="1">
        <v>1657224</v>
      </c>
      <c r="F1487" s="8">
        <f t="shared" ca="1" si="142"/>
        <v>48</v>
      </c>
      <c r="G1487" s="8" t="s">
        <v>3288</v>
      </c>
      <c r="J1487" s="1"/>
      <c r="K1487" s="1"/>
      <c r="L1487" s="8" t="s">
        <v>3286</v>
      </c>
      <c r="P1487" s="9"/>
      <c r="Q1487" s="3"/>
    </row>
    <row r="1488" spans="1:17" s="8" customFormat="1" x14ac:dyDescent="0.3">
      <c r="A1488" s="379"/>
      <c r="B1488" s="150"/>
      <c r="C1488" s="1" t="s">
        <v>3289</v>
      </c>
      <c r="D1488" s="2">
        <v>29863</v>
      </c>
      <c r="E1488" s="1">
        <v>2350214</v>
      </c>
      <c r="F1488" s="8">
        <f t="shared" ca="1" si="142"/>
        <v>45</v>
      </c>
      <c r="G1488" s="8" t="s">
        <v>3290</v>
      </c>
      <c r="J1488" s="1"/>
      <c r="K1488" s="1"/>
      <c r="L1488" s="8" t="s">
        <v>3286</v>
      </c>
      <c r="P1488" s="9"/>
      <c r="Q1488" s="3"/>
    </row>
    <row r="1489" spans="1:17" s="8" customFormat="1" x14ac:dyDescent="0.3">
      <c r="A1489" s="381" t="s">
        <v>3296</v>
      </c>
      <c r="B1489" s="150"/>
      <c r="C1489" s="1" t="s">
        <v>3292</v>
      </c>
      <c r="D1489" s="2">
        <v>32344</v>
      </c>
      <c r="E1489" s="1">
        <v>1042129</v>
      </c>
      <c r="F1489" s="8">
        <f t="shared" ca="1" si="142"/>
        <v>38</v>
      </c>
      <c r="G1489" s="8" t="s">
        <v>3293</v>
      </c>
      <c r="J1489" s="1"/>
      <c r="K1489" s="1"/>
      <c r="L1489" s="8" t="s">
        <v>3294</v>
      </c>
      <c r="P1489" s="9"/>
      <c r="Q1489" s="3"/>
    </row>
    <row r="1490" spans="1:17" s="8" customFormat="1" x14ac:dyDescent="0.3">
      <c r="A1490" s="379"/>
      <c r="B1490" s="150"/>
      <c r="C1490" s="323" t="s">
        <v>3320</v>
      </c>
      <c r="D1490" s="2">
        <v>42297</v>
      </c>
      <c r="E1490" s="323">
        <v>4475915</v>
      </c>
      <c r="F1490" s="8">
        <f t="shared" ca="1" si="142"/>
        <v>11</v>
      </c>
      <c r="J1490" s="323"/>
      <c r="K1490" s="323"/>
      <c r="P1490" s="9"/>
      <c r="Q1490" s="3"/>
    </row>
    <row r="1491" spans="1:17" s="8" customFormat="1" x14ac:dyDescent="0.3">
      <c r="A1491" s="381" t="s">
        <v>3297</v>
      </c>
      <c r="B1491" s="150"/>
      <c r="C1491" s="1" t="s">
        <v>3298</v>
      </c>
      <c r="D1491" s="2">
        <v>20916</v>
      </c>
      <c r="E1491" s="1">
        <v>1538539</v>
      </c>
      <c r="F1491" s="8">
        <f t="shared" ca="1" si="142"/>
        <v>69</v>
      </c>
      <c r="G1491" s="8" t="s">
        <v>3300</v>
      </c>
      <c r="J1491" s="1"/>
      <c r="K1491" s="1"/>
      <c r="P1491" s="9"/>
      <c r="Q1491" s="3"/>
    </row>
    <row r="1492" spans="1:17" s="8" customFormat="1" x14ac:dyDescent="0.3">
      <c r="A1492" s="379"/>
      <c r="B1492" s="150"/>
      <c r="C1492" s="1" t="s">
        <v>3299</v>
      </c>
      <c r="D1492" s="2">
        <v>22144</v>
      </c>
      <c r="E1492" s="1">
        <v>20699111</v>
      </c>
      <c r="F1492" s="8">
        <f t="shared" ca="1" si="142"/>
        <v>66</v>
      </c>
      <c r="G1492" s="8" t="s">
        <v>3301</v>
      </c>
      <c r="J1492" s="1"/>
      <c r="K1492" s="1"/>
      <c r="P1492" s="9"/>
      <c r="Q1492" s="3"/>
    </row>
    <row r="1493" spans="1:17" s="8" customFormat="1" x14ac:dyDescent="0.3">
      <c r="A1493" s="313" t="s">
        <v>3302</v>
      </c>
      <c r="B1493" s="150"/>
      <c r="C1493" s="1" t="s">
        <v>3303</v>
      </c>
      <c r="D1493" s="2">
        <v>20386</v>
      </c>
      <c r="E1493" s="1">
        <v>2522318</v>
      </c>
      <c r="F1493" s="8">
        <f t="shared" ca="1" si="142"/>
        <v>71</v>
      </c>
      <c r="G1493" s="8" t="s">
        <v>3304</v>
      </c>
      <c r="J1493" s="1"/>
      <c r="K1493" s="314" t="s">
        <v>3305</v>
      </c>
      <c r="L1493" s="315"/>
      <c r="M1493" s="315" t="s">
        <v>3305</v>
      </c>
      <c r="P1493" s="9"/>
      <c r="Q1493" s="3"/>
    </row>
    <row r="1494" spans="1:17" s="8" customFormat="1" x14ac:dyDescent="0.3">
      <c r="A1494" s="381" t="s">
        <v>3312</v>
      </c>
      <c r="B1494" s="150"/>
      <c r="C1494" s="1" t="s">
        <v>3313</v>
      </c>
      <c r="D1494" s="2">
        <v>26030</v>
      </c>
      <c r="E1494" s="1">
        <v>2396929</v>
      </c>
      <c r="F1494" s="8">
        <f t="shared" ca="1" si="142"/>
        <v>55</v>
      </c>
      <c r="G1494" s="8" t="s">
        <v>3315</v>
      </c>
      <c r="J1494" s="1"/>
      <c r="K1494" s="1"/>
      <c r="L1494" s="8" t="s">
        <v>3316</v>
      </c>
      <c r="P1494" s="9"/>
      <c r="Q1494" s="3"/>
    </row>
    <row r="1495" spans="1:17" s="8" customFormat="1" x14ac:dyDescent="0.3">
      <c r="A1495" s="387"/>
      <c r="B1495" s="150"/>
      <c r="C1495" s="320" t="s">
        <v>3319</v>
      </c>
      <c r="D1495" s="2">
        <v>24783</v>
      </c>
      <c r="E1495" s="320">
        <v>1659013</v>
      </c>
      <c r="F1495" s="8">
        <f t="shared" ca="1" si="142"/>
        <v>59</v>
      </c>
      <c r="J1495" s="320"/>
      <c r="K1495" s="320"/>
      <c r="P1495" s="9"/>
      <c r="Q1495" s="3"/>
    </row>
    <row r="1496" spans="1:17" s="8" customFormat="1" x14ac:dyDescent="0.3">
      <c r="A1496" s="384"/>
      <c r="B1496" s="150"/>
      <c r="C1496" s="1" t="s">
        <v>3314</v>
      </c>
      <c r="D1496" s="2">
        <v>38481</v>
      </c>
      <c r="E1496" s="1">
        <v>4419516</v>
      </c>
      <c r="F1496" s="8">
        <f t="shared" ca="1" si="142"/>
        <v>21</v>
      </c>
      <c r="G1496" s="8" t="s">
        <v>3317</v>
      </c>
      <c r="J1496" s="1"/>
      <c r="K1496" s="1"/>
      <c r="L1496" s="8" t="s">
        <v>3316</v>
      </c>
      <c r="P1496" s="9"/>
      <c r="Q1496" s="3"/>
    </row>
    <row r="1497" spans="1:17" s="8" customFormat="1" x14ac:dyDescent="0.3">
      <c r="A1497" s="379"/>
      <c r="B1497" s="150"/>
      <c r="C1497" s="329" t="s">
        <v>3333</v>
      </c>
      <c r="D1497" s="2">
        <v>38880</v>
      </c>
      <c r="E1497" s="329">
        <v>3419541</v>
      </c>
      <c r="F1497" s="8">
        <f t="shared" ca="1" si="142"/>
        <v>20</v>
      </c>
      <c r="G1497" s="8" t="s">
        <v>3334</v>
      </c>
      <c r="J1497" s="329"/>
      <c r="K1497" s="329"/>
      <c r="P1497" s="9"/>
      <c r="Q1497" s="3"/>
    </row>
    <row r="1498" spans="1:17" s="8" customFormat="1" x14ac:dyDescent="0.3">
      <c r="A1498" s="381" t="s">
        <v>3321</v>
      </c>
      <c r="B1498" s="280">
        <v>45995</v>
      </c>
      <c r="C1498" s="1" t="s">
        <v>3322</v>
      </c>
      <c r="D1498" s="2">
        <v>19457</v>
      </c>
      <c r="E1498" s="1">
        <v>1523025</v>
      </c>
      <c r="F1498" s="8">
        <f t="shared" ca="1" si="142"/>
        <v>73</v>
      </c>
      <c r="G1498" s="8" t="s">
        <v>3323</v>
      </c>
      <c r="J1498" s="1"/>
      <c r="K1498" s="1"/>
      <c r="L1498" s="8" t="s">
        <v>3305</v>
      </c>
      <c r="P1498" s="9"/>
      <c r="Q1498" s="3"/>
    </row>
    <row r="1499" spans="1:17" s="8" customFormat="1" x14ac:dyDescent="0.3">
      <c r="A1499" s="379"/>
      <c r="B1499" s="150"/>
      <c r="C1499" s="1" t="s">
        <v>3303</v>
      </c>
      <c r="D1499" s="2">
        <v>20386</v>
      </c>
      <c r="E1499" s="1">
        <v>2522318</v>
      </c>
      <c r="G1499" s="8" t="s">
        <v>3304</v>
      </c>
      <c r="J1499" s="1"/>
      <c r="K1499" s="1"/>
      <c r="L1499" s="8" t="s">
        <v>3305</v>
      </c>
      <c r="P1499" s="9"/>
      <c r="Q1499" s="3"/>
    </row>
    <row r="1500" spans="1:17" s="8" customFormat="1" x14ac:dyDescent="0.3">
      <c r="A1500" s="331"/>
      <c r="B1500" s="150"/>
      <c r="C1500" s="332" t="s">
        <v>3344</v>
      </c>
      <c r="D1500" s="2">
        <v>32184</v>
      </c>
      <c r="E1500" s="332">
        <v>1523019</v>
      </c>
      <c r="G1500" s="8" t="s">
        <v>3345</v>
      </c>
      <c r="J1500" s="332"/>
      <c r="K1500" s="332"/>
      <c r="P1500" s="9"/>
      <c r="Q1500" s="3"/>
    </row>
    <row r="1501" spans="1:17" s="305" customFormat="1" x14ac:dyDescent="0.3">
      <c r="A1501" s="386" t="s">
        <v>3336</v>
      </c>
      <c r="B1501" s="302"/>
      <c r="C1501" s="303" t="s">
        <v>3324</v>
      </c>
      <c r="D1501" s="304">
        <v>17182</v>
      </c>
      <c r="E1501" s="303">
        <v>2468413</v>
      </c>
      <c r="F1501" s="305">
        <v>78</v>
      </c>
      <c r="G1501" s="305" t="s">
        <v>3325</v>
      </c>
      <c r="J1501" s="303"/>
      <c r="K1501" s="303"/>
      <c r="Q1501" s="303"/>
    </row>
    <row r="1502" spans="1:17" s="305" customFormat="1" x14ac:dyDescent="0.3">
      <c r="A1502" s="384"/>
      <c r="B1502" s="302"/>
      <c r="C1502" s="303" t="s">
        <v>3326</v>
      </c>
      <c r="D1502" s="304">
        <v>28313</v>
      </c>
      <c r="E1502" s="303">
        <v>2468440</v>
      </c>
      <c r="G1502" s="305" t="s">
        <v>3327</v>
      </c>
      <c r="J1502" s="303"/>
      <c r="K1502" s="303"/>
      <c r="L1502" s="305" t="s">
        <v>3342</v>
      </c>
      <c r="Q1502" s="303"/>
    </row>
    <row r="1503" spans="1:17" s="305" customFormat="1" x14ac:dyDescent="0.3">
      <c r="A1503" s="384"/>
      <c r="B1503" s="346">
        <v>45934</v>
      </c>
      <c r="C1503" s="303" t="s">
        <v>3341</v>
      </c>
      <c r="D1503" s="304">
        <v>27154</v>
      </c>
      <c r="E1503" s="303">
        <v>1018732</v>
      </c>
      <c r="G1503" s="305" t="s">
        <v>3343</v>
      </c>
      <c r="J1503" s="303"/>
      <c r="K1503" s="303"/>
      <c r="Q1503" s="303"/>
    </row>
    <row r="1504" spans="1:17" s="305" customFormat="1" x14ac:dyDescent="0.3">
      <c r="A1504" s="379"/>
      <c r="B1504" s="346">
        <v>45934</v>
      </c>
      <c r="C1504" s="303" t="s">
        <v>3328</v>
      </c>
      <c r="D1504" s="304">
        <v>17462</v>
      </c>
      <c r="E1504" s="303">
        <v>2468418</v>
      </c>
      <c r="F1504" s="305">
        <v>78</v>
      </c>
      <c r="G1504" s="305" t="s">
        <v>3329</v>
      </c>
      <c r="J1504" s="303"/>
      <c r="K1504" s="303"/>
      <c r="L1504" s="305" t="s">
        <v>3330</v>
      </c>
      <c r="Q1504" s="303"/>
    </row>
    <row r="1505" spans="1:17" s="8" customFormat="1" x14ac:dyDescent="0.3">
      <c r="A1505" s="330" t="s">
        <v>3337</v>
      </c>
      <c r="B1505" s="280">
        <v>45805</v>
      </c>
      <c r="C1505" s="1" t="s">
        <v>3338</v>
      </c>
      <c r="D1505" s="2">
        <v>28594</v>
      </c>
      <c r="E1505" s="1">
        <v>1476110</v>
      </c>
      <c r="G1505" s="8" t="s">
        <v>3339</v>
      </c>
      <c r="J1505" s="1"/>
      <c r="K1505" s="1"/>
      <c r="L1505" s="8" t="s">
        <v>3340</v>
      </c>
      <c r="P1505" s="9"/>
      <c r="Q1505" s="3"/>
    </row>
    <row r="1506" spans="1:17" s="8" customFormat="1" x14ac:dyDescent="0.3">
      <c r="A1506" s="381" t="s">
        <v>3348</v>
      </c>
      <c r="B1506" s="150"/>
      <c r="C1506" s="1" t="s">
        <v>3349</v>
      </c>
      <c r="D1506" s="2">
        <v>29227</v>
      </c>
      <c r="E1506" s="1">
        <v>2638118</v>
      </c>
      <c r="G1506" s="8" t="s">
        <v>3350</v>
      </c>
      <c r="J1506" s="1"/>
      <c r="K1506" s="1"/>
      <c r="P1506" s="9"/>
      <c r="Q1506" s="3"/>
    </row>
    <row r="1507" spans="1:17" s="8" customFormat="1" x14ac:dyDescent="0.3">
      <c r="A1507" s="379"/>
      <c r="B1507" s="150"/>
      <c r="C1507" s="1" t="s">
        <v>3008</v>
      </c>
      <c r="D1507" s="2">
        <v>27729</v>
      </c>
      <c r="E1507" s="1">
        <v>1058746</v>
      </c>
      <c r="G1507" s="8" t="s">
        <v>3352</v>
      </c>
      <c r="J1507" s="1"/>
      <c r="K1507" s="1"/>
      <c r="L1507" s="8" t="s">
        <v>3351</v>
      </c>
      <c r="P1507" s="9"/>
      <c r="Q1507" s="3"/>
    </row>
    <row r="1508" spans="1:17" s="8" customFormat="1" x14ac:dyDescent="0.3">
      <c r="A1508" s="381" t="s">
        <v>3353</v>
      </c>
      <c r="B1508" s="280">
        <v>45775</v>
      </c>
      <c r="C1508" s="1" t="s">
        <v>3354</v>
      </c>
      <c r="D1508" s="2">
        <v>27779</v>
      </c>
      <c r="E1508" s="1">
        <v>2110914</v>
      </c>
      <c r="G1508" s="8" t="s">
        <v>3356</v>
      </c>
      <c r="J1508" s="1"/>
      <c r="K1508" s="1"/>
      <c r="L1508" s="8" t="s">
        <v>3357</v>
      </c>
      <c r="P1508" s="9"/>
      <c r="Q1508" s="3"/>
    </row>
    <row r="1509" spans="1:17" s="8" customFormat="1" x14ac:dyDescent="0.3">
      <c r="A1509" s="379"/>
      <c r="B1509" s="150"/>
      <c r="C1509" s="1" t="s">
        <v>3355</v>
      </c>
      <c r="D1509" s="2">
        <v>29238</v>
      </c>
      <c r="E1509" s="1">
        <v>1030616</v>
      </c>
      <c r="G1509" s="8" t="s">
        <v>3358</v>
      </c>
      <c r="J1509" s="1"/>
      <c r="K1509" s="1"/>
      <c r="L1509" s="8" t="s">
        <v>3357</v>
      </c>
      <c r="P1509" s="9"/>
      <c r="Q1509" s="3"/>
    </row>
    <row r="1510" spans="1:17" s="8" customFormat="1" x14ac:dyDescent="0.3">
      <c r="A1510" s="381" t="s">
        <v>3359</v>
      </c>
      <c r="B1510" s="280">
        <v>45880</v>
      </c>
      <c r="C1510" s="1" t="s">
        <v>1316</v>
      </c>
      <c r="D1510" s="2">
        <v>28756</v>
      </c>
      <c r="E1510" s="1">
        <v>1657224</v>
      </c>
      <c r="G1510" s="8" t="s">
        <v>3288</v>
      </c>
      <c r="J1510" s="1"/>
      <c r="K1510" s="1"/>
      <c r="L1510" s="8" t="s">
        <v>3360</v>
      </c>
      <c r="P1510" s="9"/>
      <c r="Q1510" s="3"/>
    </row>
    <row r="1511" spans="1:17" s="8" customFormat="1" x14ac:dyDescent="0.3">
      <c r="A1511" s="384"/>
      <c r="B1511" s="280">
        <v>45698</v>
      </c>
      <c r="C1511" s="1" t="s">
        <v>3289</v>
      </c>
      <c r="D1511" s="2">
        <v>29863</v>
      </c>
      <c r="E1511" s="1">
        <v>2350214</v>
      </c>
      <c r="G1511" s="8" t="s">
        <v>3290</v>
      </c>
      <c r="J1511" s="1"/>
      <c r="K1511" s="1"/>
      <c r="L1511" s="8" t="s">
        <v>3360</v>
      </c>
      <c r="P1511" s="9"/>
      <c r="Q1511" s="3"/>
    </row>
    <row r="1512" spans="1:17" s="8" customFormat="1" x14ac:dyDescent="0.3">
      <c r="A1512" s="384"/>
      <c r="B1512" s="280"/>
      <c r="C1512" s="355" t="s">
        <v>3518</v>
      </c>
      <c r="D1512" s="2">
        <v>17269</v>
      </c>
      <c r="E1512" s="355">
        <v>2891911</v>
      </c>
      <c r="G1512" s="8" t="s">
        <v>3520</v>
      </c>
      <c r="J1512" s="355"/>
      <c r="K1512" s="355"/>
      <c r="L1512" s="8" t="s">
        <v>3522</v>
      </c>
      <c r="P1512" s="9"/>
      <c r="Q1512" s="3"/>
    </row>
    <row r="1513" spans="1:17" s="8" customFormat="1" x14ac:dyDescent="0.3">
      <c r="A1513" s="379"/>
      <c r="B1513" s="280"/>
      <c r="C1513" s="355" t="s">
        <v>3519</v>
      </c>
      <c r="D1513" s="2">
        <v>16627</v>
      </c>
      <c r="E1513" s="355">
        <v>1657214</v>
      </c>
      <c r="G1513" s="8" t="s">
        <v>3521</v>
      </c>
      <c r="J1513" s="355"/>
      <c r="K1513" s="355"/>
      <c r="L1513" s="8" t="s">
        <v>3522</v>
      </c>
      <c r="P1513" s="9"/>
      <c r="Q1513" s="3"/>
    </row>
    <row r="1514" spans="1:17" s="8" customFormat="1" x14ac:dyDescent="0.3">
      <c r="A1514" s="381" t="s">
        <v>3361</v>
      </c>
      <c r="B1514" s="150"/>
      <c r="C1514" s="1" t="s">
        <v>3362</v>
      </c>
      <c r="D1514" s="2">
        <v>28781</v>
      </c>
      <c r="E1514" s="1">
        <v>2051111</v>
      </c>
      <c r="G1514" s="8" t="s">
        <v>3364</v>
      </c>
      <c r="J1514" s="1"/>
      <c r="K1514" s="1"/>
      <c r="L1514" s="8" t="s">
        <v>3365</v>
      </c>
      <c r="P1514" s="9"/>
      <c r="Q1514" s="3"/>
    </row>
    <row r="1515" spans="1:17" s="8" customFormat="1" x14ac:dyDescent="0.3">
      <c r="A1515" s="379"/>
      <c r="B1515" s="280">
        <v>45856</v>
      </c>
      <c r="C1515" s="1" t="s">
        <v>3363</v>
      </c>
      <c r="D1515" s="2">
        <v>27987</v>
      </c>
      <c r="E1515" s="1">
        <v>1110539</v>
      </c>
      <c r="G1515" s="8" t="s">
        <v>3366</v>
      </c>
      <c r="J1515" s="1"/>
      <c r="K1515" s="1"/>
      <c r="L1515" s="8" t="s">
        <v>3365</v>
      </c>
      <c r="P1515" s="9"/>
      <c r="Q1515" s="3"/>
    </row>
    <row r="1516" spans="1:17" s="8" customFormat="1" x14ac:dyDescent="0.3">
      <c r="A1516" s="333" t="s">
        <v>3367</v>
      </c>
      <c r="B1516" s="280">
        <v>45851</v>
      </c>
      <c r="C1516" s="1" t="s">
        <v>3368</v>
      </c>
      <c r="D1516" s="2">
        <v>28200</v>
      </c>
      <c r="E1516" s="1">
        <v>1636729</v>
      </c>
      <c r="G1516" s="8" t="s">
        <v>3369</v>
      </c>
      <c r="J1516" s="1"/>
      <c r="K1516" s="1"/>
      <c r="L1516" s="8" t="s">
        <v>3370</v>
      </c>
      <c r="P1516" s="9"/>
      <c r="Q1516" s="3"/>
    </row>
    <row r="1517" spans="1:17" s="8" customFormat="1" x14ac:dyDescent="0.3">
      <c r="A1517" s="333" t="s">
        <v>3371</v>
      </c>
      <c r="B1517" s="280">
        <v>45859</v>
      </c>
      <c r="C1517" s="1" t="s">
        <v>3372</v>
      </c>
      <c r="D1517" s="2">
        <v>30704</v>
      </c>
      <c r="E1517" s="1">
        <v>1535617</v>
      </c>
      <c r="G1517" s="8" t="s">
        <v>3373</v>
      </c>
      <c r="J1517" s="1"/>
      <c r="K1517" s="1"/>
      <c r="L1517" s="8" t="s">
        <v>3374</v>
      </c>
      <c r="P1517" s="9"/>
      <c r="Q1517" s="3"/>
    </row>
    <row r="1518" spans="1:17" s="8" customFormat="1" x14ac:dyDescent="0.3">
      <c r="A1518" s="381" t="s">
        <v>3375</v>
      </c>
      <c r="B1518" s="280">
        <v>45731</v>
      </c>
      <c r="C1518" s="1" t="s">
        <v>914</v>
      </c>
      <c r="D1518" s="2">
        <v>30034</v>
      </c>
      <c r="E1518" s="1">
        <v>1350411</v>
      </c>
      <c r="G1518" s="8" t="s">
        <v>3377</v>
      </c>
      <c r="J1518" s="1"/>
      <c r="K1518" s="1"/>
      <c r="L1518" s="8" t="s">
        <v>3379</v>
      </c>
      <c r="P1518" s="9"/>
      <c r="Q1518" s="3"/>
    </row>
    <row r="1519" spans="1:17" s="8" customFormat="1" x14ac:dyDescent="0.3">
      <c r="A1519" s="379"/>
      <c r="B1519" s="150"/>
      <c r="C1519" s="1" t="s">
        <v>3376</v>
      </c>
      <c r="D1519" s="2">
        <v>31605</v>
      </c>
      <c r="E1519" s="1">
        <v>2352417</v>
      </c>
      <c r="G1519" s="8" t="s">
        <v>3378</v>
      </c>
      <c r="J1519" s="1"/>
      <c r="K1519" s="1"/>
      <c r="P1519" s="9"/>
      <c r="Q1519" s="3"/>
    </row>
    <row r="1520" spans="1:17" s="8" customFormat="1" x14ac:dyDescent="0.3">
      <c r="A1520" s="381" t="s">
        <v>3380</v>
      </c>
      <c r="B1520" s="150"/>
      <c r="C1520" s="1" t="s">
        <v>3381</v>
      </c>
      <c r="D1520" s="2">
        <v>25992</v>
      </c>
      <c r="E1520" s="1">
        <v>1106429</v>
      </c>
      <c r="G1520" s="8" t="s">
        <v>3384</v>
      </c>
      <c r="J1520" s="1"/>
      <c r="K1520" s="1"/>
      <c r="L1520" s="8" t="s">
        <v>3388</v>
      </c>
      <c r="P1520" s="9"/>
      <c r="Q1520" s="3"/>
    </row>
    <row r="1521" spans="1:17" s="8" customFormat="1" x14ac:dyDescent="0.3">
      <c r="A1521" s="384"/>
      <c r="B1521" s="150"/>
      <c r="C1521" s="1" t="s">
        <v>2790</v>
      </c>
      <c r="D1521" s="2">
        <v>26396</v>
      </c>
      <c r="E1521" s="1">
        <v>2090612</v>
      </c>
      <c r="G1521" s="8" t="s">
        <v>3385</v>
      </c>
      <c r="J1521" s="1"/>
      <c r="K1521" s="1"/>
      <c r="P1521" s="9"/>
      <c r="Q1521" s="3"/>
    </row>
    <row r="1522" spans="1:17" s="8" customFormat="1" x14ac:dyDescent="0.3">
      <c r="A1522" s="384"/>
      <c r="B1522" s="150"/>
      <c r="C1522" s="1" t="s">
        <v>3382</v>
      </c>
      <c r="D1522" s="2">
        <v>37006</v>
      </c>
      <c r="E1522" s="1">
        <v>4412424</v>
      </c>
      <c r="G1522" s="8" t="s">
        <v>3386</v>
      </c>
      <c r="J1522" s="1"/>
      <c r="K1522" s="1"/>
      <c r="P1522" s="9"/>
      <c r="Q1522" s="3"/>
    </row>
    <row r="1523" spans="1:17" s="8" customFormat="1" x14ac:dyDescent="0.3">
      <c r="A1523" s="379"/>
      <c r="B1523" s="150"/>
      <c r="C1523" s="1" t="s">
        <v>3383</v>
      </c>
      <c r="D1523" s="1">
        <v>20061023</v>
      </c>
      <c r="E1523" s="1">
        <v>3478818</v>
      </c>
      <c r="G1523" s="8" t="s">
        <v>3387</v>
      </c>
      <c r="J1523" s="1"/>
      <c r="K1523" s="1"/>
      <c r="P1523" s="9"/>
      <c r="Q1523" s="3"/>
    </row>
    <row r="1524" spans="1:17" s="8" customFormat="1" x14ac:dyDescent="0.3">
      <c r="A1524" s="381" t="s">
        <v>3389</v>
      </c>
      <c r="B1524" s="150"/>
      <c r="C1524" s="1" t="s">
        <v>3390</v>
      </c>
      <c r="D1524" s="2">
        <v>36703</v>
      </c>
      <c r="E1524" s="1">
        <v>4030015</v>
      </c>
      <c r="G1524" s="8" t="s">
        <v>3393</v>
      </c>
      <c r="J1524" s="1"/>
      <c r="K1524" s="1"/>
      <c r="L1524" s="8" t="s">
        <v>3397</v>
      </c>
      <c r="P1524" s="9"/>
      <c r="Q1524" s="3"/>
    </row>
    <row r="1525" spans="1:17" s="8" customFormat="1" x14ac:dyDescent="0.3">
      <c r="A1525" s="384"/>
      <c r="B1525" s="150"/>
      <c r="C1525" s="1" t="s">
        <v>3391</v>
      </c>
      <c r="D1525" s="2">
        <v>38292</v>
      </c>
      <c r="E1525" s="1">
        <v>3030312</v>
      </c>
      <c r="G1525" s="8" t="s">
        <v>3394</v>
      </c>
      <c r="J1525" s="1"/>
      <c r="K1525" s="1"/>
      <c r="L1525" s="8" t="s">
        <v>3398</v>
      </c>
      <c r="P1525" s="9"/>
      <c r="Q1525" s="3"/>
    </row>
    <row r="1526" spans="1:17" s="8" customFormat="1" x14ac:dyDescent="0.3">
      <c r="A1526" s="384"/>
      <c r="B1526" s="150"/>
      <c r="C1526" s="1" t="s">
        <v>1537</v>
      </c>
      <c r="D1526" s="2">
        <v>40520</v>
      </c>
      <c r="E1526" s="1">
        <v>3024020</v>
      </c>
      <c r="G1526" s="8" t="s">
        <v>3395</v>
      </c>
      <c r="J1526" s="1"/>
      <c r="K1526" s="1"/>
      <c r="L1526" s="8" t="s">
        <v>3397</v>
      </c>
      <c r="P1526" s="9"/>
      <c r="Q1526" s="3"/>
    </row>
    <row r="1527" spans="1:17" s="8" customFormat="1" x14ac:dyDescent="0.3">
      <c r="A1527" s="379"/>
      <c r="B1527" s="150"/>
      <c r="C1527" s="1" t="s">
        <v>3392</v>
      </c>
      <c r="D1527" s="2">
        <v>26464</v>
      </c>
      <c r="E1527" s="1">
        <v>1631710</v>
      </c>
      <c r="G1527" s="8" t="s">
        <v>3396</v>
      </c>
      <c r="J1527" s="1"/>
      <c r="K1527" s="1"/>
      <c r="L1527" s="8" t="s">
        <v>3398</v>
      </c>
      <c r="P1527" s="9"/>
      <c r="Q1527" s="3"/>
    </row>
    <row r="1528" spans="1:17" s="8" customFormat="1" x14ac:dyDescent="0.3">
      <c r="A1528" s="381" t="s">
        <v>3399</v>
      </c>
      <c r="B1528" s="150"/>
      <c r="C1528" s="1" t="s">
        <v>3400</v>
      </c>
      <c r="D1528" s="2">
        <v>30155</v>
      </c>
      <c r="E1528" s="1">
        <v>2821824</v>
      </c>
      <c r="G1528" s="8" t="s">
        <v>3404</v>
      </c>
      <c r="J1528" s="1"/>
      <c r="K1528" s="1"/>
      <c r="L1528" s="8" t="s">
        <v>3405</v>
      </c>
      <c r="P1528" s="9"/>
      <c r="Q1528" s="3"/>
    </row>
    <row r="1529" spans="1:17" s="8" customFormat="1" x14ac:dyDescent="0.3">
      <c r="A1529" s="384"/>
      <c r="B1529" s="150"/>
      <c r="C1529" s="1" t="s">
        <v>3401</v>
      </c>
      <c r="D1529" s="2">
        <v>28685</v>
      </c>
      <c r="E1529" s="1">
        <v>2821910</v>
      </c>
      <c r="G1529" s="8" t="s">
        <v>3406</v>
      </c>
      <c r="J1529" s="1"/>
      <c r="K1529" s="1"/>
      <c r="L1529" s="8" t="s">
        <v>3407</v>
      </c>
      <c r="P1529" s="9"/>
      <c r="Q1529" s="3"/>
    </row>
    <row r="1530" spans="1:17" s="8" customFormat="1" x14ac:dyDescent="0.3">
      <c r="A1530" s="384"/>
      <c r="B1530" s="150"/>
      <c r="C1530" s="1" t="s">
        <v>3402</v>
      </c>
      <c r="D1530" s="2">
        <v>20158</v>
      </c>
      <c r="E1530" s="1">
        <v>1821912</v>
      </c>
      <c r="G1530" s="8" t="s">
        <v>3408</v>
      </c>
      <c r="J1530" s="1"/>
      <c r="K1530" s="1"/>
      <c r="L1530" s="8" t="s">
        <v>3409</v>
      </c>
      <c r="P1530" s="9"/>
      <c r="Q1530" s="3"/>
    </row>
    <row r="1531" spans="1:17" s="8" customFormat="1" x14ac:dyDescent="0.3">
      <c r="A1531" s="379"/>
      <c r="B1531" s="150"/>
      <c r="C1531" s="1" t="s">
        <v>3403</v>
      </c>
      <c r="D1531" s="2">
        <v>21497</v>
      </c>
      <c r="E1531" s="1">
        <v>2821811</v>
      </c>
      <c r="G1531" s="8" t="s">
        <v>3411</v>
      </c>
      <c r="J1531" s="1"/>
      <c r="K1531" s="1"/>
      <c r="L1531" s="8" t="s">
        <v>3410</v>
      </c>
      <c r="P1531" s="9"/>
      <c r="Q1531" s="3"/>
    </row>
    <row r="1532" spans="1:17" s="8" customFormat="1" x14ac:dyDescent="0.3">
      <c r="A1532" s="381" t="s">
        <v>3412</v>
      </c>
      <c r="B1532" s="150"/>
      <c r="C1532" s="1" t="s">
        <v>3413</v>
      </c>
      <c r="D1532" s="2">
        <v>30173</v>
      </c>
      <c r="E1532" s="1">
        <v>2380437</v>
      </c>
      <c r="G1532" s="8" t="s">
        <v>3415</v>
      </c>
      <c r="J1532" s="1"/>
      <c r="K1532" s="1"/>
      <c r="L1532" s="8" t="s">
        <v>3541</v>
      </c>
      <c r="M1532" s="8">
        <f ca="1">M1532</f>
        <v>0</v>
      </c>
      <c r="P1532" s="9"/>
      <c r="Q1532" s="3"/>
    </row>
    <row r="1533" spans="1:17" s="8" customFormat="1" x14ac:dyDescent="0.3">
      <c r="A1533" s="384"/>
      <c r="B1533" s="150"/>
      <c r="C1533" s="1" t="s">
        <v>3414</v>
      </c>
      <c r="D1533" s="2">
        <v>30192</v>
      </c>
      <c r="E1533" s="1">
        <v>1351211</v>
      </c>
      <c r="G1533" s="8" t="s">
        <v>3416</v>
      </c>
      <c r="J1533" s="1"/>
      <c r="K1533" s="1"/>
      <c r="L1533" s="8" t="s">
        <v>3542</v>
      </c>
      <c r="P1533" s="9"/>
      <c r="Q1533" s="3"/>
    </row>
    <row r="1534" spans="1:17" s="8" customFormat="1" x14ac:dyDescent="0.3">
      <c r="A1534" s="384"/>
      <c r="B1534" s="150"/>
      <c r="C1534" s="349" t="s">
        <v>3493</v>
      </c>
      <c r="D1534" s="2">
        <v>42210</v>
      </c>
      <c r="E1534" s="349">
        <v>3353215</v>
      </c>
      <c r="J1534" s="349"/>
      <c r="K1534" s="349"/>
      <c r="P1534" s="9"/>
      <c r="Q1534" s="3"/>
    </row>
    <row r="1535" spans="1:17" s="8" customFormat="1" x14ac:dyDescent="0.3">
      <c r="A1535" s="384"/>
      <c r="B1535" s="150"/>
      <c r="C1535" s="349" t="s">
        <v>3494</v>
      </c>
      <c r="D1535" s="2">
        <v>43157</v>
      </c>
      <c r="E1535" s="349">
        <v>3353229</v>
      </c>
      <c r="J1535" s="349"/>
      <c r="K1535" s="349"/>
      <c r="P1535" s="9"/>
      <c r="Q1535" s="3"/>
    </row>
    <row r="1536" spans="1:17" s="8" customFormat="1" x14ac:dyDescent="0.3">
      <c r="A1536" s="379"/>
      <c r="B1536" s="150"/>
      <c r="C1536" s="349" t="s">
        <v>3495</v>
      </c>
      <c r="D1536" s="2">
        <v>43157</v>
      </c>
      <c r="E1536" s="349">
        <v>3353234</v>
      </c>
      <c r="J1536" s="349"/>
      <c r="K1536" s="349"/>
      <c r="P1536" s="9"/>
      <c r="Q1536" s="3"/>
    </row>
    <row r="1537" spans="1:17" s="8" customFormat="1" x14ac:dyDescent="0.3">
      <c r="A1537" s="334" t="s">
        <v>3417</v>
      </c>
      <c r="B1537" s="150"/>
      <c r="C1537" s="1" t="s">
        <v>3418</v>
      </c>
      <c r="D1537" s="2">
        <v>20022</v>
      </c>
      <c r="E1537" s="1">
        <v>2631712</v>
      </c>
      <c r="G1537" s="8" t="s">
        <v>3419</v>
      </c>
      <c r="J1537" s="1"/>
      <c r="K1537" s="1"/>
      <c r="L1537" s="8" t="s">
        <v>3420</v>
      </c>
      <c r="P1537" s="9"/>
      <c r="Q1537" s="3"/>
    </row>
    <row r="1538" spans="1:17" s="8" customFormat="1" x14ac:dyDescent="0.3">
      <c r="A1538" s="381" t="s">
        <v>3422</v>
      </c>
      <c r="B1538" s="150"/>
      <c r="C1538" s="1" t="s">
        <v>3423</v>
      </c>
      <c r="D1538" s="2">
        <v>29619</v>
      </c>
      <c r="E1538" s="1">
        <v>1148418</v>
      </c>
      <c r="G1538" s="8" t="s">
        <v>3425</v>
      </c>
      <c r="J1538" s="1"/>
      <c r="K1538" s="1"/>
      <c r="L1538" s="8" t="s">
        <v>3427</v>
      </c>
      <c r="P1538" s="9"/>
      <c r="Q1538" s="3"/>
    </row>
    <row r="1539" spans="1:17" s="8" customFormat="1" x14ac:dyDescent="0.3">
      <c r="A1539" s="379"/>
      <c r="B1539" s="150"/>
      <c r="C1539" s="1" t="s">
        <v>3424</v>
      </c>
      <c r="D1539" s="2">
        <v>19946</v>
      </c>
      <c r="E1539" s="1">
        <v>2548618</v>
      </c>
      <c r="G1539" s="8" t="s">
        <v>3426</v>
      </c>
      <c r="J1539" s="1"/>
      <c r="K1539" s="1"/>
      <c r="P1539" s="9"/>
      <c r="Q1539" s="3"/>
    </row>
    <row r="1540" spans="1:17" s="8" customFormat="1" x14ac:dyDescent="0.3">
      <c r="A1540" s="335" t="s">
        <v>3430</v>
      </c>
      <c r="B1540" s="150"/>
      <c r="C1540" s="1" t="s">
        <v>3431</v>
      </c>
      <c r="D1540" s="2">
        <v>28138</v>
      </c>
      <c r="E1540" s="1">
        <v>1025721</v>
      </c>
      <c r="G1540" s="8" t="s">
        <v>3432</v>
      </c>
      <c r="J1540" s="1"/>
      <c r="K1540" s="1"/>
      <c r="L1540" s="8" t="s">
        <v>3433</v>
      </c>
      <c r="P1540" s="9"/>
      <c r="Q1540" s="3"/>
    </row>
    <row r="1541" spans="1:17" s="8" customFormat="1" x14ac:dyDescent="0.3">
      <c r="A1541" s="337" t="s">
        <v>3435</v>
      </c>
      <c r="B1541" s="150"/>
      <c r="C1541" s="1" t="s">
        <v>3436</v>
      </c>
      <c r="D1541" s="2">
        <v>22085</v>
      </c>
      <c r="E1541" s="1">
        <v>1468916</v>
      </c>
      <c r="G1541" s="8" t="s">
        <v>3437</v>
      </c>
      <c r="J1541" s="1"/>
      <c r="K1541" s="1"/>
      <c r="L1541" s="8" t="s">
        <v>3438</v>
      </c>
      <c r="P1541" s="9"/>
      <c r="Q1541" s="3"/>
    </row>
    <row r="1542" spans="1:17" s="8" customFormat="1" x14ac:dyDescent="0.3">
      <c r="A1542" s="341" t="s">
        <v>3439</v>
      </c>
      <c r="B1542" s="150"/>
      <c r="C1542" s="1" t="s">
        <v>3440</v>
      </c>
      <c r="D1542" s="2">
        <v>26814</v>
      </c>
      <c r="E1542" s="1">
        <v>1103353</v>
      </c>
      <c r="G1542" s="8" t="s">
        <v>3441</v>
      </c>
      <c r="J1542" s="1"/>
      <c r="K1542" s="1"/>
      <c r="L1542" s="8" t="s">
        <v>3442</v>
      </c>
      <c r="P1542" s="9"/>
      <c r="Q1542" s="3"/>
    </row>
    <row r="1543" spans="1:17" s="8" customFormat="1" x14ac:dyDescent="0.3">
      <c r="A1543" s="1" t="s">
        <v>3446</v>
      </c>
      <c r="B1543" s="150"/>
      <c r="C1543" s="1" t="s">
        <v>3447</v>
      </c>
      <c r="D1543" s="2">
        <v>34578</v>
      </c>
      <c r="E1543" s="1">
        <v>1199015</v>
      </c>
      <c r="G1543" s="8" t="s">
        <v>3448</v>
      </c>
      <c r="J1543" s="1"/>
      <c r="K1543" s="1"/>
      <c r="P1543" s="9"/>
      <c r="Q1543" s="3"/>
    </row>
    <row r="1544" spans="1:17" s="8" customFormat="1" x14ac:dyDescent="0.3">
      <c r="A1544" s="381" t="s">
        <v>3453</v>
      </c>
      <c r="B1544" s="150"/>
      <c r="C1544" s="1" t="s">
        <v>3454</v>
      </c>
      <c r="D1544" s="2">
        <v>17538</v>
      </c>
      <c r="E1544" s="1">
        <v>1779012</v>
      </c>
      <c r="G1544" s="8" t="s">
        <v>3456</v>
      </c>
      <c r="J1544" s="1"/>
      <c r="K1544" s="1"/>
      <c r="L1544" s="8" t="s">
        <v>3458</v>
      </c>
      <c r="P1544" s="9"/>
      <c r="Q1544" s="3"/>
    </row>
    <row r="1545" spans="1:17" s="8" customFormat="1" x14ac:dyDescent="0.3">
      <c r="A1545" s="379"/>
      <c r="B1545" s="150"/>
      <c r="C1545" s="1" t="s">
        <v>3455</v>
      </c>
      <c r="D1545" s="2">
        <v>18998</v>
      </c>
      <c r="E1545" s="1">
        <v>2340121</v>
      </c>
      <c r="G1545" s="8" t="s">
        <v>3457</v>
      </c>
      <c r="J1545" s="1"/>
      <c r="K1545" s="1"/>
      <c r="P1545" s="9"/>
      <c r="Q1545" s="3"/>
    </row>
    <row r="1546" spans="1:17" s="8" customFormat="1" x14ac:dyDescent="0.3">
      <c r="A1546" s="381" t="s">
        <v>3459</v>
      </c>
      <c r="B1546" s="150"/>
      <c r="C1546" s="1" t="s">
        <v>3460</v>
      </c>
      <c r="D1546" s="2">
        <v>32412</v>
      </c>
      <c r="E1546" s="1">
        <v>1357116</v>
      </c>
      <c r="G1546" s="8" t="s">
        <v>3462</v>
      </c>
      <c r="J1546" s="1"/>
      <c r="K1546" s="1"/>
      <c r="L1546" s="8" t="s">
        <v>3464</v>
      </c>
      <c r="P1546" s="9"/>
      <c r="Q1546" s="3"/>
    </row>
    <row r="1547" spans="1:17" s="8" customFormat="1" x14ac:dyDescent="0.3">
      <c r="A1547" s="379"/>
      <c r="B1547" s="150"/>
      <c r="C1547" s="344" t="s">
        <v>3461</v>
      </c>
      <c r="D1547" s="2">
        <v>36719</v>
      </c>
      <c r="E1547" s="344">
        <v>4452917</v>
      </c>
      <c r="G1547" s="8" t="s">
        <v>3463</v>
      </c>
      <c r="J1547" s="344"/>
      <c r="K1547" s="344"/>
      <c r="P1547" s="9"/>
      <c r="Q1547" s="3"/>
    </row>
    <row r="1548" spans="1:17" s="8" customFormat="1" x14ac:dyDescent="0.3">
      <c r="A1548" s="343" t="s">
        <v>3465</v>
      </c>
      <c r="B1548" s="150"/>
      <c r="C1548" s="344" t="s">
        <v>3466</v>
      </c>
      <c r="D1548" s="2">
        <v>17424</v>
      </c>
      <c r="E1548" s="344">
        <v>2235211</v>
      </c>
      <c r="G1548" s="8" t="s">
        <v>3467</v>
      </c>
      <c r="J1548" s="344"/>
      <c r="K1548" s="344"/>
      <c r="L1548" s="8" t="s">
        <v>3468</v>
      </c>
      <c r="P1548" s="9"/>
      <c r="Q1548" s="3"/>
    </row>
    <row r="1549" spans="1:17" s="8" customFormat="1" x14ac:dyDescent="0.3">
      <c r="A1549" s="381" t="s">
        <v>3469</v>
      </c>
      <c r="B1549" s="150"/>
      <c r="C1549" s="344" t="s">
        <v>3470</v>
      </c>
      <c r="D1549" s="2">
        <v>30609</v>
      </c>
      <c r="E1549" s="344">
        <v>2222622</v>
      </c>
      <c r="G1549" s="8" t="s">
        <v>3471</v>
      </c>
      <c r="J1549" s="344"/>
      <c r="K1549" s="344"/>
      <c r="L1549" s="8" t="s">
        <v>3472</v>
      </c>
      <c r="P1549" s="9"/>
      <c r="Q1549" s="3"/>
    </row>
    <row r="1550" spans="1:17" s="8" customFormat="1" x14ac:dyDescent="0.3">
      <c r="A1550" s="379"/>
      <c r="B1550" s="150"/>
      <c r="C1550" s="344" t="s">
        <v>3178</v>
      </c>
      <c r="D1550" s="2">
        <v>29132</v>
      </c>
      <c r="E1550" s="344">
        <v>1860411</v>
      </c>
      <c r="G1550" s="8" t="s">
        <v>3473</v>
      </c>
      <c r="J1550" s="344"/>
      <c r="K1550" s="344"/>
      <c r="P1550" s="9"/>
      <c r="Q1550" s="3"/>
    </row>
    <row r="1551" spans="1:17" s="8" customFormat="1" x14ac:dyDescent="0.3">
      <c r="A1551" s="381" t="s">
        <v>3475</v>
      </c>
      <c r="B1551" s="150"/>
      <c r="C1551" s="344" t="s">
        <v>3476</v>
      </c>
      <c r="D1551" s="2">
        <v>31038</v>
      </c>
      <c r="E1551" s="344">
        <v>1157213</v>
      </c>
      <c r="G1551" s="8" t="s">
        <v>3478</v>
      </c>
      <c r="J1551" s="344"/>
      <c r="K1551" s="344"/>
      <c r="L1551" s="8" t="s">
        <v>3479</v>
      </c>
      <c r="P1551" s="9"/>
      <c r="Q1551" s="3"/>
    </row>
    <row r="1552" spans="1:17" s="8" customFormat="1" x14ac:dyDescent="0.3">
      <c r="A1552" s="384"/>
      <c r="B1552" s="150"/>
      <c r="C1552" s="344" t="s">
        <v>3477</v>
      </c>
      <c r="D1552" s="2">
        <v>31978</v>
      </c>
      <c r="E1552" s="344">
        <v>2476312</v>
      </c>
      <c r="G1552" s="8" t="s">
        <v>3480</v>
      </c>
      <c r="J1552" s="344"/>
      <c r="K1552" s="344"/>
      <c r="L1552" s="8" t="s">
        <v>3479</v>
      </c>
      <c r="P1552" s="9"/>
      <c r="Q1552" s="3"/>
    </row>
    <row r="1553" spans="1:17" s="8" customFormat="1" x14ac:dyDescent="0.3">
      <c r="A1553" s="379"/>
      <c r="B1553" s="150"/>
      <c r="C1553" s="373" t="s">
        <v>3677</v>
      </c>
      <c r="D1553" s="2">
        <v>40920</v>
      </c>
      <c r="E1553" s="373"/>
      <c r="J1553" s="373"/>
      <c r="K1553" s="373"/>
      <c r="P1553" s="9"/>
      <c r="Q1553" s="3"/>
    </row>
    <row r="1554" spans="1:17" s="8" customFormat="1" x14ac:dyDescent="0.3">
      <c r="A1554" s="345" t="s">
        <v>3485</v>
      </c>
      <c r="B1554" s="150"/>
      <c r="C1554" s="344" t="s">
        <v>3486</v>
      </c>
      <c r="D1554" s="2">
        <v>31618</v>
      </c>
      <c r="E1554" s="344">
        <v>1051610</v>
      </c>
      <c r="G1554" s="8" t="s">
        <v>3487</v>
      </c>
      <c r="J1554" s="344"/>
      <c r="K1554" s="344"/>
      <c r="L1554" s="8" t="s">
        <v>3488</v>
      </c>
      <c r="P1554" s="9"/>
      <c r="Q1554" s="3"/>
    </row>
    <row r="1555" spans="1:17" s="8" customFormat="1" x14ac:dyDescent="0.3">
      <c r="A1555" s="381" t="s">
        <v>3489</v>
      </c>
      <c r="B1555" s="150"/>
      <c r="C1555" s="344" t="s">
        <v>3178</v>
      </c>
      <c r="D1555" s="2">
        <v>29132</v>
      </c>
      <c r="E1555" s="344">
        <v>1860411</v>
      </c>
      <c r="G1555" s="8" t="s">
        <v>3473</v>
      </c>
      <c r="J1555" s="344"/>
      <c r="K1555" s="344"/>
      <c r="L1555" s="8" t="s">
        <v>3490</v>
      </c>
      <c r="P1555" s="9"/>
      <c r="Q1555" s="3"/>
    </row>
    <row r="1556" spans="1:17" s="8" customFormat="1" x14ac:dyDescent="0.3">
      <c r="A1556" s="384"/>
      <c r="B1556" s="150"/>
      <c r="C1556" s="344" t="s">
        <v>3470</v>
      </c>
      <c r="D1556" s="2">
        <v>30609</v>
      </c>
      <c r="E1556" s="344">
        <v>2222622</v>
      </c>
      <c r="G1556" s="8" t="s">
        <v>3471</v>
      </c>
      <c r="J1556" s="344"/>
      <c r="K1556" s="344"/>
      <c r="L1556" s="8" t="s">
        <v>3491</v>
      </c>
      <c r="P1556" s="9"/>
      <c r="Q1556" s="3"/>
    </row>
    <row r="1557" spans="1:17" s="8" customFormat="1" x14ac:dyDescent="0.3">
      <c r="A1557" s="379"/>
      <c r="B1557" s="150"/>
      <c r="C1557" s="362" t="s">
        <v>3557</v>
      </c>
      <c r="D1557" s="2">
        <v>17538</v>
      </c>
      <c r="E1557" s="362">
        <v>1779012</v>
      </c>
      <c r="G1557" s="8" t="s">
        <v>3456</v>
      </c>
      <c r="J1557" s="362"/>
      <c r="K1557" s="362"/>
      <c r="L1557" s="8" t="s">
        <v>3558</v>
      </c>
      <c r="P1557" s="9"/>
      <c r="Q1557" s="3"/>
    </row>
    <row r="1558" spans="1:17" s="8" customFormat="1" x14ac:dyDescent="0.3">
      <c r="A1558" s="350" t="s">
        <v>3496</v>
      </c>
      <c r="B1558" s="150"/>
      <c r="C1558" s="344" t="s">
        <v>3497</v>
      </c>
      <c r="D1558" s="2">
        <v>30666</v>
      </c>
      <c r="E1558" s="344">
        <v>1468410</v>
      </c>
      <c r="G1558" s="8" t="s">
        <v>3498</v>
      </c>
      <c r="H1558" s="8" t="s">
        <v>3481</v>
      </c>
      <c r="J1558" s="344"/>
      <c r="K1558" s="344"/>
      <c r="L1558" s="8" t="s">
        <v>3499</v>
      </c>
      <c r="P1558" s="9"/>
      <c r="Q1558" s="3"/>
    </row>
    <row r="1559" spans="1:17" s="8" customFormat="1" x14ac:dyDescent="0.3">
      <c r="A1559" s="381" t="s">
        <v>3500</v>
      </c>
      <c r="B1559" s="150"/>
      <c r="C1559" s="344" t="s">
        <v>3501</v>
      </c>
      <c r="D1559" s="2">
        <v>27492</v>
      </c>
      <c r="E1559" s="344">
        <v>2482419</v>
      </c>
      <c r="J1559" s="344"/>
      <c r="K1559" s="344"/>
      <c r="P1559" s="9"/>
      <c r="Q1559" s="3"/>
    </row>
    <row r="1560" spans="1:17" s="8" customFormat="1" x14ac:dyDescent="0.3">
      <c r="A1560" s="379"/>
      <c r="B1560" s="150"/>
      <c r="C1560" s="344" t="s">
        <v>3502</v>
      </c>
      <c r="D1560" s="2">
        <v>26631</v>
      </c>
      <c r="E1560" s="344">
        <v>6260024</v>
      </c>
      <c r="J1560" s="344"/>
      <c r="K1560" s="344"/>
      <c r="P1560" s="9"/>
      <c r="Q1560" s="3"/>
    </row>
    <row r="1561" spans="1:17" s="8" customFormat="1" x14ac:dyDescent="0.3">
      <c r="A1561" s="351" t="s">
        <v>3503</v>
      </c>
      <c r="B1561" s="150"/>
      <c r="C1561" s="344" t="s">
        <v>3504</v>
      </c>
      <c r="D1561" s="2">
        <v>29863</v>
      </c>
      <c r="E1561" s="344">
        <v>1411710</v>
      </c>
      <c r="G1561" s="8" t="s">
        <v>3505</v>
      </c>
      <c r="J1561" s="344"/>
      <c r="K1561" s="344"/>
      <c r="L1561" s="362" t="s">
        <v>3506</v>
      </c>
      <c r="P1561" s="9"/>
      <c r="Q1561" s="3"/>
    </row>
    <row r="1562" spans="1:17" s="8" customFormat="1" x14ac:dyDescent="0.3">
      <c r="A1562" s="352" t="s">
        <v>3507</v>
      </c>
      <c r="B1562" s="150"/>
      <c r="C1562" s="354" t="s">
        <v>3508</v>
      </c>
      <c r="D1562" s="2">
        <v>28019</v>
      </c>
      <c r="E1562" s="344">
        <v>5760031</v>
      </c>
      <c r="G1562" s="8" t="s">
        <v>3509</v>
      </c>
      <c r="J1562" s="344"/>
      <c r="K1562" s="344"/>
      <c r="L1562" s="8" t="s">
        <v>3510</v>
      </c>
      <c r="P1562" s="9"/>
      <c r="Q1562" s="3"/>
    </row>
    <row r="1563" spans="1:17" s="8" customFormat="1" x14ac:dyDescent="0.3">
      <c r="A1563" s="352" t="s">
        <v>3511</v>
      </c>
      <c r="B1563" s="150"/>
      <c r="C1563" s="344" t="s">
        <v>3512</v>
      </c>
      <c r="D1563" s="2">
        <v>32455</v>
      </c>
      <c r="E1563" s="344">
        <v>1621819</v>
      </c>
      <c r="G1563" s="8" t="s">
        <v>3513</v>
      </c>
      <c r="J1563" s="344"/>
      <c r="K1563" s="344"/>
      <c r="P1563" s="9"/>
      <c r="Q1563" s="3"/>
    </row>
    <row r="1564" spans="1:17" s="8" customFormat="1" x14ac:dyDescent="0.3">
      <c r="A1564" s="381" t="s">
        <v>3514</v>
      </c>
      <c r="B1564" s="150"/>
      <c r="C1564" s="353" t="s">
        <v>556</v>
      </c>
      <c r="D1564" s="2">
        <v>29817</v>
      </c>
      <c r="E1564" s="353">
        <v>1344116</v>
      </c>
      <c r="J1564" s="353"/>
      <c r="K1564" s="353"/>
      <c r="L1564" s="8" t="s">
        <v>3517</v>
      </c>
      <c r="P1564" s="9"/>
      <c r="Q1564" s="3"/>
    </row>
    <row r="1565" spans="1:17" s="8" customFormat="1" x14ac:dyDescent="0.3">
      <c r="A1565" s="384"/>
      <c r="B1565" s="150"/>
      <c r="C1565" s="353" t="s">
        <v>411</v>
      </c>
      <c r="D1565" s="2">
        <v>30010</v>
      </c>
      <c r="E1565" s="353">
        <v>2642916</v>
      </c>
      <c r="J1565" s="353"/>
      <c r="K1565" s="353"/>
      <c r="P1565" s="9"/>
      <c r="Q1565" s="3"/>
    </row>
    <row r="1566" spans="1:17" s="8" customFormat="1" x14ac:dyDescent="0.3">
      <c r="A1566" s="384"/>
      <c r="B1566" s="150"/>
      <c r="C1566" s="353" t="s">
        <v>3515</v>
      </c>
      <c r="D1566" s="2">
        <v>42010</v>
      </c>
      <c r="E1566" s="353">
        <v>3029616</v>
      </c>
      <c r="J1566" s="353"/>
      <c r="K1566" s="353"/>
      <c r="P1566" s="9"/>
      <c r="Q1566" s="3"/>
    </row>
    <row r="1567" spans="1:17" s="8" customFormat="1" x14ac:dyDescent="0.3">
      <c r="A1567" s="379"/>
      <c r="B1567" s="150"/>
      <c r="C1567" s="353" t="s">
        <v>3516</v>
      </c>
      <c r="D1567" s="2">
        <v>43640</v>
      </c>
      <c r="E1567" s="353">
        <v>3029614</v>
      </c>
      <c r="J1567" s="353"/>
      <c r="K1567" s="353"/>
      <c r="P1567" s="9"/>
      <c r="Q1567" s="3"/>
    </row>
    <row r="1568" spans="1:17" s="8" customFormat="1" x14ac:dyDescent="0.3">
      <c r="A1568" s="356" t="s">
        <v>3523</v>
      </c>
      <c r="B1568" s="150"/>
      <c r="C1568" s="353" t="s">
        <v>3524</v>
      </c>
      <c r="D1568" s="2">
        <v>31779</v>
      </c>
      <c r="E1568" s="353">
        <v>1411213</v>
      </c>
      <c r="G1568" s="8" t="s">
        <v>3525</v>
      </c>
      <c r="J1568" s="353"/>
      <c r="K1568" s="353"/>
      <c r="L1568" s="8" t="s">
        <v>3526</v>
      </c>
      <c r="P1568" s="9"/>
      <c r="Q1568" s="3"/>
    </row>
    <row r="1569" spans="1:17" s="8" customFormat="1" x14ac:dyDescent="0.3">
      <c r="A1569" s="381" t="s">
        <v>3529</v>
      </c>
      <c r="B1569" s="150"/>
      <c r="C1569" s="353" t="s">
        <v>266</v>
      </c>
      <c r="D1569" s="2">
        <v>32368</v>
      </c>
      <c r="E1569" s="353">
        <v>2328217</v>
      </c>
      <c r="G1569" s="8" t="s">
        <v>3531</v>
      </c>
      <c r="J1569" s="353"/>
      <c r="K1569" s="353"/>
      <c r="P1569" s="9"/>
      <c r="Q1569" s="3"/>
    </row>
    <row r="1570" spans="1:17" s="8" customFormat="1" x14ac:dyDescent="0.3">
      <c r="A1570" s="379"/>
      <c r="B1570" s="150"/>
      <c r="C1570" s="353" t="s">
        <v>3530</v>
      </c>
      <c r="D1570" s="2">
        <v>45824</v>
      </c>
      <c r="E1570" s="353">
        <v>3249416</v>
      </c>
      <c r="J1570" s="353"/>
      <c r="K1570" s="353"/>
      <c r="P1570" s="9"/>
      <c r="Q1570" s="3"/>
    </row>
    <row r="1571" spans="1:17" s="8" customFormat="1" x14ac:dyDescent="0.3">
      <c r="A1571" s="381" t="s">
        <v>3532</v>
      </c>
      <c r="B1571" s="150"/>
      <c r="C1571" s="353" t="s">
        <v>3148</v>
      </c>
      <c r="D1571" s="2">
        <v>27970</v>
      </c>
      <c r="E1571" s="353">
        <v>2468711</v>
      </c>
      <c r="G1571" s="8" t="s">
        <v>3534</v>
      </c>
      <c r="J1571" s="353"/>
      <c r="K1571" s="353"/>
      <c r="L1571" s="8" t="s">
        <v>3535</v>
      </c>
      <c r="P1571" s="9"/>
      <c r="Q1571" s="3"/>
    </row>
    <row r="1572" spans="1:17" s="8" customFormat="1" x14ac:dyDescent="0.3">
      <c r="A1572" s="379"/>
      <c r="B1572" s="150"/>
      <c r="C1572" s="353" t="s">
        <v>3533</v>
      </c>
      <c r="D1572" s="2">
        <v>38209</v>
      </c>
      <c r="E1572" s="353">
        <v>3468411</v>
      </c>
      <c r="G1572" s="8" t="s">
        <v>3537</v>
      </c>
      <c r="J1572" s="353"/>
      <c r="K1572" s="353"/>
      <c r="L1572" s="8" t="s">
        <v>3536</v>
      </c>
      <c r="P1572" s="9"/>
      <c r="Q1572" s="3"/>
    </row>
    <row r="1573" spans="1:17" s="8" customFormat="1" x14ac:dyDescent="0.3">
      <c r="A1573" s="359" t="s">
        <v>3543</v>
      </c>
      <c r="B1573" s="150"/>
      <c r="C1573" s="353" t="s">
        <v>3544</v>
      </c>
      <c r="D1573" s="2">
        <v>29810</v>
      </c>
      <c r="E1573" s="353">
        <v>2468719</v>
      </c>
      <c r="G1573" s="8" t="s">
        <v>3545</v>
      </c>
      <c r="J1573" s="353"/>
      <c r="K1573" s="353"/>
      <c r="P1573" s="9"/>
      <c r="Q1573" s="3"/>
    </row>
    <row r="1574" spans="1:17" s="8" customFormat="1" x14ac:dyDescent="0.3">
      <c r="A1574" s="360" t="s">
        <v>3547</v>
      </c>
      <c r="B1574" s="150"/>
      <c r="C1574" s="353" t="s">
        <v>3504</v>
      </c>
      <c r="D1574" s="2">
        <v>29863</v>
      </c>
      <c r="E1574" s="353">
        <v>1411710</v>
      </c>
      <c r="G1574" s="8" t="s">
        <v>3548</v>
      </c>
      <c r="J1574" s="353"/>
      <c r="K1574" s="353"/>
      <c r="L1574" s="8" t="s">
        <v>3546</v>
      </c>
      <c r="P1574" s="9"/>
      <c r="Q1574" s="3"/>
    </row>
    <row r="1575" spans="1:17" s="8" customFormat="1" x14ac:dyDescent="0.3">
      <c r="A1575" s="381" t="s">
        <v>3551</v>
      </c>
      <c r="B1575" s="150"/>
      <c r="C1575" s="353" t="s">
        <v>3552</v>
      </c>
      <c r="D1575" s="2">
        <v>25201</v>
      </c>
      <c r="E1575" s="353">
        <v>1450911</v>
      </c>
      <c r="G1575" s="8" t="s">
        <v>3553</v>
      </c>
      <c r="J1575" s="353"/>
      <c r="K1575" s="353"/>
      <c r="L1575" s="8" t="s">
        <v>3549</v>
      </c>
      <c r="P1575" s="9"/>
      <c r="Q1575" s="3"/>
    </row>
    <row r="1576" spans="1:17" s="8" customFormat="1" x14ac:dyDescent="0.3">
      <c r="A1576" s="379"/>
      <c r="B1576" s="150"/>
      <c r="C1576" s="353" t="s">
        <v>615</v>
      </c>
      <c r="D1576" s="2">
        <v>36255</v>
      </c>
      <c r="E1576" s="353">
        <v>1450913</v>
      </c>
      <c r="G1576" s="8" t="s">
        <v>3554</v>
      </c>
      <c r="J1576" s="353"/>
      <c r="K1576" s="353"/>
      <c r="L1576" s="8" t="s">
        <v>3555</v>
      </c>
      <c r="P1576" s="9"/>
      <c r="Q1576" s="3"/>
    </row>
    <row r="1577" spans="1:17" s="8" customFormat="1" x14ac:dyDescent="0.3">
      <c r="A1577" s="381" t="s">
        <v>3566</v>
      </c>
      <c r="B1577" s="150"/>
      <c r="C1577" s="353" t="s">
        <v>3567</v>
      </c>
      <c r="D1577" s="2">
        <v>23941</v>
      </c>
      <c r="E1577" s="353">
        <v>1451011</v>
      </c>
      <c r="G1577" s="8" t="s">
        <v>3568</v>
      </c>
      <c r="J1577" s="353"/>
      <c r="K1577" s="353"/>
      <c r="L1577" s="8" t="s">
        <v>3569</v>
      </c>
      <c r="P1577" s="9"/>
      <c r="Q1577" s="3"/>
    </row>
    <row r="1578" spans="1:17" s="8" customFormat="1" x14ac:dyDescent="0.3">
      <c r="A1578" s="379"/>
      <c r="B1578" s="150"/>
      <c r="C1578" s="353" t="s">
        <v>3282</v>
      </c>
      <c r="D1578" s="2">
        <v>24821</v>
      </c>
      <c r="E1578" s="366">
        <v>2459816</v>
      </c>
      <c r="G1578" s="8" t="s">
        <v>3570</v>
      </c>
      <c r="J1578" s="353"/>
      <c r="K1578" s="353"/>
      <c r="P1578" s="9"/>
      <c r="Q1578" s="3"/>
    </row>
    <row r="1579" spans="1:17" s="8" customFormat="1" x14ac:dyDescent="0.3">
      <c r="A1579" s="378" t="s">
        <v>3574</v>
      </c>
      <c r="B1579" s="150"/>
      <c r="C1579" s="353" t="s">
        <v>3575</v>
      </c>
      <c r="D1579" s="2">
        <v>31788</v>
      </c>
      <c r="E1579" s="353">
        <v>1111411</v>
      </c>
      <c r="G1579" s="8" t="s">
        <v>3578</v>
      </c>
      <c r="J1579" s="353"/>
      <c r="K1579" s="353"/>
      <c r="L1579" s="8" t="s">
        <v>3580</v>
      </c>
      <c r="P1579" s="9"/>
      <c r="Q1579" s="3"/>
    </row>
    <row r="1580" spans="1:17" s="8" customFormat="1" x14ac:dyDescent="0.3">
      <c r="A1580" s="384"/>
      <c r="B1580" s="150"/>
      <c r="C1580" s="353" t="s">
        <v>3576</v>
      </c>
      <c r="D1580" s="2">
        <v>32467</v>
      </c>
      <c r="E1580" s="353">
        <v>2051815</v>
      </c>
      <c r="G1580" s="8" t="s">
        <v>3579</v>
      </c>
      <c r="J1580" s="353"/>
      <c r="K1580" s="353"/>
      <c r="P1580" s="9"/>
      <c r="Q1580" s="3"/>
    </row>
    <row r="1581" spans="1:17" s="8" customFormat="1" x14ac:dyDescent="0.3">
      <c r="A1581" s="379"/>
      <c r="B1581" s="150"/>
      <c r="C1581" s="353" t="s">
        <v>3577</v>
      </c>
      <c r="D1581" s="2">
        <v>43699</v>
      </c>
      <c r="E1581" s="353">
        <v>3411715</v>
      </c>
      <c r="J1581" s="353"/>
      <c r="K1581" s="353"/>
      <c r="P1581" s="9"/>
      <c r="Q1581" s="3"/>
    </row>
    <row r="1582" spans="1:17" s="8" customFormat="1" x14ac:dyDescent="0.3">
      <c r="A1582" s="353" t="s">
        <v>3581</v>
      </c>
      <c r="B1582" s="150"/>
      <c r="C1582" s="353" t="s">
        <v>692</v>
      </c>
      <c r="D1582" s="2">
        <v>29072</v>
      </c>
      <c r="E1582" s="353">
        <v>1223517</v>
      </c>
      <c r="G1582" s="8" t="s">
        <v>3582</v>
      </c>
      <c r="J1582" s="353"/>
      <c r="K1582" s="353"/>
      <c r="L1582" s="8" t="s">
        <v>3583</v>
      </c>
      <c r="P1582" s="9"/>
      <c r="Q1582" s="3"/>
    </row>
    <row r="1583" spans="1:17" s="8" customFormat="1" x14ac:dyDescent="0.3">
      <c r="A1583" s="353" t="s">
        <v>3584</v>
      </c>
      <c r="B1583" s="150"/>
      <c r="C1583" s="353" t="s">
        <v>3585</v>
      </c>
      <c r="D1583" s="2">
        <v>29225</v>
      </c>
      <c r="E1583" s="353">
        <v>1474214</v>
      </c>
      <c r="G1583" s="8" t="s">
        <v>3586</v>
      </c>
      <c r="J1583" s="353"/>
      <c r="K1583" s="353"/>
      <c r="L1583" s="8" t="s">
        <v>3587</v>
      </c>
      <c r="P1583" s="9"/>
      <c r="Q1583" s="3"/>
    </row>
    <row r="1584" spans="1:17" s="8" customFormat="1" x14ac:dyDescent="0.3">
      <c r="A1584" s="378" t="s">
        <v>3588</v>
      </c>
      <c r="B1584" s="150"/>
      <c r="C1584" s="371" t="s">
        <v>3589</v>
      </c>
      <c r="D1584" s="2">
        <v>20728</v>
      </c>
      <c r="E1584" s="371">
        <v>1478810</v>
      </c>
      <c r="G1584" s="8" t="s">
        <v>3590</v>
      </c>
      <c r="J1584" s="371"/>
      <c r="K1584" s="371"/>
      <c r="L1584" s="8" t="s">
        <v>3591</v>
      </c>
      <c r="P1584" s="9"/>
      <c r="Q1584" s="3"/>
    </row>
    <row r="1585" spans="1:17" s="8" customFormat="1" x14ac:dyDescent="0.3">
      <c r="A1585" s="384"/>
      <c r="B1585" s="150"/>
      <c r="C1585" s="353" t="s">
        <v>3658</v>
      </c>
      <c r="D1585" s="2">
        <v>29408</v>
      </c>
      <c r="E1585" s="353">
        <v>2478811</v>
      </c>
      <c r="G1585" s="8" t="s">
        <v>3659</v>
      </c>
      <c r="J1585" s="353"/>
      <c r="K1585" s="353"/>
      <c r="L1585" s="8" t="s">
        <v>3591</v>
      </c>
      <c r="P1585" s="9"/>
      <c r="Q1585" s="3"/>
    </row>
    <row r="1586" spans="1:17" s="8" customFormat="1" x14ac:dyDescent="0.3">
      <c r="A1586" s="379"/>
      <c r="B1586" s="150"/>
      <c r="C1586" s="371" t="s">
        <v>170</v>
      </c>
      <c r="D1586" s="2">
        <v>30434</v>
      </c>
      <c r="E1586" s="371">
        <v>2475720</v>
      </c>
      <c r="J1586" s="371"/>
      <c r="K1586" s="371"/>
      <c r="P1586" s="9"/>
      <c r="Q1586" s="3"/>
    </row>
    <row r="1587" spans="1:17" s="8" customFormat="1" x14ac:dyDescent="0.3">
      <c r="A1587" s="378" t="s">
        <v>3592</v>
      </c>
      <c r="B1587" s="150"/>
      <c r="C1587" s="353" t="s">
        <v>3593</v>
      </c>
      <c r="D1587" s="2">
        <v>23533</v>
      </c>
      <c r="E1587" s="353">
        <v>2552613</v>
      </c>
      <c r="G1587" s="8" t="s">
        <v>3594</v>
      </c>
      <c r="J1587" s="353"/>
      <c r="K1587" s="353"/>
      <c r="L1587" s="8" t="s">
        <v>3595</v>
      </c>
      <c r="P1587" s="9"/>
      <c r="Q1587" s="3"/>
    </row>
    <row r="1588" spans="1:17" s="8" customFormat="1" x14ac:dyDescent="0.3">
      <c r="A1588" s="384"/>
      <c r="B1588" s="150"/>
      <c r="C1588" s="353" t="s">
        <v>3596</v>
      </c>
      <c r="D1588" s="2">
        <v>36249</v>
      </c>
      <c r="E1588" s="353">
        <v>2025521</v>
      </c>
      <c r="G1588" s="8" t="s">
        <v>3597</v>
      </c>
      <c r="J1588" s="353"/>
      <c r="K1588" s="353"/>
      <c r="P1588" s="9"/>
      <c r="Q1588" s="3"/>
    </row>
    <row r="1589" spans="1:17" s="8" customFormat="1" x14ac:dyDescent="0.3">
      <c r="A1589" s="379"/>
      <c r="B1589" s="150"/>
      <c r="C1589" s="353" t="s">
        <v>3599</v>
      </c>
      <c r="D1589" s="2">
        <v>23800</v>
      </c>
      <c r="E1589" s="353">
        <v>1550618</v>
      </c>
      <c r="G1589" s="8" t="s">
        <v>3600</v>
      </c>
      <c r="J1589" s="353"/>
      <c r="K1589" s="353"/>
      <c r="P1589" s="9"/>
      <c r="Q1589" s="3"/>
    </row>
    <row r="1590" spans="1:17" s="8" customFormat="1" x14ac:dyDescent="0.3">
      <c r="A1590" s="353" t="s">
        <v>3601</v>
      </c>
      <c r="B1590" s="150"/>
      <c r="C1590" s="353" t="s">
        <v>3602</v>
      </c>
      <c r="D1590" s="2">
        <v>30154</v>
      </c>
      <c r="E1590" s="353">
        <v>2351116</v>
      </c>
      <c r="G1590" s="8" t="s">
        <v>3603</v>
      </c>
      <c r="J1590" s="353"/>
      <c r="K1590" s="353"/>
      <c r="L1590" s="8" t="s">
        <v>3604</v>
      </c>
      <c r="P1590" s="9"/>
      <c r="Q1590" s="3"/>
    </row>
    <row r="1591" spans="1:17" s="8" customFormat="1" x14ac:dyDescent="0.3">
      <c r="A1591" s="353" t="s">
        <v>3607</v>
      </c>
      <c r="B1591" s="150"/>
      <c r="C1591" s="353" t="s">
        <v>3608</v>
      </c>
      <c r="D1591" s="2">
        <v>16450</v>
      </c>
      <c r="E1591" s="353">
        <v>2122628</v>
      </c>
      <c r="J1591" s="353"/>
      <c r="K1591" s="353"/>
      <c r="L1591" s="8" t="s">
        <v>3609</v>
      </c>
      <c r="P1591" s="9"/>
      <c r="Q1591" s="3"/>
    </row>
    <row r="1592" spans="1:17" s="8" customFormat="1" x14ac:dyDescent="0.3">
      <c r="A1592" s="353" t="s">
        <v>3610</v>
      </c>
      <c r="B1592" s="150"/>
      <c r="C1592" s="353" t="s">
        <v>3611</v>
      </c>
      <c r="D1592" s="2">
        <v>18610</v>
      </c>
      <c r="E1592" s="353">
        <v>1122015</v>
      </c>
      <c r="G1592" s="8" t="s">
        <v>3612</v>
      </c>
      <c r="J1592" s="353"/>
      <c r="K1592" s="353"/>
      <c r="P1592" s="9"/>
      <c r="Q1592" s="3"/>
    </row>
    <row r="1593" spans="1:17" s="8" customFormat="1" x14ac:dyDescent="0.3">
      <c r="A1593" s="353" t="s">
        <v>3614</v>
      </c>
      <c r="B1593" s="150"/>
      <c r="C1593" s="353" t="s">
        <v>3615</v>
      </c>
      <c r="D1593" s="2">
        <v>18759</v>
      </c>
      <c r="E1593" s="353">
        <v>2481912</v>
      </c>
      <c r="G1593" s="8" t="s">
        <v>3616</v>
      </c>
      <c r="J1593" s="353"/>
      <c r="K1593" s="353"/>
      <c r="L1593" s="8" t="s">
        <v>3613</v>
      </c>
      <c r="P1593" s="9"/>
      <c r="Q1593" s="3"/>
    </row>
    <row r="1594" spans="1:17" s="8" customFormat="1" x14ac:dyDescent="0.3">
      <c r="A1594" s="378" t="s">
        <v>3618</v>
      </c>
      <c r="B1594" s="150"/>
      <c r="C1594" s="353" t="s">
        <v>3619</v>
      </c>
      <c r="D1594" s="2">
        <v>41659</v>
      </c>
      <c r="E1594" s="353">
        <v>4412420</v>
      </c>
      <c r="J1594" s="353"/>
      <c r="K1594" s="353"/>
      <c r="L1594" s="8" t="s">
        <v>3617</v>
      </c>
      <c r="P1594" s="9"/>
      <c r="Q1594" s="3"/>
    </row>
    <row r="1595" spans="1:17" s="8" customFormat="1" x14ac:dyDescent="0.3">
      <c r="A1595" s="384"/>
      <c r="B1595" s="150"/>
      <c r="C1595" s="353" t="s">
        <v>3620</v>
      </c>
      <c r="D1595" s="2">
        <v>42010</v>
      </c>
      <c r="E1595" s="353">
        <v>34712411</v>
      </c>
      <c r="J1595" s="353"/>
      <c r="K1595" s="353"/>
      <c r="L1595" s="8" t="s">
        <v>3622</v>
      </c>
      <c r="P1595" s="9"/>
      <c r="Q1595" s="3"/>
    </row>
    <row r="1596" spans="1:17" s="8" customFormat="1" x14ac:dyDescent="0.3">
      <c r="A1596" s="384"/>
      <c r="B1596" s="150"/>
      <c r="C1596" s="353" t="s">
        <v>3621</v>
      </c>
      <c r="D1596" s="2">
        <v>29332</v>
      </c>
      <c r="E1596" s="353">
        <v>2483016</v>
      </c>
      <c r="J1596" s="353"/>
      <c r="K1596" s="353"/>
      <c r="P1596" s="9"/>
      <c r="Q1596" s="3"/>
    </row>
    <row r="1597" spans="1:17" s="8" customFormat="1" x14ac:dyDescent="0.3">
      <c r="A1597" s="379"/>
      <c r="B1597" s="150"/>
      <c r="C1597" s="369" t="s">
        <v>3627</v>
      </c>
      <c r="D1597" s="2">
        <v>28792</v>
      </c>
      <c r="E1597" s="369">
        <v>1531216</v>
      </c>
      <c r="J1597" s="369"/>
      <c r="K1597" s="369"/>
      <c r="P1597" s="9"/>
      <c r="Q1597" s="3"/>
    </row>
    <row r="1598" spans="1:17" s="8" customFormat="1" x14ac:dyDescent="0.3">
      <c r="A1598" s="378" t="s">
        <v>3623</v>
      </c>
      <c r="B1598" s="150"/>
      <c r="C1598" s="353" t="s">
        <v>2303</v>
      </c>
      <c r="D1598" s="2">
        <v>27494</v>
      </c>
      <c r="E1598" s="353">
        <v>2055511</v>
      </c>
      <c r="G1598" s="8" t="s">
        <v>2304</v>
      </c>
      <c r="J1598" s="353"/>
      <c r="K1598" s="353"/>
      <c r="P1598" s="9"/>
      <c r="Q1598" s="3"/>
    </row>
    <row r="1599" spans="1:17" s="8" customFormat="1" x14ac:dyDescent="0.3">
      <c r="A1599" s="379"/>
      <c r="B1599" s="150"/>
      <c r="C1599" s="353" t="s">
        <v>3625</v>
      </c>
      <c r="D1599" s="2">
        <v>18699</v>
      </c>
      <c r="E1599" s="353">
        <v>2055517</v>
      </c>
      <c r="G1599" s="8" t="s">
        <v>3626</v>
      </c>
      <c r="J1599" s="353"/>
      <c r="K1599" s="353"/>
      <c r="L1599" s="8" t="s">
        <v>3624</v>
      </c>
      <c r="P1599" s="9"/>
      <c r="Q1599" s="3"/>
    </row>
    <row r="1600" spans="1:17" s="8" customFormat="1" x14ac:dyDescent="0.3">
      <c r="A1600" s="378" t="s">
        <v>3628</v>
      </c>
      <c r="B1600" s="150"/>
      <c r="C1600" s="370" t="s">
        <v>3644</v>
      </c>
      <c r="D1600" s="2">
        <v>23096</v>
      </c>
      <c r="E1600" s="370">
        <v>2183019</v>
      </c>
      <c r="G1600" s="8" t="s">
        <v>3630</v>
      </c>
      <c r="J1600" s="370"/>
      <c r="K1600" s="370"/>
      <c r="L1600" s="8" t="s">
        <v>3645</v>
      </c>
      <c r="P1600" s="9"/>
      <c r="Q1600" s="3"/>
    </row>
    <row r="1601" spans="1:17" s="8" customFormat="1" x14ac:dyDescent="0.3">
      <c r="A1601" s="379"/>
      <c r="B1601" s="150"/>
      <c r="C1601" s="353" t="s">
        <v>3629</v>
      </c>
      <c r="D1601" s="2">
        <v>33613</v>
      </c>
      <c r="E1601" s="353">
        <v>1393114</v>
      </c>
      <c r="G1601" s="8" t="s">
        <v>3630</v>
      </c>
      <c r="J1601" s="353"/>
      <c r="K1601" s="353"/>
      <c r="L1601" s="8" t="s">
        <v>3631</v>
      </c>
      <c r="P1601" s="9"/>
      <c r="Q1601" s="3"/>
    </row>
    <row r="1602" spans="1:17" s="8" customFormat="1" x14ac:dyDescent="0.3">
      <c r="A1602" s="378" t="s">
        <v>3632</v>
      </c>
      <c r="B1602" s="150"/>
      <c r="C1602" s="353" t="s">
        <v>3634</v>
      </c>
      <c r="D1602" s="2">
        <v>30257</v>
      </c>
      <c r="E1602" s="353">
        <v>2122013</v>
      </c>
      <c r="G1602" s="8" t="s">
        <v>3640</v>
      </c>
      <c r="J1602" s="353"/>
      <c r="K1602" s="353"/>
      <c r="L1602" s="8" t="s">
        <v>3641</v>
      </c>
      <c r="P1602" s="9"/>
      <c r="Q1602" s="3"/>
    </row>
    <row r="1603" spans="1:17" s="8" customFormat="1" x14ac:dyDescent="0.3">
      <c r="A1603" s="384"/>
      <c r="B1603" s="150"/>
      <c r="C1603" s="353" t="s">
        <v>3635</v>
      </c>
      <c r="D1603" s="2">
        <v>30229</v>
      </c>
      <c r="E1603" s="353">
        <v>1114439</v>
      </c>
      <c r="G1603" s="8" t="s">
        <v>3642</v>
      </c>
      <c r="J1603" s="353"/>
      <c r="K1603" s="353"/>
      <c r="P1603" s="9"/>
      <c r="Q1603" s="3"/>
    </row>
    <row r="1604" spans="1:17" s="8" customFormat="1" x14ac:dyDescent="0.3">
      <c r="A1604" s="384"/>
      <c r="B1604" s="150"/>
      <c r="C1604" s="353" t="s">
        <v>3636</v>
      </c>
      <c r="D1604" s="2">
        <v>41480</v>
      </c>
      <c r="E1604" s="353">
        <v>3247615</v>
      </c>
      <c r="J1604" s="353"/>
      <c r="K1604" s="353"/>
      <c r="P1604" s="9"/>
      <c r="Q1604" s="3"/>
    </row>
    <row r="1605" spans="1:17" s="8" customFormat="1" x14ac:dyDescent="0.3">
      <c r="A1605" s="384"/>
      <c r="B1605" s="150"/>
      <c r="C1605" s="353" t="s">
        <v>3637</v>
      </c>
      <c r="D1605" s="2">
        <v>41480</v>
      </c>
      <c r="E1605" s="353">
        <v>4247623</v>
      </c>
      <c r="J1605" s="353"/>
      <c r="K1605" s="353"/>
      <c r="P1605" s="9"/>
      <c r="Q1605" s="3"/>
    </row>
    <row r="1606" spans="1:17" s="8" customFormat="1" x14ac:dyDescent="0.3">
      <c r="A1606" s="379"/>
      <c r="B1606" s="150"/>
      <c r="C1606" s="353" t="s">
        <v>3638</v>
      </c>
      <c r="D1606" s="2">
        <v>41983</v>
      </c>
      <c r="E1606" s="353">
        <v>3247310</v>
      </c>
      <c r="J1606" s="353"/>
      <c r="K1606" s="353"/>
      <c r="P1606" s="9"/>
      <c r="Q1606" s="3"/>
    </row>
    <row r="1607" spans="1:17" s="8" customFormat="1" x14ac:dyDescent="0.3">
      <c r="A1607" s="378" t="s">
        <v>3633</v>
      </c>
      <c r="B1607" s="150"/>
      <c r="C1607" s="353" t="s">
        <v>3611</v>
      </c>
      <c r="D1607" s="2">
        <v>18610</v>
      </c>
      <c r="E1607" s="353">
        <v>1122015</v>
      </c>
      <c r="G1607" s="8" t="s">
        <v>3612</v>
      </c>
      <c r="J1607" s="353"/>
      <c r="K1607" s="353"/>
      <c r="L1607" s="8" t="s">
        <v>3643</v>
      </c>
      <c r="P1607" s="9"/>
      <c r="Q1607" s="3"/>
    </row>
    <row r="1608" spans="1:17" s="8" customFormat="1" x14ac:dyDescent="0.3">
      <c r="A1608" s="379"/>
      <c r="B1608" s="150"/>
      <c r="C1608" s="353" t="s">
        <v>3639</v>
      </c>
      <c r="D1608" s="2">
        <v>19959</v>
      </c>
      <c r="E1608" s="353">
        <v>2122023</v>
      </c>
      <c r="J1608" s="353"/>
      <c r="K1608" s="353"/>
      <c r="P1608" s="9"/>
      <c r="Q1608" s="3"/>
    </row>
    <row r="1609" spans="1:17" s="8" customFormat="1" x14ac:dyDescent="0.3">
      <c r="A1609" s="378" t="s">
        <v>3646</v>
      </c>
      <c r="B1609" s="150"/>
      <c r="C1609" s="353" t="s">
        <v>3647</v>
      </c>
      <c r="D1609" s="2">
        <v>35880</v>
      </c>
      <c r="E1609" s="353">
        <v>1249511</v>
      </c>
      <c r="G1609" s="8" t="s">
        <v>3649</v>
      </c>
      <c r="J1609" s="353"/>
      <c r="K1609" s="353"/>
      <c r="L1609" s="8" t="s">
        <v>3651</v>
      </c>
      <c r="P1609" s="9"/>
      <c r="Q1609" s="3"/>
    </row>
    <row r="1610" spans="1:17" s="8" customFormat="1" x14ac:dyDescent="0.3">
      <c r="A1610" s="379"/>
      <c r="B1610" s="150"/>
      <c r="C1610" s="353" t="s">
        <v>3648</v>
      </c>
      <c r="D1610" s="2">
        <v>24993</v>
      </c>
      <c r="E1610" s="353">
        <v>2249510</v>
      </c>
      <c r="G1610" s="8" t="s">
        <v>3650</v>
      </c>
      <c r="J1610" s="353"/>
      <c r="K1610" s="353"/>
      <c r="P1610" s="9"/>
      <c r="Q1610" s="3"/>
    </row>
    <row r="1611" spans="1:17" s="8" customFormat="1" x14ac:dyDescent="0.3">
      <c r="A1611" s="378" t="s">
        <v>3652</v>
      </c>
      <c r="B1611" s="150"/>
      <c r="C1611" s="353" t="s">
        <v>3653</v>
      </c>
      <c r="D1611" s="2">
        <v>20920</v>
      </c>
      <c r="E1611" s="353">
        <v>2552612</v>
      </c>
      <c r="G1611" s="8" t="s">
        <v>3655</v>
      </c>
      <c r="J1611" s="353"/>
      <c r="K1611" s="353"/>
      <c r="L1611" s="8" t="s">
        <v>3657</v>
      </c>
      <c r="P1611" s="9"/>
      <c r="Q1611" s="3"/>
    </row>
    <row r="1612" spans="1:17" s="8" customFormat="1" x14ac:dyDescent="0.3">
      <c r="A1612" s="379"/>
      <c r="B1612" s="150"/>
      <c r="C1612" s="353" t="s">
        <v>3654</v>
      </c>
      <c r="D1612" s="2">
        <v>20000</v>
      </c>
      <c r="E1612" s="353">
        <v>1024716</v>
      </c>
      <c r="G1612" s="8" t="s">
        <v>3656</v>
      </c>
      <c r="J1612" s="353"/>
      <c r="K1612" s="353"/>
      <c r="P1612" s="9"/>
      <c r="Q1612" s="3"/>
    </row>
    <row r="1613" spans="1:17" s="8" customFormat="1" x14ac:dyDescent="0.3">
      <c r="A1613" s="353" t="s">
        <v>3662</v>
      </c>
      <c r="B1613" s="150"/>
      <c r="C1613" s="353" t="s">
        <v>3663</v>
      </c>
      <c r="D1613" s="2">
        <v>18878</v>
      </c>
      <c r="E1613" s="353">
        <v>2469518</v>
      </c>
      <c r="G1613" s="8" t="s">
        <v>3664</v>
      </c>
      <c r="J1613" s="353"/>
      <c r="K1613" s="353"/>
      <c r="L1613" s="8" t="s">
        <v>3665</v>
      </c>
      <c r="P1613" s="9"/>
      <c r="Q1613" s="3"/>
    </row>
    <row r="1614" spans="1:17" s="8" customFormat="1" x14ac:dyDescent="0.3">
      <c r="A1614" s="378" t="s">
        <v>3666</v>
      </c>
      <c r="B1614" s="150"/>
      <c r="C1614" s="353" t="s">
        <v>3667</v>
      </c>
      <c r="D1614" s="2">
        <v>26259</v>
      </c>
      <c r="E1614" s="353">
        <v>1221115</v>
      </c>
      <c r="G1614" s="8" t="s">
        <v>3668</v>
      </c>
      <c r="J1614" s="353"/>
      <c r="K1614" s="353"/>
      <c r="P1614" s="9"/>
      <c r="Q1614" s="3"/>
    </row>
    <row r="1615" spans="1:17" s="8" customFormat="1" x14ac:dyDescent="0.3">
      <c r="A1615" s="379"/>
      <c r="B1615" s="150"/>
      <c r="C1615" s="375" t="s">
        <v>646</v>
      </c>
      <c r="D1615" s="2">
        <v>35846</v>
      </c>
      <c r="E1615" s="375">
        <v>1173513</v>
      </c>
      <c r="G1615" s="8" t="s">
        <v>3679</v>
      </c>
      <c r="J1615" s="375"/>
      <c r="K1615" s="375"/>
      <c r="L1615" s="8" t="s">
        <v>3680</v>
      </c>
      <c r="P1615" s="9"/>
      <c r="Q1615" s="3"/>
    </row>
    <row r="1616" spans="1:17" s="8" customFormat="1" x14ac:dyDescent="0.3">
      <c r="A1616" s="353" t="s">
        <v>3669</v>
      </c>
      <c r="B1616" s="150"/>
      <c r="C1616" s="353" t="s">
        <v>3670</v>
      </c>
      <c r="D1616" s="2">
        <v>21408</v>
      </c>
      <c r="E1616" s="353">
        <v>2468914</v>
      </c>
      <c r="G1616" s="8" t="s">
        <v>3671</v>
      </c>
      <c r="J1616" s="353"/>
      <c r="K1616" s="353"/>
      <c r="L1616" s="8" t="s">
        <v>3672</v>
      </c>
      <c r="P1616" s="9"/>
      <c r="Q1616" s="3"/>
    </row>
    <row r="1617" spans="1:17" s="8" customFormat="1" x14ac:dyDescent="0.3">
      <c r="A1617" s="353" t="s">
        <v>3673</v>
      </c>
      <c r="B1617" s="150"/>
      <c r="C1617" s="353" t="s">
        <v>3674</v>
      </c>
      <c r="D1617" s="2">
        <v>29835</v>
      </c>
      <c r="E1617" s="353">
        <v>1019726</v>
      </c>
      <c r="G1617" s="8" t="s">
        <v>3675</v>
      </c>
      <c r="J1617" s="353"/>
      <c r="K1617" s="353"/>
      <c r="L1617" s="8" t="s">
        <v>3676</v>
      </c>
      <c r="P1617" s="9"/>
      <c r="Q1617" s="3"/>
    </row>
    <row r="1618" spans="1:17" s="8" customFormat="1" x14ac:dyDescent="0.3">
      <c r="A1618" s="377"/>
      <c r="B1618" s="150"/>
      <c r="C1618" s="377" t="s">
        <v>3689</v>
      </c>
      <c r="D1618" s="2">
        <v>29879</v>
      </c>
      <c r="E1618" s="377">
        <v>2169614</v>
      </c>
      <c r="G1618" s="8" t="s">
        <v>3690</v>
      </c>
      <c r="J1618" s="377"/>
      <c r="K1618" s="377"/>
      <c r="P1618" s="9"/>
      <c r="Q1618" s="3"/>
    </row>
    <row r="1619" spans="1:17" s="8" customFormat="1" x14ac:dyDescent="0.3">
      <c r="A1619" s="353" t="s">
        <v>3681</v>
      </c>
      <c r="B1619" s="150"/>
      <c r="C1619" s="353" t="s">
        <v>3682</v>
      </c>
      <c r="D1619" s="2">
        <v>19272</v>
      </c>
      <c r="E1619" s="353">
        <v>2468913</v>
      </c>
      <c r="G1619" s="8" t="s">
        <v>3683</v>
      </c>
      <c r="J1619" s="353"/>
      <c r="K1619" s="353"/>
      <c r="L1619" s="8" t="s">
        <v>3684</v>
      </c>
      <c r="P1619" s="9"/>
      <c r="Q1619" s="3"/>
    </row>
    <row r="1620" spans="1:17" s="8" customFormat="1" x14ac:dyDescent="0.3">
      <c r="A1620" s="353"/>
      <c r="B1620" s="150"/>
      <c r="C1620" s="353"/>
      <c r="D1620" s="353"/>
      <c r="E1620" s="353"/>
      <c r="J1620" s="353"/>
      <c r="K1620" s="353"/>
      <c r="P1620" s="9"/>
      <c r="Q1620" s="3"/>
    </row>
    <row r="1621" spans="1:17" s="8" customFormat="1" x14ac:dyDescent="0.3">
      <c r="A1621" s="353"/>
      <c r="B1621" s="150"/>
      <c r="C1621" s="353"/>
      <c r="D1621" s="353"/>
      <c r="E1621" s="353"/>
      <c r="J1621" s="353"/>
      <c r="K1621" s="353"/>
      <c r="P1621" s="9"/>
      <c r="Q1621" s="3"/>
    </row>
    <row r="1622" spans="1:17" s="8" customFormat="1" x14ac:dyDescent="0.3">
      <c r="A1622" s="353"/>
      <c r="B1622" s="150"/>
      <c r="C1622" s="353"/>
      <c r="D1622" s="353"/>
      <c r="E1622" s="353"/>
      <c r="J1622" s="353"/>
      <c r="K1622" s="353"/>
      <c r="P1622" s="9"/>
      <c r="Q1622" s="3"/>
    </row>
    <row r="1623" spans="1:17" s="8" customFormat="1" x14ac:dyDescent="0.3">
      <c r="A1623" s="353"/>
      <c r="B1623" s="150"/>
      <c r="C1623" s="353"/>
      <c r="D1623" s="353"/>
      <c r="E1623" s="353"/>
      <c r="J1623" s="353"/>
      <c r="K1623" s="353"/>
      <c r="P1623" s="9"/>
      <c r="Q1623" s="3"/>
    </row>
    <row r="1624" spans="1:17" s="8" customFormat="1" x14ac:dyDescent="0.3">
      <c r="A1624" s="353"/>
      <c r="B1624" s="150"/>
      <c r="C1624" s="353"/>
      <c r="D1624" s="353"/>
      <c r="E1624" s="353"/>
      <c r="J1624" s="353"/>
      <c r="K1624" s="353"/>
      <c r="P1624" s="9"/>
      <c r="Q1624" s="3"/>
    </row>
    <row r="1625" spans="1:17" s="8" customFormat="1" x14ac:dyDescent="0.3">
      <c r="A1625" s="353"/>
      <c r="B1625" s="150"/>
      <c r="C1625" s="353"/>
      <c r="D1625" s="353"/>
      <c r="E1625" s="353"/>
      <c r="J1625" s="353"/>
      <c r="K1625" s="353"/>
      <c r="P1625" s="9"/>
      <c r="Q1625" s="3"/>
    </row>
    <row r="1626" spans="1:17" s="8" customFormat="1" x14ac:dyDescent="0.3">
      <c r="A1626" s="353"/>
      <c r="B1626" s="150"/>
      <c r="C1626" s="353"/>
      <c r="D1626" s="353"/>
      <c r="E1626" s="353"/>
      <c r="J1626" s="353"/>
      <c r="K1626" s="353"/>
      <c r="P1626" s="9"/>
      <c r="Q1626" s="3"/>
    </row>
    <row r="1627" spans="1:17" s="8" customFormat="1" x14ac:dyDescent="0.3">
      <c r="A1627" s="353"/>
      <c r="B1627" s="150"/>
      <c r="C1627" s="353"/>
      <c r="D1627" s="353"/>
      <c r="E1627" s="353"/>
      <c r="J1627" s="353"/>
      <c r="K1627" s="353"/>
      <c r="P1627" s="9"/>
      <c r="Q1627" s="3"/>
    </row>
  </sheetData>
  <autoFilter ref="F1:F1390" xr:uid="{00000000-0009-0000-0000-000001000000}"/>
  <mergeCells count="379">
    <mergeCell ref="A966:A967"/>
    <mergeCell ref="A907:A910"/>
    <mergeCell ref="A928:A930"/>
    <mergeCell ref="A1463:A1464"/>
    <mergeCell ref="A1434:A1437"/>
    <mergeCell ref="A1444:A1447"/>
    <mergeCell ref="A1061:A1064"/>
    <mergeCell ref="A1065:A1068"/>
    <mergeCell ref="A1107:A1108"/>
    <mergeCell ref="A1095:A1098"/>
    <mergeCell ref="A1176:A1177"/>
    <mergeCell ref="A1172:A1175"/>
    <mergeCell ref="A994:A997"/>
    <mergeCell ref="A1188:A1190"/>
    <mergeCell ref="A1283:A1287"/>
    <mergeCell ref="A1224:A1227"/>
    <mergeCell ref="A1253:A1255"/>
    <mergeCell ref="A1406:A1407"/>
    <mergeCell ref="A1410:A1411"/>
    <mergeCell ref="A977:A980"/>
    <mergeCell ref="A981:A983"/>
    <mergeCell ref="A1146:A1154"/>
    <mergeCell ref="A1165:A1167"/>
    <mergeCell ref="A1141:A1145"/>
    <mergeCell ref="A1486:A1488"/>
    <mergeCell ref="A1491:A1492"/>
    <mergeCell ref="A1559:A1560"/>
    <mergeCell ref="A1546:A1547"/>
    <mergeCell ref="A1524:A1527"/>
    <mergeCell ref="A1528:A1531"/>
    <mergeCell ref="A1506:A1507"/>
    <mergeCell ref="A1508:A1509"/>
    <mergeCell ref="A1514:A1515"/>
    <mergeCell ref="A1518:A1519"/>
    <mergeCell ref="A1520:A1523"/>
    <mergeCell ref="A1549:A1550"/>
    <mergeCell ref="A1532:A1536"/>
    <mergeCell ref="A1510:A1513"/>
    <mergeCell ref="A1555:A1557"/>
    <mergeCell ref="A1489:A1490"/>
    <mergeCell ref="A1386:A1387"/>
    <mergeCell ref="A1369:A1372"/>
    <mergeCell ref="A1373:A1374"/>
    <mergeCell ref="A1352:A1353"/>
    <mergeCell ref="A1349:A1351"/>
    <mergeCell ref="A1354:A1356"/>
    <mergeCell ref="A1343:A1344"/>
    <mergeCell ref="A1391:A1392"/>
    <mergeCell ref="A1393:A1394"/>
    <mergeCell ref="A1380:A1381"/>
    <mergeCell ref="A1363:A1364"/>
    <mergeCell ref="A1051:A1053"/>
    <mergeCell ref="A1241:A1242"/>
    <mergeCell ref="A1012:A1014"/>
    <mergeCell ref="A1037:A1041"/>
    <mergeCell ref="A1019:A1023"/>
    <mergeCell ref="A1296:A1297"/>
    <mergeCell ref="A1312:A1314"/>
    <mergeCell ref="A1208:A1211"/>
    <mergeCell ref="A1212:A1218"/>
    <mergeCell ref="A1301:A1302"/>
    <mergeCell ref="A1298:A1300"/>
    <mergeCell ref="A1269:A1271"/>
    <mergeCell ref="A1247:A1248"/>
    <mergeCell ref="A1281:A1282"/>
    <mergeCell ref="A1103:A1106"/>
    <mergeCell ref="A1338:A1339"/>
    <mergeCell ref="A1327:A1330"/>
    <mergeCell ref="A1315:A1316"/>
    <mergeCell ref="A1288:A1292"/>
    <mergeCell ref="A1109:A1111"/>
    <mergeCell ref="A1133:A1134"/>
    <mergeCell ref="A1069:A1070"/>
    <mergeCell ref="A1180:A1183"/>
    <mergeCell ref="A1336:A1337"/>
    <mergeCell ref="A1317:A1319"/>
    <mergeCell ref="A1304:A1307"/>
    <mergeCell ref="A594:A598"/>
    <mergeCell ref="A569:A570"/>
    <mergeCell ref="A571:A574"/>
    <mergeCell ref="A606:A608"/>
    <mergeCell ref="A579:A580"/>
    <mergeCell ref="A810:A813"/>
    <mergeCell ref="A853:A857"/>
    <mergeCell ref="A925:A927"/>
    <mergeCell ref="A956:A958"/>
    <mergeCell ref="A703:A705"/>
    <mergeCell ref="A710:A711"/>
    <mergeCell ref="A625:A631"/>
    <mergeCell ref="A698:A700"/>
    <mergeCell ref="A592:A593"/>
    <mergeCell ref="A619:A621"/>
    <mergeCell ref="A770:A771"/>
    <mergeCell ref="A796:A798"/>
    <mergeCell ref="A684:A687"/>
    <mergeCell ref="A656:A662"/>
    <mergeCell ref="A720:A721"/>
    <mergeCell ref="A733:A736"/>
    <mergeCell ref="A622:A624"/>
    <mergeCell ref="A576:A578"/>
    <mergeCell ref="A648:A650"/>
    <mergeCell ref="A644:A647"/>
    <mergeCell ref="A919:A920"/>
    <mergeCell ref="A942:A945"/>
    <mergeCell ref="A610:A615"/>
    <mergeCell ref="A652:A655"/>
    <mergeCell ref="A616:A618"/>
    <mergeCell ref="A763:A766"/>
    <mergeCell ref="A773:A775"/>
    <mergeCell ref="A873:A877"/>
    <mergeCell ref="A824:A828"/>
    <mergeCell ref="A833:A837"/>
    <mergeCell ref="A899:A902"/>
    <mergeCell ref="A865:A867"/>
    <mergeCell ref="A859:A860"/>
    <mergeCell ref="A708:A709"/>
    <mergeCell ref="A742:A745"/>
    <mergeCell ref="A635:A636"/>
    <mergeCell ref="A862:A863"/>
    <mergeCell ref="A847:A849"/>
    <mergeCell ref="A667:A671"/>
    <mergeCell ref="A633:A634"/>
    <mergeCell ref="A829:A832"/>
    <mergeCell ref="A839:A840"/>
    <mergeCell ref="A903:A906"/>
    <mergeCell ref="A562:A565"/>
    <mergeCell ref="A1325:A1326"/>
    <mergeCell ref="A737:A739"/>
    <mergeCell ref="A749:A750"/>
    <mergeCell ref="A843:A845"/>
    <mergeCell ref="A727:A728"/>
    <mergeCell ref="A804:A809"/>
    <mergeCell ref="A536:A537"/>
    <mergeCell ref="A778:A779"/>
    <mergeCell ref="A820:A823"/>
    <mergeCell ref="A603:A605"/>
    <mergeCell ref="A690:A693"/>
    <mergeCell ref="A784:A787"/>
    <mergeCell ref="A814:A816"/>
    <mergeCell ref="A588:A591"/>
    <mergeCell ref="A581:A585"/>
    <mergeCell ref="A675:A679"/>
    <mergeCell ref="A601:A602"/>
    <mergeCell ref="A553:A556"/>
    <mergeCell ref="A558:A559"/>
    <mergeCell ref="A663:A666"/>
    <mergeCell ref="A680:A682"/>
    <mergeCell ref="A921:A924"/>
    <mergeCell ref="A1206:A1207"/>
    <mergeCell ref="A479:A484"/>
    <mergeCell ref="A486:A487"/>
    <mergeCell ref="A496:A498"/>
    <mergeCell ref="A477:A478"/>
    <mergeCell ref="A488:A491"/>
    <mergeCell ref="A508:A511"/>
    <mergeCell ref="A493:A495"/>
    <mergeCell ref="A501:A504"/>
    <mergeCell ref="A539:A540"/>
    <mergeCell ref="A532:A535"/>
    <mergeCell ref="A526:A527"/>
    <mergeCell ref="A528:A531"/>
    <mergeCell ref="A458:A462"/>
    <mergeCell ref="A298:A299"/>
    <mergeCell ref="A291:A297"/>
    <mergeCell ref="A279:A283"/>
    <mergeCell ref="A372:A376"/>
    <mergeCell ref="A309:A313"/>
    <mergeCell ref="A343:A345"/>
    <mergeCell ref="A285:A287"/>
    <mergeCell ref="A316:A318"/>
    <mergeCell ref="A392:A394"/>
    <mergeCell ref="A348:A351"/>
    <mergeCell ref="A353:A355"/>
    <mergeCell ref="A383:A385"/>
    <mergeCell ref="A307:A308"/>
    <mergeCell ref="A340:A342"/>
    <mergeCell ref="A322:A327"/>
    <mergeCell ref="A446:A450"/>
    <mergeCell ref="A270:A273"/>
    <mergeCell ref="A424:A427"/>
    <mergeCell ref="A395:A398"/>
    <mergeCell ref="A421:A423"/>
    <mergeCell ref="A403:A407"/>
    <mergeCell ref="A439:A443"/>
    <mergeCell ref="A412:A416"/>
    <mergeCell ref="A432:A434"/>
    <mergeCell ref="A264:A268"/>
    <mergeCell ref="A399:A402"/>
    <mergeCell ref="A319:A321"/>
    <mergeCell ref="A334:A337"/>
    <mergeCell ref="A301:A304"/>
    <mergeCell ref="A358:A359"/>
    <mergeCell ref="A468:A472"/>
    <mergeCell ref="A473:A476"/>
    <mergeCell ref="A428:A429"/>
    <mergeCell ref="A437:A438"/>
    <mergeCell ref="A444:A445"/>
    <mergeCell ref="A463:A467"/>
    <mergeCell ref="A451:A455"/>
    <mergeCell ref="A27:A28"/>
    <mergeCell ref="A36:A39"/>
    <mergeCell ref="A90:A92"/>
    <mergeCell ref="A99:A101"/>
    <mergeCell ref="A48:A50"/>
    <mergeCell ref="A94:A97"/>
    <mergeCell ref="A85:A89"/>
    <mergeCell ref="A107:A110"/>
    <mergeCell ref="A54:A60"/>
    <mergeCell ref="A127:A130"/>
    <mergeCell ref="A166:A168"/>
    <mergeCell ref="A112:A114"/>
    <mergeCell ref="A160:A162"/>
    <mergeCell ref="A72:A76"/>
    <mergeCell ref="A139:A142"/>
    <mergeCell ref="A40:A43"/>
    <mergeCell ref="A274:A278"/>
    <mergeCell ref="A172:A173"/>
    <mergeCell ref="A134:A138"/>
    <mergeCell ref="A250:A253"/>
    <mergeCell ref="A262:A263"/>
    <mergeCell ref="A256:A257"/>
    <mergeCell ref="A259:A261"/>
    <mergeCell ref="A13:A14"/>
    <mergeCell ref="A170:A171"/>
    <mergeCell ref="A68:A71"/>
    <mergeCell ref="A246:A248"/>
    <mergeCell ref="A144:A149"/>
    <mergeCell ref="A157:A159"/>
    <mergeCell ref="A150:A154"/>
    <mergeCell ref="A66:A67"/>
    <mergeCell ref="A78:A80"/>
    <mergeCell ref="A220:A223"/>
    <mergeCell ref="A212:A214"/>
    <mergeCell ref="A191:A198"/>
    <mergeCell ref="A16:A19"/>
    <mergeCell ref="B2:B8"/>
    <mergeCell ref="B9:B12"/>
    <mergeCell ref="B16:B18"/>
    <mergeCell ref="A328:A330"/>
    <mergeCell ref="A370:A371"/>
    <mergeCell ref="A368:A369"/>
    <mergeCell ref="A131:A132"/>
    <mergeCell ref="A81:A82"/>
    <mergeCell ref="A232:A235"/>
    <mergeCell ref="A187:A188"/>
    <mergeCell ref="A224:A226"/>
    <mergeCell ref="A216:A219"/>
    <mergeCell ref="A177:A179"/>
    <mergeCell ref="A175:A176"/>
    <mergeCell ref="A236:A239"/>
    <mergeCell ref="A205:A207"/>
    <mergeCell ref="A227:A229"/>
    <mergeCell ref="A182:A185"/>
    <mergeCell ref="A199:A203"/>
    <mergeCell ref="A242:A244"/>
    <mergeCell ref="A20:A22"/>
    <mergeCell ref="A9:A12"/>
    <mergeCell ref="A32:A35"/>
    <mergeCell ref="A62:A65"/>
    <mergeCell ref="A931:A932"/>
    <mergeCell ref="A939:A940"/>
    <mergeCell ref="A986:A993"/>
    <mergeCell ref="A2:A8"/>
    <mergeCell ref="A780:A783"/>
    <mergeCell ref="A800:A803"/>
    <mergeCell ref="A792:A794"/>
    <mergeCell ref="A729:A731"/>
    <mergeCell ref="A637:A641"/>
    <mergeCell ref="A722:A726"/>
    <mergeCell ref="A672:A674"/>
    <mergeCell ref="A694:A695"/>
    <mergeCell ref="A758:A761"/>
    <mergeCell ref="A712:A716"/>
    <mergeCell ref="A751:A754"/>
    <mergeCell ref="A566:A567"/>
    <mergeCell ref="A521:A523"/>
    <mergeCell ref="A512:A515"/>
    <mergeCell ref="A517:A519"/>
    <mergeCell ref="A505:A506"/>
    <mergeCell ref="A24:A26"/>
    <mergeCell ref="A541:A544"/>
    <mergeCell ref="A545:A548"/>
    <mergeCell ref="A116:A119"/>
    <mergeCell ref="B805:B807"/>
    <mergeCell ref="A889:A890"/>
    <mergeCell ref="A818:A819"/>
    <mergeCell ref="A880:A883"/>
    <mergeCell ref="A1078:A1081"/>
    <mergeCell ref="A1075:A1076"/>
    <mergeCell ref="A1100:A1101"/>
    <mergeCell ref="A1117:A1120"/>
    <mergeCell ref="A1033:A1036"/>
    <mergeCell ref="A911:A913"/>
    <mergeCell ref="A895:A897"/>
    <mergeCell ref="A891:A894"/>
    <mergeCell ref="A1006:A1008"/>
    <mergeCell ref="A970:A973"/>
    <mergeCell ref="A959:A962"/>
    <mergeCell ref="A914:A918"/>
    <mergeCell ref="A1001:A1004"/>
    <mergeCell ref="A949:A954"/>
    <mergeCell ref="A946:A948"/>
    <mergeCell ref="A963:A964"/>
    <mergeCell ref="A868:A869"/>
    <mergeCell ref="A1071:A1072"/>
    <mergeCell ref="A1024:A1032"/>
    <mergeCell ref="A1055:A1056"/>
    <mergeCell ref="A933:A936"/>
    <mergeCell ref="A1184:A1187"/>
    <mergeCell ref="A1168:A1169"/>
    <mergeCell ref="A1243:A1244"/>
    <mergeCell ref="A1085:A1089"/>
    <mergeCell ref="A1091:A1094"/>
    <mergeCell ref="A1157:A1159"/>
    <mergeCell ref="A1201:A1205"/>
    <mergeCell ref="A1275:A1278"/>
    <mergeCell ref="A1265:A1268"/>
    <mergeCell ref="A1273:A1274"/>
    <mergeCell ref="A984:A985"/>
    <mergeCell ref="A1042:A1050"/>
    <mergeCell ref="A1016:A1018"/>
    <mergeCell ref="A1130:A1131"/>
    <mergeCell ref="A1194:A1197"/>
    <mergeCell ref="A1161:A1162"/>
    <mergeCell ref="A1121:A1126"/>
    <mergeCell ref="A1137:A1140"/>
    <mergeCell ref="A1112:A1116"/>
    <mergeCell ref="A1220:A1223"/>
    <mergeCell ref="A1009:A1010"/>
    <mergeCell ref="A1192:A1193"/>
    <mergeCell ref="A1199:A1200"/>
    <mergeCell ref="A1587:A1589"/>
    <mergeCell ref="A1480:A1482"/>
    <mergeCell ref="A1579:A1581"/>
    <mergeCell ref="A1333:A1334"/>
    <mergeCell ref="A1538:A1539"/>
    <mergeCell ref="A1408:A1409"/>
    <mergeCell ref="A1400:A1401"/>
    <mergeCell ref="A1309:A1310"/>
    <mergeCell ref="A1577:A1578"/>
    <mergeCell ref="A1575:A1576"/>
    <mergeCell ref="A1569:A1570"/>
    <mergeCell ref="A1571:A1572"/>
    <mergeCell ref="A1564:A1567"/>
    <mergeCell ref="A1544:A1545"/>
    <mergeCell ref="A1454:A1455"/>
    <mergeCell ref="A1431:A1432"/>
    <mergeCell ref="A1412:A1415"/>
    <mergeCell ref="A1421:A1422"/>
    <mergeCell ref="A1472:A1476"/>
    <mergeCell ref="A1458:A1459"/>
    <mergeCell ref="A1467:A1471"/>
    <mergeCell ref="A1465:A1466"/>
    <mergeCell ref="A1438:A1443"/>
    <mergeCell ref="A1551:A1553"/>
    <mergeCell ref="A1614:A1615"/>
    <mergeCell ref="A1483:A1484"/>
    <mergeCell ref="A1448:A1449"/>
    <mergeCell ref="A1389:A1390"/>
    <mergeCell ref="A1611:A1612"/>
    <mergeCell ref="A1460:A1461"/>
    <mergeCell ref="A1602:A1606"/>
    <mergeCell ref="A1607:A1608"/>
    <mergeCell ref="A1600:A1601"/>
    <mergeCell ref="A1477:A1478"/>
    <mergeCell ref="A1423:A1424"/>
    <mergeCell ref="A1427:A1430"/>
    <mergeCell ref="A1418:A1420"/>
    <mergeCell ref="A1416:A1417"/>
    <mergeCell ref="A1450:A1451"/>
    <mergeCell ref="A1403:A1404"/>
    <mergeCell ref="A1396:A1399"/>
    <mergeCell ref="A1609:A1610"/>
    <mergeCell ref="A1598:A1599"/>
    <mergeCell ref="A1594:A1597"/>
    <mergeCell ref="A1584:A1586"/>
    <mergeCell ref="A1501:A1504"/>
    <mergeCell ref="A1494:A1497"/>
    <mergeCell ref="A1498:A1499"/>
  </mergeCells>
  <phoneticPr fontId="1" type="noConversion"/>
  <hyperlinks>
    <hyperlink ref="L1113" r:id="rId1" xr:uid="{00000000-0004-0000-0100-000000000000}"/>
    <hyperlink ref="L1114:L1115" r:id="rId2" display="롯데캐슬@101동 904호" xr:uid="{00000000-0004-0000-0100-000001000000}"/>
    <hyperlink ref="L610" r:id="rId3" xr:uid="{00000000-0004-0000-0100-000002000000}"/>
    <hyperlink ref="L611" r:id="rId4" xr:uid="{00000000-0004-0000-0100-000003000000}"/>
    <hyperlink ref="L1185" r:id="rId5" xr:uid="{00000000-0004-0000-0100-000004000000}"/>
    <hyperlink ref="L469" r:id="rId6" xr:uid="{00000000-0004-0000-0100-000005000000}"/>
    <hyperlink ref="L470:L471" r:id="rId7" display="롯데캐슬@101동 904호" xr:uid="{00000000-0004-0000-0100-000006000000}"/>
    <hyperlink ref="L1221:L1223" r:id="rId8" display="신촌4로신방초원@108-803" xr:uid="{00000000-0004-0000-0100-000007000000}"/>
    <hyperlink ref="L1220" r:id="rId9" xr:uid="{00000000-0004-0000-0100-000008000000}"/>
    <hyperlink ref="L1219" r:id="rId10" xr:uid="{00000000-0004-0000-0100-000009000000}"/>
    <hyperlink ref="L1389" r:id="rId11" xr:uid="{00000000-0004-0000-0100-00000A000000}"/>
    <hyperlink ref="L1241" r:id="rId12" xr:uid="{DB6E6676-D291-4231-9C77-71465DAF24AC}"/>
  </hyperlinks>
  <pageMargins left="0.70866141732283472" right="1.1023622047244095" top="0.74803149606299213" bottom="0.74803149606299213" header="0.31496062992125984" footer="0.31496062992125984"/>
  <pageSetup paperSize="9" scale="48" orientation="landscape" horizontalDpi="4294967295" verticalDpi="4294967295" r:id="rId13"/>
  <rowBreaks count="1" manualBreakCount="1">
    <brk id="1419" max="16383" man="1"/>
  </rowBreaks>
  <colBreaks count="1" manualBreakCount="1">
    <brk id="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26"/>
  <sheetViews>
    <sheetView workbookViewId="0">
      <pane ySplit="1" topLeftCell="A103" activePane="bottomLeft" state="frozen"/>
      <selection pane="bottomLeft" activeCell="C118" sqref="C118"/>
    </sheetView>
  </sheetViews>
  <sheetFormatPr defaultRowHeight="16.5" x14ac:dyDescent="0.3"/>
  <cols>
    <col min="1" max="1" width="9.875" bestFit="1" customWidth="1"/>
    <col min="3" max="3" width="11.125" bestFit="1" customWidth="1"/>
    <col min="4" max="4" width="9.5" bestFit="1" customWidth="1"/>
    <col min="6" max="6" width="15.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8</v>
      </c>
      <c r="H1" s="1" t="s">
        <v>728</v>
      </c>
      <c r="I1" s="1" t="s">
        <v>7</v>
      </c>
      <c r="J1" s="1"/>
      <c r="K1" s="1" t="s">
        <v>730</v>
      </c>
      <c r="L1" s="3" t="s">
        <v>12</v>
      </c>
      <c r="M1" s="5" t="s">
        <v>13</v>
      </c>
      <c r="N1" s="8"/>
    </row>
    <row r="2" spans="1:14" x14ac:dyDescent="0.3">
      <c r="A2" s="8"/>
      <c r="B2" s="1" t="s">
        <v>3147</v>
      </c>
      <c r="C2" s="2">
        <v>25277</v>
      </c>
      <c r="D2" s="1">
        <v>2408421</v>
      </c>
      <c r="E2" s="1">
        <f t="shared" ref="E2:E33" ca="1" si="0">YEAR(TODAY())-YEAR(C2)</f>
        <v>57</v>
      </c>
      <c r="F2" s="8"/>
      <c r="G2" s="8"/>
      <c r="H2" s="8"/>
      <c r="I2" s="8"/>
      <c r="J2" s="8"/>
      <c r="K2" s="8"/>
      <c r="L2" s="9"/>
      <c r="M2" s="3"/>
      <c r="N2" s="8"/>
    </row>
    <row r="3" spans="1:14" x14ac:dyDescent="0.3">
      <c r="A3" s="8"/>
      <c r="B3" s="1" t="s">
        <v>3031</v>
      </c>
      <c r="C3" s="2">
        <v>29212</v>
      </c>
      <c r="D3" s="1">
        <v>1386125</v>
      </c>
      <c r="E3" s="1">
        <f t="shared" ca="1" si="0"/>
        <v>47</v>
      </c>
      <c r="F3" s="8"/>
      <c r="G3" s="8"/>
      <c r="H3" s="8"/>
      <c r="I3" s="8"/>
      <c r="J3" s="8"/>
      <c r="K3" s="8"/>
      <c r="L3" s="9"/>
      <c r="M3" s="3"/>
      <c r="N3" s="8"/>
    </row>
    <row r="4" spans="1:14" x14ac:dyDescent="0.3">
      <c r="A4" s="8"/>
      <c r="B4" s="1" t="s">
        <v>3034</v>
      </c>
      <c r="C4" s="2">
        <v>29440</v>
      </c>
      <c r="D4" s="1">
        <v>2386122</v>
      </c>
      <c r="E4" s="1">
        <f t="shared" ca="1" si="0"/>
        <v>46</v>
      </c>
      <c r="F4" s="8"/>
      <c r="G4" s="8"/>
      <c r="H4" s="8"/>
      <c r="I4" s="8"/>
      <c r="J4" s="8"/>
      <c r="K4" s="8"/>
      <c r="L4" s="9"/>
      <c r="M4" s="3"/>
      <c r="N4" s="8"/>
    </row>
    <row r="5" spans="1:14" x14ac:dyDescent="0.3">
      <c r="A5" s="8"/>
      <c r="B5" s="1" t="s">
        <v>3036</v>
      </c>
      <c r="C5" s="2">
        <v>40557</v>
      </c>
      <c r="D5" s="1">
        <v>3475912</v>
      </c>
      <c r="E5" s="1">
        <f t="shared" ca="1" si="0"/>
        <v>15</v>
      </c>
      <c r="F5" s="8"/>
      <c r="G5" s="8"/>
      <c r="H5" s="8"/>
      <c r="I5" s="8"/>
      <c r="J5" s="8"/>
      <c r="K5" s="8"/>
      <c r="L5" s="9"/>
      <c r="M5" s="3"/>
      <c r="N5" s="8"/>
    </row>
    <row r="6" spans="1:14" x14ac:dyDescent="0.3">
      <c r="A6" s="8"/>
      <c r="B6" s="1" t="s">
        <v>504</v>
      </c>
      <c r="C6" s="2">
        <v>31144</v>
      </c>
      <c r="D6" s="1">
        <v>2851627</v>
      </c>
      <c r="E6" s="1">
        <f t="shared" ca="1" si="0"/>
        <v>41</v>
      </c>
      <c r="F6" s="8"/>
      <c r="G6" s="8"/>
      <c r="H6" s="8"/>
      <c r="I6" s="8"/>
      <c r="J6" s="8"/>
      <c r="K6" s="8"/>
      <c r="L6" s="9"/>
      <c r="M6" s="3"/>
      <c r="N6" s="8"/>
    </row>
    <row r="7" spans="1:14" x14ac:dyDescent="0.3">
      <c r="A7" s="8"/>
      <c r="B7" s="1" t="s">
        <v>3148</v>
      </c>
      <c r="C7" s="2">
        <v>27970</v>
      </c>
      <c r="D7" s="1">
        <v>2468711</v>
      </c>
      <c r="E7" s="1">
        <f t="shared" ca="1" si="0"/>
        <v>50</v>
      </c>
      <c r="F7" s="8"/>
      <c r="G7" s="8"/>
      <c r="H7" s="8"/>
      <c r="I7" s="8"/>
      <c r="J7" s="8"/>
      <c r="K7" s="8"/>
      <c r="L7" s="9"/>
      <c r="M7" s="3"/>
      <c r="N7" s="8"/>
    </row>
    <row r="8" spans="1:14" x14ac:dyDescent="0.3">
      <c r="A8" s="8"/>
      <c r="B8" s="1" t="s">
        <v>71</v>
      </c>
      <c r="C8" s="2">
        <v>30371</v>
      </c>
      <c r="D8" s="1">
        <v>1534110</v>
      </c>
      <c r="E8" s="1">
        <f t="shared" ca="1" si="0"/>
        <v>43</v>
      </c>
      <c r="F8" s="8"/>
      <c r="G8" s="8"/>
      <c r="H8" s="8"/>
      <c r="I8" s="8"/>
      <c r="J8" s="8"/>
      <c r="K8" s="8"/>
      <c r="L8" s="9"/>
      <c r="M8" s="3"/>
      <c r="N8" s="8"/>
    </row>
    <row r="9" spans="1:14" x14ac:dyDescent="0.3">
      <c r="A9" s="8"/>
      <c r="B9" s="1" t="s">
        <v>3149</v>
      </c>
      <c r="C9" s="2">
        <v>29348</v>
      </c>
      <c r="D9" s="1">
        <v>2017211</v>
      </c>
      <c r="E9" s="1">
        <f t="shared" ca="1" si="0"/>
        <v>46</v>
      </c>
      <c r="F9" s="8"/>
      <c r="G9" s="8"/>
      <c r="H9" s="8"/>
      <c r="I9" s="8"/>
      <c r="J9" s="8"/>
      <c r="K9" s="8"/>
      <c r="L9" s="9"/>
      <c r="M9" s="3"/>
      <c r="N9" s="8"/>
    </row>
    <row r="10" spans="1:14" x14ac:dyDescent="0.3">
      <c r="A10" s="8"/>
      <c r="B10" s="1" t="s">
        <v>3150</v>
      </c>
      <c r="C10" s="2">
        <v>30570</v>
      </c>
      <c r="D10" s="1">
        <v>2011118</v>
      </c>
      <c r="E10" s="1">
        <f t="shared" ca="1" si="0"/>
        <v>43</v>
      </c>
      <c r="F10" s="8"/>
      <c r="G10" s="8"/>
      <c r="H10" s="8"/>
      <c r="I10" s="8"/>
      <c r="J10" s="8"/>
      <c r="K10" s="8"/>
      <c r="L10" s="9"/>
      <c r="M10" s="3"/>
      <c r="N10" s="8"/>
    </row>
    <row r="11" spans="1:14" x14ac:dyDescent="0.3">
      <c r="A11" s="8"/>
      <c r="B11" s="1" t="s">
        <v>3151</v>
      </c>
      <c r="C11" s="2">
        <v>28455</v>
      </c>
      <c r="D11" s="1">
        <v>1823631</v>
      </c>
      <c r="E11" s="1">
        <f t="shared" ca="1" si="0"/>
        <v>49</v>
      </c>
      <c r="F11" s="8"/>
      <c r="G11" s="8"/>
      <c r="H11" s="8"/>
      <c r="I11" s="8"/>
      <c r="J11" s="8"/>
      <c r="K11" s="8"/>
      <c r="L11" s="9"/>
      <c r="M11" s="3"/>
      <c r="N11" s="8"/>
    </row>
    <row r="12" spans="1:14" x14ac:dyDescent="0.3">
      <c r="A12" s="8"/>
      <c r="B12" s="1" t="s">
        <v>3152</v>
      </c>
      <c r="C12" s="2">
        <v>28470</v>
      </c>
      <c r="D12" s="1">
        <v>2464619</v>
      </c>
      <c r="E12" s="1">
        <f t="shared" ca="1" si="0"/>
        <v>49</v>
      </c>
      <c r="F12" s="8"/>
      <c r="G12" s="8"/>
      <c r="H12" s="8"/>
      <c r="I12" s="8"/>
      <c r="J12" s="8"/>
      <c r="K12" s="8"/>
      <c r="L12" s="9"/>
      <c r="M12" s="3"/>
      <c r="N12" s="8"/>
    </row>
    <row r="13" spans="1:14" x14ac:dyDescent="0.3">
      <c r="A13" s="8"/>
      <c r="B13" s="1" t="s">
        <v>1732</v>
      </c>
      <c r="C13" s="2">
        <v>30670</v>
      </c>
      <c r="D13" s="1">
        <v>2009715</v>
      </c>
      <c r="E13" s="1">
        <f t="shared" ca="1" si="0"/>
        <v>43</v>
      </c>
      <c r="F13" s="8"/>
      <c r="G13" s="8"/>
      <c r="H13" s="8"/>
      <c r="I13" s="8"/>
      <c r="J13" s="8"/>
      <c r="K13" s="8"/>
      <c r="L13" s="9"/>
      <c r="M13" s="3"/>
      <c r="N13" s="8"/>
    </row>
    <row r="14" spans="1:14" x14ac:dyDescent="0.3">
      <c r="A14" s="8"/>
      <c r="B14" s="1" t="s">
        <v>3153</v>
      </c>
      <c r="C14" s="2">
        <v>31367</v>
      </c>
      <c r="D14" s="1">
        <v>1009719</v>
      </c>
      <c r="E14" s="1">
        <f t="shared" ca="1" si="0"/>
        <v>41</v>
      </c>
      <c r="F14" s="8"/>
      <c r="G14" s="8"/>
      <c r="H14" s="8"/>
      <c r="I14" s="8"/>
      <c r="J14" s="8"/>
      <c r="K14" s="8"/>
      <c r="L14" s="9"/>
      <c r="M14" s="3"/>
      <c r="N14" s="8"/>
    </row>
    <row r="15" spans="1:14" x14ac:dyDescent="0.3">
      <c r="A15" s="8"/>
      <c r="B15" s="1" t="s">
        <v>3154</v>
      </c>
      <c r="C15" s="2">
        <v>27630</v>
      </c>
      <c r="D15" s="1">
        <v>1009517</v>
      </c>
      <c r="E15" s="1">
        <f t="shared" ca="1" si="0"/>
        <v>51</v>
      </c>
      <c r="F15" s="8"/>
      <c r="G15" s="8"/>
      <c r="H15" s="8"/>
      <c r="I15" s="8"/>
      <c r="J15" s="8"/>
      <c r="K15" s="8"/>
      <c r="L15" s="9"/>
      <c r="M15" s="3"/>
      <c r="N15" s="8"/>
    </row>
    <row r="16" spans="1:14" x14ac:dyDescent="0.3">
      <c r="A16" s="8"/>
      <c r="B16" s="1" t="s">
        <v>3155</v>
      </c>
      <c r="C16" s="2">
        <v>27253</v>
      </c>
      <c r="D16" s="1">
        <v>1796624</v>
      </c>
      <c r="E16" s="1">
        <f t="shared" ca="1" si="0"/>
        <v>52</v>
      </c>
      <c r="F16" s="8"/>
      <c r="G16" s="8"/>
      <c r="H16" s="8"/>
      <c r="I16" s="8"/>
      <c r="J16" s="8"/>
      <c r="K16" s="8"/>
      <c r="L16" s="9"/>
      <c r="M16" s="3"/>
      <c r="N16" s="8"/>
    </row>
    <row r="17" spans="1:14" x14ac:dyDescent="0.3">
      <c r="A17" s="8"/>
      <c r="B17" s="1" t="s">
        <v>3156</v>
      </c>
      <c r="C17" s="2">
        <v>27549</v>
      </c>
      <c r="D17" s="1">
        <v>6200199</v>
      </c>
      <c r="E17" s="1">
        <f t="shared" ca="1" si="0"/>
        <v>51</v>
      </c>
      <c r="F17" s="8"/>
      <c r="G17" s="8"/>
      <c r="H17" s="8"/>
      <c r="I17" s="8"/>
      <c r="J17" s="8"/>
      <c r="K17" s="8"/>
      <c r="L17" s="9"/>
      <c r="M17" s="3"/>
      <c r="N17" s="8"/>
    </row>
    <row r="18" spans="1:14" x14ac:dyDescent="0.3">
      <c r="A18" s="8"/>
      <c r="B18" s="1" t="s">
        <v>1204</v>
      </c>
      <c r="C18" s="2">
        <v>18657</v>
      </c>
      <c r="D18" s="1">
        <v>2468716</v>
      </c>
      <c r="E18" s="1">
        <f t="shared" ca="1" si="0"/>
        <v>75</v>
      </c>
      <c r="F18" s="8"/>
      <c r="G18" s="8"/>
      <c r="H18" s="8"/>
      <c r="I18" s="8"/>
      <c r="J18" s="8"/>
      <c r="K18" s="8"/>
      <c r="L18" s="9"/>
      <c r="M18" s="3"/>
      <c r="N18" s="8"/>
    </row>
    <row r="19" spans="1:14" x14ac:dyDescent="0.3">
      <c r="A19" s="8"/>
      <c r="B19" s="1" t="s">
        <v>3157</v>
      </c>
      <c r="C19" s="2">
        <v>27347</v>
      </c>
      <c r="D19" s="1">
        <v>1468715</v>
      </c>
      <c r="E19" s="1">
        <f t="shared" ca="1" si="0"/>
        <v>52</v>
      </c>
      <c r="F19" s="8"/>
      <c r="G19" s="8"/>
      <c r="H19" s="8"/>
      <c r="I19" s="8"/>
      <c r="J19" s="8"/>
      <c r="K19" s="8"/>
      <c r="L19" s="9"/>
      <c r="M19" s="3"/>
      <c r="N19" s="8"/>
    </row>
    <row r="20" spans="1:14" x14ac:dyDescent="0.3">
      <c r="A20" s="8"/>
      <c r="B20" s="1" t="s">
        <v>3158</v>
      </c>
      <c r="C20" s="2">
        <v>30333</v>
      </c>
      <c r="D20" s="1">
        <v>1056539</v>
      </c>
      <c r="E20" s="1">
        <f t="shared" ca="1" si="0"/>
        <v>43</v>
      </c>
      <c r="F20" s="8"/>
      <c r="G20" s="8"/>
      <c r="H20" s="8"/>
      <c r="I20" s="8"/>
      <c r="J20" s="8"/>
      <c r="K20" s="8"/>
      <c r="L20" s="9"/>
      <c r="M20" s="3"/>
      <c r="N20" s="8"/>
    </row>
    <row r="21" spans="1:14" x14ac:dyDescent="0.3">
      <c r="A21" s="8"/>
      <c r="B21" s="1" t="s">
        <v>3159</v>
      </c>
      <c r="C21" s="2">
        <v>21030</v>
      </c>
      <c r="D21" s="1">
        <v>1009037</v>
      </c>
      <c r="E21" s="1">
        <f t="shared" ca="1" si="0"/>
        <v>69</v>
      </c>
      <c r="F21" s="8"/>
      <c r="G21" s="8"/>
      <c r="H21" s="8"/>
      <c r="I21" s="8"/>
      <c r="J21" s="8"/>
      <c r="K21" s="8"/>
      <c r="L21" s="9"/>
      <c r="M21" s="3"/>
      <c r="N21" s="8"/>
    </row>
    <row r="22" spans="1:14" x14ac:dyDescent="0.3">
      <c r="A22" s="8"/>
      <c r="B22" s="1" t="s">
        <v>3160</v>
      </c>
      <c r="C22" s="2">
        <v>21226</v>
      </c>
      <c r="D22" s="1">
        <v>2011716</v>
      </c>
      <c r="E22" s="1">
        <f t="shared" ca="1" si="0"/>
        <v>68</v>
      </c>
      <c r="F22" s="8"/>
      <c r="G22" s="8"/>
      <c r="H22" s="8"/>
      <c r="I22" s="8"/>
      <c r="J22" s="8"/>
      <c r="K22" s="8"/>
      <c r="L22" s="9"/>
      <c r="M22" s="3"/>
      <c r="N22" s="8"/>
    </row>
    <row r="23" spans="1:14" x14ac:dyDescent="0.3">
      <c r="A23" s="8"/>
      <c r="B23" s="1" t="s">
        <v>3161</v>
      </c>
      <c r="C23" s="2">
        <v>30610</v>
      </c>
      <c r="D23" s="1">
        <v>1183612</v>
      </c>
      <c r="E23" s="1">
        <f t="shared" ca="1" si="0"/>
        <v>43</v>
      </c>
      <c r="F23" s="8"/>
      <c r="G23" s="8"/>
      <c r="H23" s="8"/>
      <c r="I23" s="8"/>
      <c r="J23" s="8"/>
      <c r="K23" s="8"/>
      <c r="L23" s="9"/>
      <c r="M23" s="3"/>
      <c r="N23" s="8"/>
    </row>
    <row r="24" spans="1:14" x14ac:dyDescent="0.3">
      <c r="A24" s="8"/>
      <c r="B24" s="1" t="s">
        <v>3162</v>
      </c>
      <c r="C24" s="2">
        <v>18489</v>
      </c>
      <c r="D24" s="1">
        <v>1768611</v>
      </c>
      <c r="E24" s="1">
        <f t="shared" ca="1" si="0"/>
        <v>76</v>
      </c>
      <c r="F24" s="8"/>
      <c r="G24" s="8"/>
      <c r="H24" s="8"/>
      <c r="I24" s="8"/>
      <c r="J24" s="8"/>
      <c r="K24" s="8"/>
      <c r="L24" s="9"/>
      <c r="M24" s="3"/>
      <c r="N24" s="8"/>
    </row>
    <row r="25" spans="1:14" x14ac:dyDescent="0.3">
      <c r="A25" s="8"/>
      <c r="B25" s="1" t="s">
        <v>3163</v>
      </c>
      <c r="C25" s="2">
        <v>31441</v>
      </c>
      <c r="D25" s="1">
        <v>1183612</v>
      </c>
      <c r="E25" s="1">
        <f t="shared" ca="1" si="0"/>
        <v>40</v>
      </c>
      <c r="F25" s="8"/>
      <c r="G25" s="8"/>
      <c r="H25" s="8"/>
      <c r="I25" s="8"/>
      <c r="J25" s="8"/>
      <c r="K25" s="8"/>
      <c r="L25" s="9"/>
      <c r="M25" s="3"/>
      <c r="N25" s="8"/>
    </row>
    <row r="26" spans="1:14" x14ac:dyDescent="0.3">
      <c r="A26" s="8"/>
      <c r="B26" s="1" t="s">
        <v>3164</v>
      </c>
      <c r="C26" s="2">
        <v>28879</v>
      </c>
      <c r="D26" s="1">
        <v>1454712</v>
      </c>
      <c r="E26" s="1">
        <f t="shared" ca="1" si="0"/>
        <v>47</v>
      </c>
      <c r="F26" s="8"/>
      <c r="G26" s="8"/>
      <c r="H26" s="8"/>
      <c r="I26" s="8"/>
      <c r="J26" s="8"/>
      <c r="K26" s="8"/>
      <c r="L26" s="9"/>
      <c r="M26" s="3"/>
      <c r="N26" s="8"/>
    </row>
    <row r="27" spans="1:14" x14ac:dyDescent="0.3">
      <c r="A27" s="8"/>
      <c r="B27" s="1" t="s">
        <v>3165</v>
      </c>
      <c r="C27" s="2">
        <v>25829</v>
      </c>
      <c r="D27" s="1">
        <v>2408412</v>
      </c>
      <c r="E27" s="1">
        <f t="shared" ca="1" si="0"/>
        <v>56</v>
      </c>
      <c r="F27" s="8"/>
      <c r="G27" s="8"/>
      <c r="H27" s="8"/>
      <c r="I27" s="8"/>
      <c r="J27" s="8"/>
      <c r="K27" s="8"/>
      <c r="L27" s="9"/>
      <c r="M27" s="3"/>
      <c r="N27" s="8"/>
    </row>
    <row r="28" spans="1:14" x14ac:dyDescent="0.3">
      <c r="A28" s="8"/>
      <c r="B28" s="1" t="s">
        <v>3166</v>
      </c>
      <c r="C28" s="2">
        <v>31965</v>
      </c>
      <c r="D28" s="1">
        <v>2247318</v>
      </c>
      <c r="E28" s="1">
        <f t="shared" ca="1" si="0"/>
        <v>39</v>
      </c>
      <c r="F28" s="8"/>
      <c r="G28" s="8"/>
      <c r="H28" s="8"/>
      <c r="I28" s="8"/>
      <c r="J28" s="8"/>
      <c r="K28" s="8"/>
      <c r="L28" s="9"/>
      <c r="M28" s="3"/>
      <c r="N28" s="8"/>
    </row>
    <row r="29" spans="1:14" x14ac:dyDescent="0.3">
      <c r="A29" s="8"/>
      <c r="B29" s="1" t="s">
        <v>3167</v>
      </c>
      <c r="C29" s="2">
        <v>29528</v>
      </c>
      <c r="D29" s="1">
        <v>1273618</v>
      </c>
      <c r="E29" s="1">
        <f t="shared" ca="1" si="0"/>
        <v>46</v>
      </c>
      <c r="F29" s="8"/>
      <c r="G29" s="8"/>
      <c r="H29" s="8"/>
      <c r="I29" s="8"/>
      <c r="J29" s="8"/>
      <c r="K29" s="8"/>
      <c r="L29" s="9"/>
      <c r="M29" s="3"/>
      <c r="N29" s="8"/>
    </row>
    <row r="30" spans="1:14" x14ac:dyDescent="0.3">
      <c r="A30" s="8"/>
      <c r="B30" s="1" t="s">
        <v>3168</v>
      </c>
      <c r="C30" s="2">
        <v>32648</v>
      </c>
      <c r="D30" s="1">
        <v>1219013</v>
      </c>
      <c r="E30" s="1">
        <f t="shared" ca="1" si="0"/>
        <v>37</v>
      </c>
      <c r="F30" s="8"/>
      <c r="G30" s="8"/>
      <c r="H30" s="8"/>
      <c r="I30" s="8"/>
      <c r="J30" s="8"/>
      <c r="K30" s="8"/>
      <c r="L30" s="9"/>
      <c r="M30" s="3"/>
      <c r="N30" s="8"/>
    </row>
    <row r="31" spans="1:14" x14ac:dyDescent="0.3">
      <c r="A31" s="8"/>
      <c r="B31" s="1" t="s">
        <v>3169</v>
      </c>
      <c r="C31" s="2">
        <v>34130</v>
      </c>
      <c r="D31" s="1">
        <v>2392317</v>
      </c>
      <c r="E31" s="1">
        <f t="shared" ca="1" si="0"/>
        <v>33</v>
      </c>
      <c r="F31" s="8"/>
      <c r="G31" s="8"/>
      <c r="H31" s="8"/>
      <c r="I31" s="8"/>
      <c r="J31" s="8"/>
      <c r="K31" s="8"/>
      <c r="L31" s="9"/>
      <c r="M31" s="3"/>
      <c r="N31" s="8"/>
    </row>
    <row r="32" spans="1:14" x14ac:dyDescent="0.3">
      <c r="A32" s="8"/>
      <c r="B32" s="1" t="s">
        <v>3170</v>
      </c>
      <c r="C32" s="2">
        <v>29019</v>
      </c>
      <c r="D32" s="1">
        <v>1155318</v>
      </c>
      <c r="E32" s="1">
        <f t="shared" ca="1" si="0"/>
        <v>47</v>
      </c>
      <c r="F32" s="8"/>
      <c r="G32" s="8"/>
      <c r="H32" s="8"/>
      <c r="I32" s="8"/>
      <c r="J32" s="8"/>
      <c r="K32" s="8"/>
      <c r="L32" s="9"/>
      <c r="M32" s="3"/>
      <c r="N32" s="8"/>
    </row>
    <row r="33" spans="1:14" x14ac:dyDescent="0.3">
      <c r="A33" s="8"/>
      <c r="B33" s="1" t="s">
        <v>3171</v>
      </c>
      <c r="C33" s="2">
        <v>28524</v>
      </c>
      <c r="D33" s="1">
        <v>1625826</v>
      </c>
      <c r="E33" s="1">
        <f t="shared" ca="1" si="0"/>
        <v>48</v>
      </c>
      <c r="F33" s="8"/>
      <c r="G33" s="8"/>
      <c r="H33" s="8"/>
      <c r="I33" s="8"/>
      <c r="J33" s="8"/>
      <c r="K33" s="8"/>
      <c r="L33" s="9"/>
      <c r="M33" s="3"/>
      <c r="N33" s="8"/>
    </row>
    <row r="34" spans="1:14" x14ac:dyDescent="0.3">
      <c r="A34" s="8"/>
      <c r="B34" s="1" t="s">
        <v>3172</v>
      </c>
      <c r="C34" s="2">
        <v>30967</v>
      </c>
      <c r="D34" s="1">
        <v>2009917</v>
      </c>
      <c r="E34" s="1">
        <f t="shared" ref="E34:E65" ca="1" si="1">YEAR(TODAY())-YEAR(C34)</f>
        <v>42</v>
      </c>
      <c r="F34" s="8"/>
      <c r="G34" s="8"/>
      <c r="H34" s="8"/>
      <c r="I34" s="8"/>
      <c r="J34" s="8"/>
      <c r="K34" s="8"/>
      <c r="L34" s="9"/>
      <c r="M34" s="3"/>
      <c r="N34" s="8"/>
    </row>
    <row r="35" spans="1:14" x14ac:dyDescent="0.3">
      <c r="A35" s="8"/>
      <c r="B35" s="1" t="s">
        <v>3173</v>
      </c>
      <c r="C35" s="2">
        <v>29535</v>
      </c>
      <c r="D35" s="1">
        <v>2382937</v>
      </c>
      <c r="E35" s="1">
        <f t="shared" ca="1" si="1"/>
        <v>46</v>
      </c>
      <c r="F35" s="8"/>
      <c r="G35" s="8"/>
      <c r="H35" s="8"/>
      <c r="I35" s="8"/>
      <c r="J35" s="8"/>
      <c r="K35" s="8"/>
      <c r="L35" s="9"/>
      <c r="M35" s="3"/>
      <c r="N35" s="8"/>
    </row>
    <row r="36" spans="1:14" x14ac:dyDescent="0.3">
      <c r="A36" s="8"/>
      <c r="B36" s="1" t="s">
        <v>3174</v>
      </c>
      <c r="C36" s="2">
        <v>16872</v>
      </c>
      <c r="D36" s="1">
        <v>2011413</v>
      </c>
      <c r="E36" s="1">
        <f t="shared" ca="1" si="1"/>
        <v>80</v>
      </c>
      <c r="F36" s="8"/>
      <c r="G36" s="8"/>
      <c r="H36" s="8"/>
      <c r="I36" s="8"/>
      <c r="J36" s="8"/>
      <c r="K36" s="8"/>
      <c r="L36" s="9"/>
      <c r="M36" s="3"/>
      <c r="N36" s="8"/>
    </row>
    <row r="37" spans="1:14" x14ac:dyDescent="0.3">
      <c r="A37" s="8"/>
      <c r="B37" s="1" t="s">
        <v>3175</v>
      </c>
      <c r="C37" s="2">
        <v>27823</v>
      </c>
      <c r="D37" s="1">
        <v>1011427</v>
      </c>
      <c r="E37" s="1">
        <f t="shared" ca="1" si="1"/>
        <v>50</v>
      </c>
      <c r="F37" s="8"/>
      <c r="G37" s="8"/>
      <c r="H37" s="8"/>
      <c r="I37" s="8"/>
      <c r="J37" s="8"/>
      <c r="K37" s="8"/>
      <c r="L37" s="9"/>
      <c r="M37" s="3"/>
      <c r="N37" s="8"/>
    </row>
    <row r="38" spans="1:14" x14ac:dyDescent="0.3">
      <c r="A38" s="8"/>
      <c r="B38" s="1" t="s">
        <v>3176</v>
      </c>
      <c r="C38" s="2">
        <v>30241</v>
      </c>
      <c r="D38" s="1">
        <v>1156849</v>
      </c>
      <c r="E38" s="1">
        <f t="shared" ca="1" si="1"/>
        <v>44</v>
      </c>
      <c r="F38" s="8"/>
      <c r="G38" s="8"/>
      <c r="H38" s="8"/>
      <c r="I38" s="8"/>
      <c r="J38" s="8"/>
      <c r="K38" s="8"/>
      <c r="L38" s="9"/>
      <c r="M38" s="3"/>
      <c r="N38" s="8"/>
    </row>
    <row r="39" spans="1:14" x14ac:dyDescent="0.3">
      <c r="A39" s="8"/>
      <c r="B39" s="1" t="s">
        <v>3177</v>
      </c>
      <c r="C39" s="2">
        <v>21799</v>
      </c>
      <c r="D39" s="1">
        <v>2531116</v>
      </c>
      <c r="E39" s="1">
        <f t="shared" ca="1" si="1"/>
        <v>67</v>
      </c>
      <c r="F39" s="8"/>
      <c r="G39" s="8"/>
      <c r="H39" s="8"/>
      <c r="I39" s="8"/>
      <c r="J39" s="8"/>
      <c r="K39" s="8"/>
      <c r="L39" s="9"/>
      <c r="M39" s="3"/>
      <c r="N39" s="8"/>
    </row>
    <row r="40" spans="1:14" x14ac:dyDescent="0.3">
      <c r="A40" s="8"/>
      <c r="B40" s="1" t="s">
        <v>3178</v>
      </c>
      <c r="C40" s="2">
        <v>29132</v>
      </c>
      <c r="D40" s="1">
        <v>1860411</v>
      </c>
      <c r="E40" s="1">
        <f t="shared" ca="1" si="1"/>
        <v>47</v>
      </c>
      <c r="F40" s="8"/>
      <c r="G40" s="8"/>
      <c r="H40" s="8"/>
      <c r="I40" s="8"/>
      <c r="J40" s="8"/>
      <c r="K40" s="8"/>
      <c r="L40" s="9"/>
      <c r="M40" s="3"/>
      <c r="N40" s="8"/>
    </row>
    <row r="41" spans="1:14" x14ac:dyDescent="0.3">
      <c r="A41" s="8"/>
      <c r="B41" s="1" t="s">
        <v>3179</v>
      </c>
      <c r="C41" s="2">
        <v>40798</v>
      </c>
      <c r="D41" s="1">
        <v>3222710</v>
      </c>
      <c r="E41" s="1">
        <f t="shared" ca="1" si="1"/>
        <v>15</v>
      </c>
      <c r="F41" s="8"/>
      <c r="G41" s="8"/>
      <c r="H41" s="8"/>
      <c r="I41" s="8"/>
      <c r="J41" s="8"/>
      <c r="K41" s="8"/>
      <c r="L41" s="9"/>
      <c r="M41" s="3"/>
      <c r="N41" s="8"/>
    </row>
    <row r="42" spans="1:14" x14ac:dyDescent="0.3">
      <c r="A42" s="8"/>
      <c r="B42" s="1" t="s">
        <v>3180</v>
      </c>
      <c r="C42" s="2">
        <v>31386</v>
      </c>
      <c r="D42" s="1">
        <v>1051516</v>
      </c>
      <c r="E42" s="1">
        <f t="shared" ca="1" si="1"/>
        <v>41</v>
      </c>
      <c r="F42" s="8"/>
      <c r="G42" s="8"/>
      <c r="H42" s="8"/>
      <c r="I42" s="8"/>
      <c r="J42" s="8"/>
      <c r="K42" s="8"/>
      <c r="L42" s="9"/>
      <c r="M42" s="3"/>
      <c r="N42" s="8"/>
    </row>
    <row r="43" spans="1:14" x14ac:dyDescent="0.3">
      <c r="A43" s="8"/>
      <c r="B43" s="1" t="s">
        <v>3181</v>
      </c>
      <c r="C43" s="2">
        <v>29587</v>
      </c>
      <c r="D43" s="1">
        <v>2560139</v>
      </c>
      <c r="E43" s="1">
        <f t="shared" ca="1" si="1"/>
        <v>45</v>
      </c>
      <c r="F43" s="8"/>
      <c r="G43" s="8"/>
      <c r="H43" s="8"/>
      <c r="I43" s="8"/>
      <c r="J43" s="8"/>
      <c r="K43" s="8"/>
      <c r="L43" s="9"/>
      <c r="M43" s="3"/>
      <c r="N43" s="8"/>
    </row>
    <row r="44" spans="1:14" x14ac:dyDescent="0.3">
      <c r="A44" s="8"/>
      <c r="B44" s="1" t="s">
        <v>3182</v>
      </c>
      <c r="C44" s="2">
        <v>30545</v>
      </c>
      <c r="D44" s="1">
        <v>2585312</v>
      </c>
      <c r="E44" s="1">
        <f t="shared" ca="1" si="1"/>
        <v>43</v>
      </c>
      <c r="F44" s="8"/>
      <c r="G44" s="8"/>
      <c r="H44" s="8"/>
      <c r="I44" s="8"/>
      <c r="J44" s="8"/>
      <c r="K44" s="8"/>
      <c r="L44" s="9"/>
      <c r="M44" s="3"/>
      <c r="N44" s="8"/>
    </row>
    <row r="45" spans="1:14" x14ac:dyDescent="0.3">
      <c r="A45" s="8"/>
      <c r="B45" s="1" t="s">
        <v>3183</v>
      </c>
      <c r="C45" s="2">
        <v>29001</v>
      </c>
      <c r="D45" s="1">
        <v>1400316</v>
      </c>
      <c r="E45" s="1">
        <f t="shared" ca="1" si="1"/>
        <v>47</v>
      </c>
      <c r="F45" s="8"/>
      <c r="G45" s="8"/>
      <c r="H45" s="8"/>
      <c r="I45" s="8"/>
      <c r="J45" s="8"/>
      <c r="K45" s="8"/>
      <c r="L45" s="9"/>
      <c r="M45" s="3"/>
      <c r="N45" s="8"/>
    </row>
    <row r="46" spans="1:14" x14ac:dyDescent="0.3">
      <c r="A46" s="8"/>
      <c r="B46" s="1" t="s">
        <v>1430</v>
      </c>
      <c r="C46" s="2">
        <v>27360</v>
      </c>
      <c r="D46" s="1">
        <v>2661812</v>
      </c>
      <c r="E46" s="1">
        <f t="shared" ca="1" si="1"/>
        <v>52</v>
      </c>
      <c r="F46" s="8"/>
      <c r="G46" s="8"/>
      <c r="H46" s="8"/>
      <c r="I46" s="8"/>
      <c r="J46" s="8"/>
      <c r="K46" s="8"/>
      <c r="L46" s="9"/>
      <c r="M46" s="3"/>
      <c r="N46" s="8"/>
    </row>
    <row r="47" spans="1:14" x14ac:dyDescent="0.3">
      <c r="A47" s="8"/>
      <c r="B47" s="1" t="s">
        <v>3184</v>
      </c>
      <c r="C47" s="2">
        <v>31308</v>
      </c>
      <c r="D47" s="1">
        <v>1042528</v>
      </c>
      <c r="E47" s="1">
        <f t="shared" ca="1" si="1"/>
        <v>41</v>
      </c>
      <c r="F47" s="8"/>
      <c r="G47" s="8"/>
      <c r="H47" s="8"/>
      <c r="I47" s="8"/>
      <c r="J47" s="8"/>
      <c r="K47" s="8"/>
      <c r="L47" s="9"/>
      <c r="M47" s="3"/>
      <c r="N47" s="8"/>
    </row>
    <row r="48" spans="1:14" x14ac:dyDescent="0.3">
      <c r="A48" s="8"/>
      <c r="B48" s="1" t="s">
        <v>3185</v>
      </c>
      <c r="C48" s="1"/>
      <c r="D48" s="1"/>
      <c r="E48" s="1">
        <f t="shared" ca="1" si="1"/>
        <v>126</v>
      </c>
      <c r="F48" s="8"/>
      <c r="G48" s="8"/>
      <c r="H48" s="8"/>
      <c r="I48" s="8"/>
      <c r="J48" s="8"/>
      <c r="K48" s="8"/>
      <c r="L48" s="9"/>
      <c r="M48" s="3"/>
      <c r="N48" s="8"/>
    </row>
    <row r="49" spans="1:14" x14ac:dyDescent="0.3">
      <c r="A49" s="8"/>
      <c r="B49" s="1" t="s">
        <v>3186</v>
      </c>
      <c r="C49" s="1"/>
      <c r="D49" s="1"/>
      <c r="E49" s="1">
        <f t="shared" ca="1" si="1"/>
        <v>126</v>
      </c>
      <c r="F49" s="8"/>
      <c r="G49" s="8"/>
      <c r="H49" s="8"/>
      <c r="I49" s="8"/>
      <c r="J49" s="8"/>
      <c r="K49" s="8"/>
      <c r="L49" s="9"/>
      <c r="M49" s="3"/>
      <c r="N49" s="8"/>
    </row>
    <row r="50" spans="1:14" x14ac:dyDescent="0.3">
      <c r="A50" s="8"/>
      <c r="B50" s="1" t="s">
        <v>3187</v>
      </c>
      <c r="C50" s="1"/>
      <c r="D50" s="1"/>
      <c r="E50" s="1">
        <f t="shared" ca="1" si="1"/>
        <v>126</v>
      </c>
      <c r="F50" s="8"/>
      <c r="G50" s="8"/>
      <c r="H50" s="8"/>
      <c r="I50" s="8"/>
      <c r="J50" s="8"/>
      <c r="K50" s="8"/>
      <c r="L50" s="9"/>
      <c r="M50" s="3"/>
      <c r="N50" s="8"/>
    </row>
    <row r="51" spans="1:14" x14ac:dyDescent="0.3">
      <c r="A51" s="8"/>
      <c r="B51" s="1" t="s">
        <v>3188</v>
      </c>
      <c r="C51" s="2">
        <v>30040</v>
      </c>
      <c r="D51" s="1">
        <v>2692117</v>
      </c>
      <c r="E51" s="1">
        <f t="shared" ca="1" si="1"/>
        <v>44</v>
      </c>
      <c r="F51" s="8"/>
      <c r="G51" s="8"/>
      <c r="H51" s="8"/>
      <c r="I51" s="8"/>
      <c r="J51" s="8"/>
      <c r="K51" s="8"/>
      <c r="L51" s="9"/>
      <c r="M51" s="3"/>
      <c r="N51" s="8"/>
    </row>
    <row r="52" spans="1:14" x14ac:dyDescent="0.3">
      <c r="A52" s="8"/>
      <c r="B52" s="1" t="s">
        <v>3189</v>
      </c>
      <c r="C52" s="2">
        <v>27403</v>
      </c>
      <c r="D52" s="1">
        <v>2069317</v>
      </c>
      <c r="E52" s="1">
        <f t="shared" ca="1" si="1"/>
        <v>51</v>
      </c>
      <c r="F52" s="8"/>
      <c r="G52" s="8"/>
      <c r="H52" s="8"/>
      <c r="I52" s="8"/>
      <c r="J52" s="8"/>
      <c r="K52" s="8"/>
      <c r="L52" s="9"/>
      <c r="M52" s="3"/>
      <c r="N52" s="8"/>
    </row>
    <row r="53" spans="1:14" x14ac:dyDescent="0.3">
      <c r="A53" s="8"/>
      <c r="B53" s="1" t="s">
        <v>3190</v>
      </c>
      <c r="C53" s="2">
        <v>19004</v>
      </c>
      <c r="D53" s="1">
        <v>2064024</v>
      </c>
      <c r="E53" s="1">
        <f t="shared" ca="1" si="1"/>
        <v>74</v>
      </c>
      <c r="F53" s="8"/>
      <c r="G53" s="8"/>
      <c r="H53" s="8"/>
      <c r="I53" s="8"/>
      <c r="J53" s="8"/>
      <c r="K53" s="8"/>
      <c r="L53" s="9"/>
      <c r="M53" s="3"/>
      <c r="N53" s="8"/>
    </row>
    <row r="54" spans="1:14" x14ac:dyDescent="0.3">
      <c r="A54" s="8"/>
      <c r="B54" s="1" t="s">
        <v>3191</v>
      </c>
      <c r="C54" s="2">
        <v>27823</v>
      </c>
      <c r="D54" s="1">
        <v>1768213</v>
      </c>
      <c r="E54" s="1">
        <f t="shared" ca="1" si="1"/>
        <v>50</v>
      </c>
      <c r="F54" s="8"/>
      <c r="G54" s="8"/>
      <c r="H54" s="8"/>
      <c r="I54" s="8"/>
      <c r="J54" s="8"/>
      <c r="K54" s="8"/>
      <c r="L54" s="9"/>
      <c r="M54" s="3"/>
      <c r="N54" s="8"/>
    </row>
    <row r="55" spans="1:14" x14ac:dyDescent="0.3">
      <c r="A55" s="8"/>
      <c r="B55" s="1" t="s">
        <v>3192</v>
      </c>
      <c r="C55" s="2">
        <v>27979</v>
      </c>
      <c r="D55" s="1">
        <v>2768214</v>
      </c>
      <c r="E55" s="1">
        <f t="shared" ca="1" si="1"/>
        <v>50</v>
      </c>
      <c r="F55" s="8"/>
      <c r="G55" s="8"/>
      <c r="H55" s="8"/>
      <c r="I55" s="8"/>
      <c r="J55" s="8"/>
      <c r="K55" s="8"/>
      <c r="L55" s="9"/>
      <c r="M55" s="3"/>
      <c r="N55" s="8"/>
    </row>
    <row r="56" spans="1:14" x14ac:dyDescent="0.3">
      <c r="A56" s="8"/>
      <c r="B56" s="1" t="s">
        <v>3193</v>
      </c>
      <c r="C56" s="2">
        <v>39168</v>
      </c>
      <c r="D56" s="1">
        <v>4476519</v>
      </c>
      <c r="E56" s="1">
        <f t="shared" ca="1" si="1"/>
        <v>19</v>
      </c>
      <c r="F56" s="8"/>
      <c r="G56" s="8"/>
      <c r="H56" s="8"/>
      <c r="I56" s="8"/>
      <c r="J56" s="8"/>
      <c r="K56" s="8"/>
      <c r="L56" s="9"/>
      <c r="M56" s="3"/>
      <c r="N56" s="8"/>
    </row>
    <row r="57" spans="1:14" x14ac:dyDescent="0.3">
      <c r="A57" s="8"/>
      <c r="B57" s="1" t="s">
        <v>3194</v>
      </c>
      <c r="C57" s="2">
        <v>40037</v>
      </c>
      <c r="D57" s="1">
        <v>4476518</v>
      </c>
      <c r="E57" s="1">
        <f t="shared" ca="1" si="1"/>
        <v>17</v>
      </c>
      <c r="F57" s="8"/>
      <c r="G57" s="8"/>
      <c r="H57" s="8"/>
      <c r="I57" s="8"/>
      <c r="J57" s="8"/>
      <c r="K57" s="8"/>
      <c r="L57" s="9"/>
      <c r="M57" s="3"/>
      <c r="N57" s="8"/>
    </row>
    <row r="58" spans="1:14" x14ac:dyDescent="0.3">
      <c r="A58" s="8"/>
      <c r="B58" s="1" t="s">
        <v>3195</v>
      </c>
      <c r="C58" s="2">
        <v>29862</v>
      </c>
      <c r="D58" s="1">
        <v>2405613</v>
      </c>
      <c r="E58" s="1">
        <f t="shared" ca="1" si="1"/>
        <v>45</v>
      </c>
      <c r="F58" s="8"/>
      <c r="G58" s="8"/>
      <c r="H58" s="8"/>
      <c r="I58" s="8"/>
      <c r="J58" s="8"/>
      <c r="K58" s="8"/>
      <c r="L58" s="9"/>
      <c r="M58" s="3"/>
      <c r="N58" s="8"/>
    </row>
    <row r="59" spans="1:14" x14ac:dyDescent="0.3">
      <c r="A59" s="8"/>
      <c r="B59" s="1" t="s">
        <v>3196</v>
      </c>
      <c r="C59" s="2">
        <v>28242</v>
      </c>
      <c r="D59" s="1">
        <v>2256217</v>
      </c>
      <c r="E59" s="1">
        <f t="shared" ca="1" si="1"/>
        <v>49</v>
      </c>
      <c r="F59" s="8"/>
      <c r="G59" s="8"/>
      <c r="H59" s="8"/>
      <c r="I59" s="8"/>
      <c r="J59" s="8"/>
      <c r="K59" s="8"/>
      <c r="L59" s="9"/>
      <c r="M59" s="3"/>
      <c r="N59" s="8"/>
    </row>
    <row r="60" spans="1:14" x14ac:dyDescent="0.3">
      <c r="A60" s="8"/>
      <c r="B60" s="1" t="s">
        <v>3197</v>
      </c>
      <c r="C60" s="2">
        <v>29250</v>
      </c>
      <c r="D60" s="1">
        <v>2067913</v>
      </c>
      <c r="E60" s="1">
        <f t="shared" ca="1" si="1"/>
        <v>46</v>
      </c>
      <c r="F60" s="8"/>
      <c r="G60" s="8"/>
      <c r="H60" s="8"/>
      <c r="I60" s="8"/>
      <c r="J60" s="8"/>
      <c r="K60" s="8"/>
      <c r="L60" s="9"/>
      <c r="M60" s="3"/>
      <c r="N60" s="8"/>
    </row>
    <row r="61" spans="1:14" x14ac:dyDescent="0.3">
      <c r="A61" s="8"/>
      <c r="B61" s="1" t="s">
        <v>3198</v>
      </c>
      <c r="C61" s="10">
        <v>30086</v>
      </c>
      <c r="D61" s="1">
        <v>2658812</v>
      </c>
      <c r="E61" s="1">
        <f t="shared" ca="1" si="1"/>
        <v>44</v>
      </c>
      <c r="F61" s="8"/>
      <c r="G61" s="8"/>
      <c r="H61" s="8"/>
      <c r="I61" s="8"/>
      <c r="J61" s="8"/>
      <c r="K61" s="8"/>
      <c r="L61" s="8"/>
      <c r="M61" s="8"/>
      <c r="N61" s="8"/>
    </row>
    <row r="62" spans="1:14" x14ac:dyDescent="0.3">
      <c r="A62" s="8"/>
      <c r="B62" s="1" t="s">
        <v>3199</v>
      </c>
      <c r="C62" s="10">
        <v>29901</v>
      </c>
      <c r="D62" s="1">
        <v>1226816</v>
      </c>
      <c r="E62" s="1">
        <f t="shared" ca="1" si="1"/>
        <v>45</v>
      </c>
      <c r="F62" s="8"/>
      <c r="G62" s="8"/>
      <c r="H62" s="8"/>
      <c r="I62" s="8"/>
      <c r="J62" s="8"/>
      <c r="K62" s="8"/>
      <c r="L62" s="8"/>
      <c r="M62" s="8"/>
      <c r="N62" s="8"/>
    </row>
    <row r="63" spans="1:14" x14ac:dyDescent="0.3">
      <c r="A63" s="8"/>
      <c r="B63" s="1" t="s">
        <v>3200</v>
      </c>
      <c r="C63" s="10">
        <v>27936</v>
      </c>
      <c r="D63" s="1">
        <v>1645917</v>
      </c>
      <c r="E63" s="1">
        <f t="shared" ca="1" si="1"/>
        <v>50</v>
      </c>
      <c r="F63" s="8"/>
      <c r="G63" s="8"/>
      <c r="H63" s="8"/>
      <c r="I63" s="8"/>
      <c r="J63" s="8"/>
      <c r="K63" s="8"/>
      <c r="L63" s="8"/>
      <c r="M63" s="8"/>
      <c r="N63" s="8"/>
    </row>
    <row r="64" spans="1:14" x14ac:dyDescent="0.3">
      <c r="A64" s="8"/>
      <c r="B64" s="1" t="s">
        <v>1732</v>
      </c>
      <c r="C64" s="10">
        <v>28980</v>
      </c>
      <c r="D64" s="1">
        <v>2411813</v>
      </c>
      <c r="E64" s="1">
        <f t="shared" ca="1" si="1"/>
        <v>47</v>
      </c>
      <c r="F64" s="8"/>
      <c r="G64" s="8"/>
      <c r="H64" s="8"/>
      <c r="I64" s="8"/>
      <c r="J64" s="8"/>
      <c r="K64" s="8"/>
      <c r="L64" s="8"/>
      <c r="M64" s="8"/>
      <c r="N64" s="8"/>
    </row>
    <row r="65" spans="1:14" x14ac:dyDescent="0.3">
      <c r="A65" s="8"/>
      <c r="B65" s="1" t="s">
        <v>3201</v>
      </c>
      <c r="C65" s="10">
        <v>39655</v>
      </c>
      <c r="D65" s="1">
        <v>4411818</v>
      </c>
      <c r="E65" s="1">
        <f t="shared" ca="1" si="1"/>
        <v>18</v>
      </c>
      <c r="F65" s="8"/>
      <c r="G65" s="8"/>
      <c r="H65" s="8"/>
      <c r="I65" s="8"/>
      <c r="J65" s="8"/>
      <c r="K65" s="8"/>
      <c r="L65" s="8"/>
      <c r="M65" s="8"/>
      <c r="N65" s="8"/>
    </row>
    <row r="66" spans="1:14" x14ac:dyDescent="0.3">
      <c r="A66" s="8"/>
      <c r="B66" s="1" t="s">
        <v>3202</v>
      </c>
      <c r="C66" s="10">
        <v>41015</v>
      </c>
      <c r="D66" s="1">
        <v>4476021</v>
      </c>
      <c r="E66" s="1">
        <f t="shared" ref="E66:E97" ca="1" si="2">YEAR(TODAY())-YEAR(C66)</f>
        <v>14</v>
      </c>
      <c r="F66" s="8"/>
      <c r="G66" s="8"/>
      <c r="H66" s="8"/>
      <c r="I66" s="8"/>
      <c r="J66" s="8"/>
      <c r="K66" s="8"/>
      <c r="L66" s="8"/>
      <c r="M66" s="8"/>
      <c r="N66" s="8"/>
    </row>
    <row r="67" spans="1:14" x14ac:dyDescent="0.3">
      <c r="A67" s="8"/>
      <c r="B67" s="1" t="s">
        <v>3203</v>
      </c>
      <c r="C67" s="10">
        <v>29039</v>
      </c>
      <c r="D67" s="1">
        <v>2454827</v>
      </c>
      <c r="E67" s="1">
        <f t="shared" ca="1" si="2"/>
        <v>47</v>
      </c>
      <c r="F67" s="8"/>
      <c r="G67" s="8"/>
      <c r="H67" s="8"/>
      <c r="I67" s="8"/>
      <c r="J67" s="8"/>
      <c r="K67" s="8"/>
      <c r="L67" s="8"/>
      <c r="M67" s="8"/>
      <c r="N67" s="8"/>
    </row>
    <row r="68" spans="1:14" x14ac:dyDescent="0.3">
      <c r="A68" s="8"/>
      <c r="B68" s="1" t="s">
        <v>3204</v>
      </c>
      <c r="C68" s="10">
        <v>29141</v>
      </c>
      <c r="D68" s="1">
        <v>1177814</v>
      </c>
      <c r="E68" s="1">
        <f t="shared" ca="1" si="2"/>
        <v>47</v>
      </c>
      <c r="F68" s="8"/>
      <c r="G68" s="8"/>
      <c r="H68" s="8"/>
      <c r="I68" s="8"/>
      <c r="J68" s="8"/>
      <c r="K68" s="8"/>
      <c r="L68" s="8"/>
      <c r="M68" s="8"/>
      <c r="N68" s="8"/>
    </row>
    <row r="69" spans="1:14" x14ac:dyDescent="0.3">
      <c r="A69" s="8"/>
      <c r="B69" s="1" t="s">
        <v>3205</v>
      </c>
      <c r="C69" s="10">
        <v>39915</v>
      </c>
      <c r="D69" s="1">
        <v>4476014</v>
      </c>
      <c r="E69" s="1">
        <f t="shared" ca="1" si="2"/>
        <v>17</v>
      </c>
      <c r="F69" s="8"/>
      <c r="G69" s="8"/>
      <c r="H69" s="8"/>
      <c r="I69" s="8"/>
      <c r="J69" s="8"/>
      <c r="K69" s="8"/>
      <c r="L69" s="8"/>
      <c r="M69" s="8"/>
      <c r="N69" s="8"/>
    </row>
    <row r="70" spans="1:14" x14ac:dyDescent="0.3">
      <c r="A70" s="8"/>
      <c r="B70" s="1" t="s">
        <v>3206</v>
      </c>
      <c r="C70" s="10">
        <v>41207</v>
      </c>
      <c r="D70" s="1">
        <v>4476011</v>
      </c>
      <c r="E70" s="1">
        <f t="shared" ca="1" si="2"/>
        <v>14</v>
      </c>
      <c r="F70" s="8"/>
      <c r="G70" s="8"/>
      <c r="H70" s="8"/>
      <c r="I70" s="8"/>
      <c r="J70" s="8"/>
      <c r="K70" s="8"/>
      <c r="L70" s="8"/>
      <c r="M70" s="8"/>
      <c r="N70" s="8"/>
    </row>
    <row r="71" spans="1:14" x14ac:dyDescent="0.3">
      <c r="A71" s="8"/>
      <c r="B71" s="1" t="s">
        <v>3207</v>
      </c>
      <c r="C71" s="10">
        <v>25130</v>
      </c>
      <c r="D71" s="1">
        <v>2405315</v>
      </c>
      <c r="E71" s="1">
        <f t="shared" ca="1" si="2"/>
        <v>58</v>
      </c>
      <c r="F71" s="8"/>
      <c r="G71" s="8"/>
      <c r="H71" s="8"/>
      <c r="I71" s="8"/>
      <c r="J71" s="8"/>
      <c r="K71" s="8"/>
      <c r="L71" s="8"/>
      <c r="M71" s="8"/>
      <c r="N71" s="8"/>
    </row>
    <row r="72" spans="1:14" x14ac:dyDescent="0.3">
      <c r="A72" s="8"/>
      <c r="B72" s="1" t="s">
        <v>3208</v>
      </c>
      <c r="C72" s="10">
        <v>35486</v>
      </c>
      <c r="D72" s="1">
        <v>1411948</v>
      </c>
      <c r="E72" s="1">
        <f t="shared" ca="1" si="2"/>
        <v>29</v>
      </c>
      <c r="F72" s="8"/>
      <c r="G72" s="8"/>
      <c r="H72" s="8"/>
      <c r="I72" s="8"/>
      <c r="J72" s="8"/>
      <c r="K72" s="8"/>
      <c r="L72" s="8"/>
      <c r="M72" s="8"/>
      <c r="N72" s="8"/>
    </row>
    <row r="73" spans="1:14" x14ac:dyDescent="0.3">
      <c r="A73" s="8"/>
      <c r="B73" s="1" t="s">
        <v>3209</v>
      </c>
      <c r="C73" s="10">
        <v>36090</v>
      </c>
      <c r="D73" s="1">
        <v>2411921</v>
      </c>
      <c r="E73" s="1">
        <f t="shared" ca="1" si="2"/>
        <v>28</v>
      </c>
      <c r="F73" s="8"/>
      <c r="G73" s="8"/>
      <c r="H73" s="8"/>
      <c r="I73" s="8"/>
      <c r="J73" s="8"/>
      <c r="K73" s="8"/>
      <c r="L73" s="8"/>
      <c r="M73" s="8"/>
      <c r="N73" s="8"/>
    </row>
    <row r="74" spans="1:14" x14ac:dyDescent="0.3">
      <c r="A74" s="8"/>
      <c r="B74" s="1" t="s">
        <v>3210</v>
      </c>
      <c r="C74" s="10">
        <v>17272</v>
      </c>
      <c r="D74" s="1">
        <v>2411514</v>
      </c>
      <c r="E74" s="1">
        <f t="shared" ca="1" si="2"/>
        <v>79</v>
      </c>
      <c r="F74" s="8"/>
      <c r="G74" s="8"/>
      <c r="H74" s="8"/>
      <c r="I74" s="8"/>
      <c r="J74" s="8"/>
      <c r="K74" s="8"/>
      <c r="L74" s="8"/>
      <c r="M74" s="8"/>
      <c r="N74" s="8"/>
    </row>
    <row r="75" spans="1:14" x14ac:dyDescent="0.3">
      <c r="A75" s="21"/>
      <c r="B75" s="22" t="s">
        <v>324</v>
      </c>
      <c r="C75" s="23">
        <v>32370</v>
      </c>
      <c r="D75" s="22">
        <v>2520519</v>
      </c>
      <c r="E75" s="22">
        <f t="shared" ca="1" si="2"/>
        <v>38</v>
      </c>
      <c r="F75" s="21"/>
      <c r="G75" s="21"/>
      <c r="H75" s="21"/>
      <c r="I75" s="21"/>
      <c r="J75" s="21"/>
      <c r="K75" s="21"/>
      <c r="L75" s="21"/>
      <c r="M75" s="21"/>
      <c r="N75" s="21"/>
    </row>
    <row r="76" spans="1:14" x14ac:dyDescent="0.3">
      <c r="A76" s="24">
        <v>44441</v>
      </c>
      <c r="B76" s="22" t="s">
        <v>322</v>
      </c>
      <c r="C76" s="23">
        <v>29594</v>
      </c>
      <c r="D76" s="22">
        <v>1411810</v>
      </c>
      <c r="E76" s="22">
        <f t="shared" ca="1" si="2"/>
        <v>45</v>
      </c>
      <c r="F76" s="21" t="s">
        <v>323</v>
      </c>
      <c r="G76" s="21"/>
      <c r="H76" s="21"/>
      <c r="I76" s="21"/>
      <c r="J76" s="21"/>
      <c r="K76" s="21"/>
      <c r="L76" s="21"/>
      <c r="M76" s="21"/>
      <c r="N76" s="21"/>
    </row>
    <row r="77" spans="1:14" x14ac:dyDescent="0.3">
      <c r="A77" s="21"/>
      <c r="B77" s="22" t="s">
        <v>325</v>
      </c>
      <c r="C77" s="23">
        <v>40730</v>
      </c>
      <c r="D77" s="22">
        <v>4412717</v>
      </c>
      <c r="E77" s="22">
        <f t="shared" ca="1" si="2"/>
        <v>15</v>
      </c>
      <c r="F77" s="21"/>
      <c r="G77" s="21"/>
      <c r="H77" s="21"/>
      <c r="I77" s="21"/>
      <c r="J77" s="21"/>
      <c r="K77" s="21"/>
      <c r="L77" s="21"/>
      <c r="M77" s="21"/>
      <c r="N77" s="21"/>
    </row>
    <row r="78" spans="1:14" x14ac:dyDescent="0.3">
      <c r="A78" s="21"/>
      <c r="B78" s="22" t="s">
        <v>326</v>
      </c>
      <c r="C78" s="23">
        <v>41372</v>
      </c>
      <c r="D78" s="22">
        <v>3412731</v>
      </c>
      <c r="E78" s="22">
        <f t="shared" ca="1" si="2"/>
        <v>13</v>
      </c>
      <c r="F78" s="21"/>
      <c r="G78" s="21"/>
      <c r="H78" s="21"/>
      <c r="I78" s="21"/>
      <c r="J78" s="21"/>
      <c r="K78" s="21"/>
      <c r="L78" s="21"/>
      <c r="M78" s="21"/>
      <c r="N78" s="21"/>
    </row>
    <row r="79" spans="1:14" x14ac:dyDescent="0.3">
      <c r="A79" s="8" t="s">
        <v>342</v>
      </c>
      <c r="B79" s="1" t="s">
        <v>3211</v>
      </c>
      <c r="C79" s="10">
        <v>22443</v>
      </c>
      <c r="D79" s="1">
        <v>1121417</v>
      </c>
      <c r="E79" s="1">
        <f t="shared" ca="1" si="2"/>
        <v>65</v>
      </c>
      <c r="F79" s="8"/>
      <c r="G79" s="8"/>
      <c r="H79" s="8"/>
      <c r="I79" s="8"/>
      <c r="J79" s="8"/>
      <c r="K79" s="8"/>
      <c r="L79" s="8"/>
      <c r="M79" s="8"/>
      <c r="N79" s="8"/>
    </row>
    <row r="80" spans="1:14" x14ac:dyDescent="0.3">
      <c r="A80" s="8" t="s">
        <v>342</v>
      </c>
      <c r="B80" s="1" t="s">
        <v>3212</v>
      </c>
      <c r="C80" s="10">
        <v>21644</v>
      </c>
      <c r="D80" s="1">
        <v>2068610</v>
      </c>
      <c r="E80" s="1">
        <f t="shared" ca="1" si="2"/>
        <v>67</v>
      </c>
      <c r="F80" s="8"/>
      <c r="G80" s="8"/>
      <c r="H80" s="8"/>
      <c r="I80" s="8"/>
      <c r="J80" s="8"/>
      <c r="K80" s="8"/>
      <c r="L80" s="8"/>
      <c r="M80" s="8"/>
      <c r="N80" s="8"/>
    </row>
    <row r="81" spans="1:14" x14ac:dyDescent="0.3">
      <c r="A81" s="8" t="s">
        <v>342</v>
      </c>
      <c r="B81" s="1" t="s">
        <v>3213</v>
      </c>
      <c r="C81" s="10">
        <v>20612</v>
      </c>
      <c r="D81" s="1">
        <v>1896415</v>
      </c>
      <c r="E81" s="1">
        <f t="shared" ca="1" si="2"/>
        <v>70</v>
      </c>
      <c r="F81" s="8"/>
      <c r="G81" s="8"/>
      <c r="H81" s="8"/>
      <c r="I81" s="8"/>
      <c r="J81" s="8"/>
      <c r="K81" s="8"/>
      <c r="L81" s="8"/>
      <c r="M81" s="8"/>
      <c r="N81" s="8"/>
    </row>
    <row r="82" spans="1:14" x14ac:dyDescent="0.3">
      <c r="A82" s="8" t="s">
        <v>342</v>
      </c>
      <c r="B82" s="1" t="s">
        <v>3214</v>
      </c>
      <c r="C82" s="10">
        <v>31100</v>
      </c>
      <c r="D82" s="1">
        <v>1114210</v>
      </c>
      <c r="E82" s="1">
        <f t="shared" ca="1" si="2"/>
        <v>41</v>
      </c>
      <c r="F82" s="8"/>
      <c r="G82" s="8"/>
      <c r="H82" s="8"/>
      <c r="I82" s="8"/>
      <c r="J82" s="8"/>
      <c r="K82" s="8"/>
      <c r="L82" s="8"/>
      <c r="M82" s="8"/>
      <c r="N82" s="8"/>
    </row>
    <row r="83" spans="1:14" x14ac:dyDescent="0.3">
      <c r="A83" s="8"/>
      <c r="B83" s="1" t="s">
        <v>3215</v>
      </c>
      <c r="C83" s="10">
        <v>29372</v>
      </c>
      <c r="D83" s="1">
        <v>1675013</v>
      </c>
      <c r="E83" s="1">
        <f t="shared" ca="1" si="2"/>
        <v>46</v>
      </c>
      <c r="F83" s="8"/>
      <c r="G83" s="8"/>
      <c r="H83" s="8"/>
      <c r="I83" s="8"/>
      <c r="J83" s="8"/>
      <c r="K83" s="8"/>
      <c r="L83" s="8"/>
      <c r="M83" s="8"/>
      <c r="N83" s="8"/>
    </row>
    <row r="84" spans="1:14" x14ac:dyDescent="0.3">
      <c r="A84" s="8"/>
      <c r="B84" s="1" t="s">
        <v>3216</v>
      </c>
      <c r="C84" s="10">
        <v>29515</v>
      </c>
      <c r="D84" s="1">
        <v>2789720</v>
      </c>
      <c r="E84" s="1">
        <f t="shared" ca="1" si="2"/>
        <v>46</v>
      </c>
      <c r="F84" s="8"/>
      <c r="G84" s="8"/>
      <c r="H84" s="8"/>
      <c r="I84" s="8"/>
      <c r="J84" s="8"/>
      <c r="K84" s="8"/>
      <c r="L84" s="8"/>
      <c r="M84" s="8"/>
      <c r="N84" s="8"/>
    </row>
    <row r="85" spans="1:14" x14ac:dyDescent="0.3">
      <c r="A85" s="8"/>
      <c r="B85" s="1" t="s">
        <v>3217</v>
      </c>
      <c r="C85" s="10">
        <v>40401</v>
      </c>
      <c r="D85" s="1">
        <v>4478811</v>
      </c>
      <c r="E85" s="1">
        <f t="shared" ca="1" si="2"/>
        <v>16</v>
      </c>
      <c r="F85" s="8"/>
      <c r="G85" s="8"/>
      <c r="H85" s="8"/>
      <c r="I85" s="8"/>
      <c r="J85" s="8"/>
      <c r="K85" s="8"/>
      <c r="L85" s="8"/>
      <c r="M85" s="8"/>
      <c r="N85" s="8"/>
    </row>
    <row r="86" spans="1:14" x14ac:dyDescent="0.3">
      <c r="A86" s="8"/>
      <c r="B86" s="1" t="s">
        <v>3218</v>
      </c>
      <c r="C86" s="10">
        <v>41223</v>
      </c>
      <c r="D86" s="1">
        <v>3412029</v>
      </c>
      <c r="E86" s="1">
        <f t="shared" ca="1" si="2"/>
        <v>14</v>
      </c>
      <c r="F86" s="8"/>
      <c r="G86" s="8"/>
      <c r="H86" s="8"/>
      <c r="I86" s="8"/>
      <c r="J86" s="8"/>
      <c r="K86" s="8"/>
      <c r="L86" s="8"/>
      <c r="M86" s="8"/>
      <c r="N86" s="8"/>
    </row>
    <row r="87" spans="1:14" x14ac:dyDescent="0.3">
      <c r="A87" s="8"/>
      <c r="B87" s="1" t="s">
        <v>3219</v>
      </c>
      <c r="C87" s="10">
        <v>26564</v>
      </c>
      <c r="D87" s="1">
        <v>1661718</v>
      </c>
      <c r="E87" s="1">
        <f t="shared" ca="1" si="2"/>
        <v>54</v>
      </c>
      <c r="F87" s="8"/>
      <c r="G87" s="8"/>
      <c r="H87" s="8"/>
      <c r="I87" s="8"/>
      <c r="J87" s="8"/>
      <c r="K87" s="8"/>
      <c r="L87" s="8"/>
      <c r="M87" s="8"/>
      <c r="N87" s="8"/>
    </row>
    <row r="88" spans="1:14" x14ac:dyDescent="0.3">
      <c r="A88" s="8"/>
      <c r="B88" s="1" t="s">
        <v>1736</v>
      </c>
      <c r="C88" s="10">
        <v>28123</v>
      </c>
      <c r="D88" s="1">
        <v>2455817</v>
      </c>
      <c r="E88" s="1">
        <f t="shared" ca="1" si="2"/>
        <v>50</v>
      </c>
      <c r="F88" s="8"/>
      <c r="G88" s="8"/>
      <c r="H88" s="8"/>
      <c r="I88" s="8"/>
      <c r="J88" s="8"/>
      <c r="K88" s="8"/>
      <c r="L88" s="8"/>
      <c r="M88" s="8"/>
      <c r="N88" s="8"/>
    </row>
    <row r="89" spans="1:14" x14ac:dyDescent="0.3">
      <c r="A89" s="8"/>
      <c r="B89" s="1" t="s">
        <v>312</v>
      </c>
      <c r="C89" s="10">
        <v>40633</v>
      </c>
      <c r="D89" s="1">
        <v>3412718</v>
      </c>
      <c r="E89" s="1">
        <f t="shared" ca="1" si="2"/>
        <v>15</v>
      </c>
      <c r="F89" s="8"/>
      <c r="G89" s="8"/>
      <c r="H89" s="8"/>
      <c r="I89" s="8"/>
      <c r="J89" s="8"/>
      <c r="K89" s="8"/>
      <c r="L89" s="8"/>
      <c r="M89" s="8"/>
      <c r="N89" s="8"/>
    </row>
    <row r="90" spans="1:14" x14ac:dyDescent="0.3">
      <c r="A90" s="8"/>
      <c r="B90" s="1" t="s">
        <v>357</v>
      </c>
      <c r="C90" s="10">
        <v>31476</v>
      </c>
      <c r="D90" s="1">
        <v>2177522</v>
      </c>
      <c r="E90" s="1">
        <f t="shared" ca="1" si="2"/>
        <v>40</v>
      </c>
      <c r="F90" s="8"/>
      <c r="G90" s="8"/>
      <c r="H90" s="8"/>
      <c r="I90" s="8"/>
      <c r="J90" s="8"/>
      <c r="K90" s="8"/>
      <c r="L90" s="8"/>
      <c r="M90" s="8"/>
      <c r="N90" s="8"/>
    </row>
    <row r="91" spans="1:14" x14ac:dyDescent="0.3">
      <c r="A91" s="8"/>
      <c r="B91" s="1" t="s">
        <v>1586</v>
      </c>
      <c r="C91" s="10">
        <v>31636</v>
      </c>
      <c r="D91" s="1">
        <v>2386918</v>
      </c>
      <c r="E91" s="1">
        <f t="shared" ca="1" si="2"/>
        <v>40</v>
      </c>
      <c r="F91" s="8"/>
      <c r="G91" s="8"/>
      <c r="H91" s="8"/>
      <c r="I91" s="8"/>
      <c r="J91" s="8"/>
      <c r="K91" s="8"/>
      <c r="L91" s="8"/>
      <c r="M91" s="8"/>
      <c r="N91" s="8"/>
    </row>
    <row r="92" spans="1:14" x14ac:dyDescent="0.3">
      <c r="A92" s="8"/>
      <c r="B92" s="1" t="s">
        <v>3220</v>
      </c>
      <c r="C92" s="10">
        <v>18716</v>
      </c>
      <c r="D92" s="1">
        <v>2387116</v>
      </c>
      <c r="E92" s="1">
        <f t="shared" ca="1" si="2"/>
        <v>75</v>
      </c>
      <c r="F92" s="8"/>
      <c r="G92" s="8"/>
      <c r="H92" s="8"/>
      <c r="I92" s="8"/>
      <c r="J92" s="8"/>
      <c r="K92" s="8"/>
      <c r="L92" s="8"/>
      <c r="M92" s="8"/>
      <c r="N92" s="8"/>
    </row>
    <row r="93" spans="1:14" x14ac:dyDescent="0.3">
      <c r="A93" s="8"/>
      <c r="B93" s="1" t="s">
        <v>3221</v>
      </c>
      <c r="C93" s="10">
        <v>28791</v>
      </c>
      <c r="D93" s="1">
        <v>1068112</v>
      </c>
      <c r="E93" s="1">
        <f t="shared" ca="1" si="2"/>
        <v>48</v>
      </c>
      <c r="F93" s="8"/>
      <c r="G93" s="8"/>
      <c r="H93" s="8"/>
      <c r="I93" s="8"/>
      <c r="J93" s="8"/>
      <c r="K93" s="8"/>
      <c r="L93" s="8"/>
      <c r="M93" s="8"/>
      <c r="N93" s="8"/>
    </row>
    <row r="94" spans="1:14" x14ac:dyDescent="0.3">
      <c r="A94" s="8"/>
      <c r="B94" s="1" t="s">
        <v>3222</v>
      </c>
      <c r="C94" s="10">
        <v>28649</v>
      </c>
      <c r="D94" s="1">
        <v>2010818</v>
      </c>
      <c r="E94" s="1">
        <f t="shared" ca="1" si="2"/>
        <v>48</v>
      </c>
      <c r="F94" s="8"/>
      <c r="G94" s="8"/>
      <c r="H94" s="8"/>
      <c r="I94" s="8"/>
      <c r="J94" s="8"/>
      <c r="K94" s="8"/>
      <c r="L94" s="8"/>
      <c r="M94" s="8"/>
      <c r="N94" s="8"/>
    </row>
    <row r="95" spans="1:14" x14ac:dyDescent="0.3">
      <c r="A95" s="8"/>
      <c r="B95" s="1" t="s">
        <v>3223</v>
      </c>
      <c r="C95" s="10">
        <v>28774</v>
      </c>
      <c r="D95" s="1">
        <v>1065313</v>
      </c>
      <c r="E95" s="1">
        <f t="shared" ca="1" si="2"/>
        <v>48</v>
      </c>
      <c r="F95" s="8"/>
      <c r="G95" s="8"/>
      <c r="H95" s="8"/>
      <c r="I95" s="8"/>
      <c r="J95" s="8"/>
      <c r="K95" s="8"/>
      <c r="L95" s="8"/>
      <c r="M95" s="8"/>
      <c r="N95" s="8"/>
    </row>
    <row r="96" spans="1:14" x14ac:dyDescent="0.3">
      <c r="A96" s="8"/>
      <c r="B96" s="1" t="s">
        <v>3224</v>
      </c>
      <c r="C96" s="10">
        <v>40239</v>
      </c>
      <c r="D96" s="1">
        <v>3476014</v>
      </c>
      <c r="E96" s="1">
        <f t="shared" ca="1" si="2"/>
        <v>16</v>
      </c>
      <c r="F96" s="8"/>
      <c r="G96" s="8"/>
      <c r="H96" s="8"/>
      <c r="I96" s="8"/>
      <c r="J96" s="8"/>
      <c r="K96" s="8"/>
      <c r="L96" s="8"/>
      <c r="M96" s="8"/>
      <c r="N96" s="8"/>
    </row>
    <row r="97" spans="1:14" x14ac:dyDescent="0.3">
      <c r="A97" s="8"/>
      <c r="B97" s="1" t="s">
        <v>3225</v>
      </c>
      <c r="C97" s="10">
        <v>41202</v>
      </c>
      <c r="D97" s="1">
        <v>4476013</v>
      </c>
      <c r="E97" s="1">
        <f t="shared" ca="1" si="2"/>
        <v>14</v>
      </c>
      <c r="F97" s="8"/>
      <c r="G97" s="8"/>
      <c r="H97" s="8"/>
      <c r="I97" s="8"/>
      <c r="J97" s="8"/>
      <c r="K97" s="8"/>
      <c r="L97" s="8"/>
      <c r="M97" s="8"/>
      <c r="N97" s="8"/>
    </row>
    <row r="98" spans="1:14" x14ac:dyDescent="0.3">
      <c r="A98" s="8"/>
      <c r="B98" s="1" t="s">
        <v>3226</v>
      </c>
      <c r="C98" s="10">
        <v>30480</v>
      </c>
      <c r="D98" s="1">
        <v>2100617</v>
      </c>
      <c r="E98" s="1">
        <f t="shared" ref="E98:E161" ca="1" si="3">YEAR(TODAY())-YEAR(C98)</f>
        <v>43</v>
      </c>
      <c r="F98" s="8"/>
      <c r="G98" s="8"/>
      <c r="H98" s="8"/>
      <c r="I98" s="8"/>
      <c r="J98" s="8"/>
      <c r="K98" s="8"/>
      <c r="L98" s="8"/>
      <c r="M98" s="8"/>
      <c r="N98" s="8"/>
    </row>
    <row r="99" spans="1:14" x14ac:dyDescent="0.3">
      <c r="A99" s="8"/>
      <c r="B99" s="1" t="s">
        <v>3227</v>
      </c>
      <c r="C99" s="10">
        <v>30142</v>
      </c>
      <c r="D99" s="1">
        <v>1923315</v>
      </c>
      <c r="E99" s="1">
        <f t="shared" ca="1" si="3"/>
        <v>44</v>
      </c>
      <c r="F99" s="8"/>
      <c r="G99" s="8"/>
      <c r="H99" s="8"/>
      <c r="I99" s="8"/>
      <c r="J99" s="8"/>
      <c r="K99" s="8"/>
      <c r="L99" s="8"/>
      <c r="M99" s="8"/>
      <c r="N99" s="8"/>
    </row>
    <row r="100" spans="1:14" x14ac:dyDescent="0.3">
      <c r="A100" s="8"/>
      <c r="B100" s="1" t="s">
        <v>3228</v>
      </c>
      <c r="C100" s="10">
        <v>41558</v>
      </c>
      <c r="D100" s="1">
        <v>3126811</v>
      </c>
      <c r="E100" s="1">
        <f t="shared" ca="1" si="3"/>
        <v>13</v>
      </c>
      <c r="F100" s="8"/>
      <c r="G100" s="8"/>
      <c r="H100" s="8"/>
      <c r="I100" s="8"/>
      <c r="J100" s="8"/>
      <c r="K100" s="8"/>
      <c r="L100" s="8"/>
      <c r="M100" s="8"/>
      <c r="N100" s="8"/>
    </row>
    <row r="101" spans="1:14" x14ac:dyDescent="0.3">
      <c r="A101" s="8"/>
      <c r="B101" s="11" t="s">
        <v>3229</v>
      </c>
      <c r="C101" s="12">
        <v>22280</v>
      </c>
      <c r="D101" s="13">
        <v>2644410</v>
      </c>
      <c r="E101" s="13">
        <f t="shared" ca="1" si="3"/>
        <v>66</v>
      </c>
      <c r="F101" s="8"/>
      <c r="G101" s="8"/>
      <c r="H101" s="8"/>
      <c r="I101" s="8"/>
      <c r="J101" s="8"/>
      <c r="K101" s="8"/>
      <c r="L101" s="8"/>
      <c r="M101" s="8"/>
      <c r="N101" s="8"/>
    </row>
    <row r="102" spans="1:14" x14ac:dyDescent="0.3">
      <c r="A102" s="8"/>
      <c r="B102" s="1" t="s">
        <v>3230</v>
      </c>
      <c r="C102" s="10">
        <v>29086</v>
      </c>
      <c r="D102" s="1">
        <v>1065317</v>
      </c>
      <c r="E102" s="1">
        <f t="shared" ca="1" si="3"/>
        <v>47</v>
      </c>
      <c r="F102" s="8"/>
      <c r="G102" s="8"/>
      <c r="H102" s="8"/>
      <c r="I102" s="8"/>
      <c r="J102" s="8"/>
      <c r="K102" s="8"/>
      <c r="L102" s="8"/>
      <c r="M102" s="8"/>
      <c r="N102" s="8"/>
    </row>
    <row r="103" spans="1:14" x14ac:dyDescent="0.3">
      <c r="A103" s="8"/>
      <c r="B103" s="1" t="s">
        <v>3231</v>
      </c>
      <c r="C103" s="10">
        <v>30007</v>
      </c>
      <c r="D103" s="1">
        <v>1058822</v>
      </c>
      <c r="E103" s="1">
        <f t="shared" ca="1" si="3"/>
        <v>44</v>
      </c>
      <c r="F103" s="8"/>
      <c r="G103" s="8"/>
      <c r="H103" s="8"/>
      <c r="I103" s="8"/>
      <c r="J103" s="8"/>
      <c r="K103" s="8"/>
      <c r="L103" s="8"/>
      <c r="M103" s="8"/>
      <c r="N103" s="8"/>
    </row>
    <row r="104" spans="1:14" x14ac:dyDescent="0.3">
      <c r="A104" s="8"/>
      <c r="B104" s="1" t="s">
        <v>3232</v>
      </c>
      <c r="C104" s="10">
        <v>19762</v>
      </c>
      <c r="D104" s="1">
        <v>2069028</v>
      </c>
      <c r="E104" s="1">
        <f t="shared" ca="1" si="3"/>
        <v>72</v>
      </c>
      <c r="F104" s="8"/>
      <c r="G104" s="8"/>
      <c r="H104" s="8"/>
      <c r="I104" s="8"/>
      <c r="J104" s="8"/>
      <c r="K104" s="8"/>
      <c r="L104" s="8"/>
      <c r="M104" s="8"/>
      <c r="N104" s="8"/>
    </row>
    <row r="105" spans="1:14" x14ac:dyDescent="0.3">
      <c r="A105" s="8"/>
      <c r="B105" s="1" t="s">
        <v>3233</v>
      </c>
      <c r="C105" s="10">
        <v>16828</v>
      </c>
      <c r="D105" s="1">
        <v>1057013</v>
      </c>
      <c r="E105" s="1">
        <f t="shared" ca="1" si="3"/>
        <v>80</v>
      </c>
      <c r="F105" s="8"/>
      <c r="G105" s="8"/>
      <c r="H105" s="8"/>
      <c r="I105" s="8"/>
      <c r="J105" s="8"/>
      <c r="K105" s="8"/>
      <c r="L105" s="8"/>
      <c r="M105" s="8"/>
      <c r="N105" s="8"/>
    </row>
    <row r="106" spans="1:14" x14ac:dyDescent="0.3">
      <c r="A106" s="8"/>
      <c r="B106" s="1" t="s">
        <v>3234</v>
      </c>
      <c r="C106" s="10">
        <v>29141</v>
      </c>
      <c r="D106" s="1">
        <v>1817412</v>
      </c>
      <c r="E106" s="1">
        <f t="shared" ca="1" si="3"/>
        <v>47</v>
      </c>
      <c r="F106" s="8"/>
      <c r="G106" s="8"/>
      <c r="H106" s="8"/>
      <c r="I106" s="8"/>
      <c r="J106" s="8"/>
      <c r="K106" s="8"/>
      <c r="L106" s="8"/>
      <c r="M106" s="8"/>
      <c r="N106" s="8"/>
    </row>
    <row r="107" spans="1:14" x14ac:dyDescent="0.3">
      <c r="A107" s="8"/>
      <c r="B107" s="1" t="s">
        <v>3235</v>
      </c>
      <c r="C107" s="10">
        <v>29876</v>
      </c>
      <c r="D107" s="1">
        <v>2455821</v>
      </c>
      <c r="E107" s="1">
        <f t="shared" ca="1" si="3"/>
        <v>45</v>
      </c>
      <c r="F107" s="8"/>
      <c r="G107" s="8"/>
      <c r="H107" s="8"/>
      <c r="I107" s="8"/>
      <c r="J107" s="8"/>
      <c r="K107" s="8"/>
      <c r="L107" s="8"/>
      <c r="M107" s="8"/>
      <c r="N107" s="8"/>
    </row>
    <row r="108" spans="1:14" x14ac:dyDescent="0.3">
      <c r="A108" s="8"/>
      <c r="B108" s="1" t="s">
        <v>3236</v>
      </c>
      <c r="C108" s="10">
        <v>41199</v>
      </c>
      <c r="D108" s="1">
        <v>4476014</v>
      </c>
      <c r="E108" s="1">
        <f t="shared" ca="1" si="3"/>
        <v>14</v>
      </c>
      <c r="F108" s="8"/>
      <c r="G108" s="8"/>
      <c r="H108" s="8"/>
      <c r="I108" s="8"/>
      <c r="J108" s="8"/>
      <c r="K108" s="8"/>
      <c r="L108" s="8"/>
      <c r="M108" s="8"/>
      <c r="N108" s="8"/>
    </row>
    <row r="109" spans="1:14" x14ac:dyDescent="0.3">
      <c r="A109" s="8"/>
      <c r="B109" s="1" t="s">
        <v>3237</v>
      </c>
      <c r="C109" s="10">
        <v>28911</v>
      </c>
      <c r="D109" s="1">
        <v>1122910</v>
      </c>
      <c r="E109" s="1">
        <f t="shared" ca="1" si="3"/>
        <v>47</v>
      </c>
      <c r="F109" s="8"/>
      <c r="G109" s="8"/>
      <c r="H109" s="8"/>
      <c r="I109" s="8"/>
      <c r="J109" s="8"/>
      <c r="K109" s="8"/>
      <c r="L109" s="8"/>
      <c r="M109" s="8"/>
      <c r="N109" s="8"/>
    </row>
    <row r="110" spans="1:14" x14ac:dyDescent="0.3">
      <c r="A110" s="8"/>
      <c r="B110" s="1" t="s">
        <v>3238</v>
      </c>
      <c r="C110" s="10">
        <v>30324</v>
      </c>
      <c r="D110" s="1">
        <v>2912012</v>
      </c>
      <c r="E110" s="1">
        <f t="shared" ca="1" si="3"/>
        <v>43</v>
      </c>
      <c r="F110" s="8"/>
      <c r="G110" s="8"/>
      <c r="H110" s="8"/>
      <c r="I110" s="8"/>
      <c r="J110" s="8"/>
      <c r="K110" s="8"/>
      <c r="L110" s="8"/>
      <c r="M110" s="8"/>
      <c r="N110" s="8"/>
    </row>
    <row r="111" spans="1:14" x14ac:dyDescent="0.3">
      <c r="A111" s="8"/>
      <c r="B111" s="1" t="s">
        <v>3239</v>
      </c>
      <c r="C111" s="10">
        <v>39901</v>
      </c>
      <c r="D111" s="1">
        <v>4121112</v>
      </c>
      <c r="E111" s="1">
        <f t="shared" ca="1" si="3"/>
        <v>17</v>
      </c>
      <c r="F111" s="8"/>
      <c r="G111" s="8"/>
      <c r="H111" s="8"/>
      <c r="I111" s="8"/>
      <c r="J111" s="8"/>
      <c r="K111" s="8"/>
      <c r="L111" s="8"/>
      <c r="M111" s="8"/>
      <c r="N111" s="8"/>
    </row>
    <row r="112" spans="1:14" x14ac:dyDescent="0.3">
      <c r="A112" s="8"/>
      <c r="B112" s="1" t="s">
        <v>3240</v>
      </c>
      <c r="C112" s="10">
        <v>39950</v>
      </c>
      <c r="D112" s="1">
        <v>3119910</v>
      </c>
      <c r="E112" s="1">
        <f t="shared" ca="1" si="3"/>
        <v>17</v>
      </c>
      <c r="F112" s="8"/>
      <c r="G112" s="8"/>
      <c r="H112" s="8"/>
      <c r="I112" s="8"/>
      <c r="J112" s="8"/>
      <c r="K112" s="8"/>
      <c r="L112" s="8"/>
      <c r="M112" s="8"/>
      <c r="N112" s="8"/>
    </row>
    <row r="113" spans="1:14" x14ac:dyDescent="0.3">
      <c r="A113" s="8"/>
      <c r="B113" s="1" t="s">
        <v>3241</v>
      </c>
      <c r="C113" s="10">
        <v>28432</v>
      </c>
      <c r="D113" s="1">
        <v>2123215</v>
      </c>
      <c r="E113" s="1">
        <f t="shared" ca="1" si="3"/>
        <v>49</v>
      </c>
      <c r="F113" s="8"/>
      <c r="G113" s="8"/>
      <c r="H113" s="8"/>
      <c r="I113" s="8"/>
      <c r="J113" s="8"/>
      <c r="K113" s="8"/>
      <c r="L113" s="8"/>
      <c r="M113" s="8"/>
      <c r="N113" s="8"/>
    </row>
    <row r="114" spans="1:14" x14ac:dyDescent="0.3">
      <c r="A114" s="8"/>
      <c r="B114" s="1" t="s">
        <v>3242</v>
      </c>
      <c r="C114" s="10">
        <v>27889</v>
      </c>
      <c r="D114" s="1">
        <v>1094332</v>
      </c>
      <c r="E114" s="1">
        <f t="shared" ca="1" si="3"/>
        <v>50</v>
      </c>
      <c r="F114" s="8"/>
      <c r="G114" s="8"/>
      <c r="H114" s="8"/>
      <c r="I114" s="8"/>
      <c r="J114" s="8"/>
      <c r="K114" s="8"/>
      <c r="L114" s="8"/>
      <c r="M114" s="8"/>
      <c r="N114" s="8"/>
    </row>
    <row r="115" spans="1:14" x14ac:dyDescent="0.3">
      <c r="A115" s="8"/>
      <c r="B115" s="1" t="s">
        <v>3243</v>
      </c>
      <c r="C115" s="10">
        <v>28995</v>
      </c>
      <c r="D115" s="1">
        <v>2046412</v>
      </c>
      <c r="E115" s="1">
        <f t="shared" ca="1" si="3"/>
        <v>47</v>
      </c>
      <c r="F115" s="8"/>
      <c r="G115" s="8"/>
      <c r="H115" s="8"/>
      <c r="I115" s="8"/>
      <c r="J115" s="8"/>
      <c r="K115" s="8"/>
      <c r="L115" s="8"/>
      <c r="M115" s="8"/>
      <c r="N115" s="8"/>
    </row>
    <row r="116" spans="1:14" x14ac:dyDescent="0.3">
      <c r="A116" s="8"/>
      <c r="B116" s="1" t="s">
        <v>3244</v>
      </c>
      <c r="C116" s="10">
        <v>28912</v>
      </c>
      <c r="D116" s="1">
        <v>1241210</v>
      </c>
      <c r="E116" s="1">
        <f t="shared" ca="1" si="3"/>
        <v>47</v>
      </c>
      <c r="F116" s="8"/>
      <c r="G116" s="8"/>
      <c r="H116" s="8"/>
      <c r="I116" s="8"/>
      <c r="J116" s="8"/>
      <c r="K116" s="8"/>
      <c r="L116" s="8"/>
      <c r="M116" s="8"/>
      <c r="N116" s="8"/>
    </row>
    <row r="117" spans="1:14" x14ac:dyDescent="0.3">
      <c r="A117" s="8"/>
      <c r="B117" s="1" t="s">
        <v>3245</v>
      </c>
      <c r="C117" s="10">
        <v>17330</v>
      </c>
      <c r="D117" s="1">
        <v>2046620</v>
      </c>
      <c r="E117" s="1">
        <f t="shared" ca="1" si="3"/>
        <v>79</v>
      </c>
      <c r="F117" s="8"/>
      <c r="G117" s="8"/>
      <c r="H117" s="8"/>
      <c r="I117" s="8"/>
      <c r="J117" s="8"/>
      <c r="K117" s="8"/>
      <c r="L117" s="8"/>
      <c r="M117" s="8"/>
      <c r="N117" s="8"/>
    </row>
    <row r="118" spans="1:14" x14ac:dyDescent="0.3">
      <c r="A118" s="8"/>
      <c r="B118" s="1" t="s">
        <v>2973</v>
      </c>
      <c r="C118" s="10">
        <v>29754</v>
      </c>
      <c r="D118" s="1">
        <v>1235211</v>
      </c>
      <c r="E118" s="1">
        <f t="shared" ca="1" si="3"/>
        <v>45</v>
      </c>
      <c r="F118" s="8"/>
      <c r="G118" s="8"/>
      <c r="H118" s="8"/>
      <c r="I118" s="8"/>
      <c r="J118" s="8"/>
      <c r="K118" s="8"/>
      <c r="L118" s="8"/>
      <c r="M118" s="8"/>
      <c r="N118" s="8"/>
    </row>
    <row r="119" spans="1:14" x14ac:dyDescent="0.3">
      <c r="A119" s="8"/>
      <c r="B119" s="1" t="s">
        <v>2980</v>
      </c>
      <c r="C119" s="10">
        <v>19885</v>
      </c>
      <c r="D119" s="1">
        <v>1235229</v>
      </c>
      <c r="E119" s="1">
        <f t="shared" ca="1" si="3"/>
        <v>72</v>
      </c>
      <c r="F119" s="8"/>
      <c r="G119" s="8"/>
      <c r="H119" s="8"/>
      <c r="I119" s="8"/>
      <c r="J119" s="8"/>
      <c r="K119" s="8"/>
      <c r="L119" s="8"/>
      <c r="M119" s="8"/>
      <c r="N119" s="8"/>
    </row>
    <row r="120" spans="1:14" x14ac:dyDescent="0.3">
      <c r="A120" s="8"/>
      <c r="B120" s="1" t="s">
        <v>3246</v>
      </c>
      <c r="C120" s="10">
        <v>29501</v>
      </c>
      <c r="D120" s="1">
        <v>2163235</v>
      </c>
      <c r="E120" s="1">
        <f t="shared" ca="1" si="3"/>
        <v>46</v>
      </c>
      <c r="F120" s="8"/>
      <c r="G120" s="8"/>
      <c r="H120" s="8"/>
      <c r="I120" s="8"/>
      <c r="J120" s="8"/>
      <c r="K120" s="8"/>
      <c r="L120" s="8"/>
      <c r="M120" s="8"/>
      <c r="N120" s="8"/>
    </row>
    <row r="121" spans="1:14" x14ac:dyDescent="0.3">
      <c r="A121" s="8"/>
      <c r="B121" s="1" t="s">
        <v>3247</v>
      </c>
      <c r="C121" s="10">
        <v>40091</v>
      </c>
      <c r="D121" s="1">
        <v>4476036</v>
      </c>
      <c r="E121" s="1">
        <f t="shared" ca="1" si="3"/>
        <v>17</v>
      </c>
      <c r="F121" s="8"/>
      <c r="G121" s="8"/>
      <c r="H121" s="8"/>
      <c r="I121" s="8"/>
      <c r="J121" s="8"/>
      <c r="K121" s="8"/>
      <c r="L121" s="8"/>
      <c r="M121" s="8"/>
      <c r="N121" s="8"/>
    </row>
    <row r="122" spans="1:14" x14ac:dyDescent="0.3">
      <c r="A122" s="8"/>
      <c r="B122" s="1" t="s">
        <v>3248</v>
      </c>
      <c r="C122" s="10">
        <v>27573</v>
      </c>
      <c r="D122" s="1">
        <v>1357122</v>
      </c>
      <c r="E122" s="1">
        <f t="shared" ca="1" si="3"/>
        <v>51</v>
      </c>
      <c r="F122" s="8"/>
      <c r="G122" s="8"/>
      <c r="H122" s="8"/>
      <c r="I122" s="8"/>
      <c r="J122" s="8"/>
      <c r="K122" s="8"/>
      <c r="L122" s="8"/>
      <c r="M122" s="8"/>
      <c r="N122" s="8"/>
    </row>
    <row r="123" spans="1:14" x14ac:dyDescent="0.3">
      <c r="A123" s="8"/>
      <c r="B123" s="1" t="s">
        <v>3249</v>
      </c>
      <c r="C123" s="10">
        <v>41666</v>
      </c>
      <c r="D123" s="1">
        <v>4476028</v>
      </c>
      <c r="E123" s="1">
        <f t="shared" ca="1" si="3"/>
        <v>12</v>
      </c>
      <c r="F123" s="8"/>
      <c r="G123" s="8"/>
      <c r="H123" s="8"/>
      <c r="I123" s="8"/>
      <c r="J123" s="8"/>
      <c r="K123" s="8"/>
      <c r="L123" s="8"/>
      <c r="M123" s="8"/>
      <c r="N123" s="8"/>
    </row>
    <row r="124" spans="1:14" x14ac:dyDescent="0.3">
      <c r="A124" s="8"/>
      <c r="B124" s="1" t="s">
        <v>3250</v>
      </c>
      <c r="C124" s="10">
        <v>29490</v>
      </c>
      <c r="D124" s="1">
        <v>2109014</v>
      </c>
      <c r="E124" s="1">
        <f t="shared" ca="1" si="3"/>
        <v>46</v>
      </c>
      <c r="F124" s="8"/>
      <c r="G124" s="8"/>
      <c r="H124" s="8"/>
      <c r="I124" s="8"/>
      <c r="J124" s="8"/>
      <c r="K124" s="8"/>
      <c r="L124" s="8"/>
      <c r="M124" s="8"/>
      <c r="N124" s="8"/>
    </row>
    <row r="125" spans="1:14" x14ac:dyDescent="0.3">
      <c r="A125" s="8"/>
      <c r="B125" s="1" t="s">
        <v>3251</v>
      </c>
      <c r="C125" s="2">
        <v>17518</v>
      </c>
      <c r="D125" s="1">
        <v>1411311</v>
      </c>
      <c r="E125" s="1">
        <f t="shared" ca="1" si="3"/>
        <v>79</v>
      </c>
      <c r="F125" s="8"/>
      <c r="G125" s="8" t="s">
        <v>3252</v>
      </c>
      <c r="H125" s="8"/>
      <c r="I125" s="8"/>
      <c r="J125" s="8"/>
      <c r="K125" s="8"/>
      <c r="L125" s="9"/>
      <c r="M125" s="3"/>
      <c r="N125" s="8"/>
    </row>
    <row r="126" spans="1:14" x14ac:dyDescent="0.3">
      <c r="A126" s="8"/>
      <c r="B126" s="1" t="s">
        <v>3253</v>
      </c>
      <c r="C126" s="10">
        <v>24473</v>
      </c>
      <c r="D126" s="1">
        <v>2475721</v>
      </c>
      <c r="E126" s="1">
        <f t="shared" ca="1" si="3"/>
        <v>59</v>
      </c>
      <c r="F126" s="8"/>
      <c r="G126" s="8"/>
      <c r="H126" s="8"/>
      <c r="I126" s="8"/>
      <c r="J126" s="8"/>
      <c r="K126" s="8"/>
      <c r="L126" s="8"/>
      <c r="M126" s="8"/>
      <c r="N126" s="8"/>
    </row>
    <row r="127" spans="1:14" x14ac:dyDescent="0.3">
      <c r="A127" s="8"/>
      <c r="B127" s="1" t="s">
        <v>3254</v>
      </c>
      <c r="C127" s="10">
        <v>34770</v>
      </c>
      <c r="D127" s="1">
        <v>1065611</v>
      </c>
      <c r="E127" s="1">
        <f t="shared" ca="1" si="3"/>
        <v>31</v>
      </c>
      <c r="F127" s="8"/>
      <c r="G127" s="8"/>
      <c r="H127" s="8"/>
      <c r="I127" s="8"/>
      <c r="J127" s="8"/>
      <c r="K127" s="8"/>
      <c r="L127" s="8"/>
      <c r="M127" s="8"/>
      <c r="N127" s="8"/>
    </row>
    <row r="128" spans="1:14" x14ac:dyDescent="0.3">
      <c r="A128" s="8"/>
      <c r="B128" s="1" t="s">
        <v>3255</v>
      </c>
      <c r="C128" s="10">
        <v>20891</v>
      </c>
      <c r="D128" s="1">
        <v>1273625</v>
      </c>
      <c r="E128" s="1">
        <f t="shared" ca="1" si="3"/>
        <v>69</v>
      </c>
      <c r="F128" s="8"/>
      <c r="G128" s="8"/>
      <c r="H128" s="8"/>
      <c r="I128" s="8"/>
      <c r="J128" s="8"/>
      <c r="K128" s="8"/>
      <c r="L128" s="8"/>
      <c r="M128" s="8"/>
      <c r="N128" s="8"/>
    </row>
    <row r="129" spans="1:14" x14ac:dyDescent="0.3">
      <c r="A129" s="8"/>
      <c r="B129" s="1" t="s">
        <v>3256</v>
      </c>
      <c r="C129" s="10">
        <v>22898</v>
      </c>
      <c r="D129" s="1">
        <v>2818712</v>
      </c>
      <c r="E129" s="1">
        <f t="shared" ca="1" si="3"/>
        <v>64</v>
      </c>
      <c r="F129" s="8"/>
      <c r="G129" s="8"/>
      <c r="H129" s="8"/>
      <c r="I129" s="8"/>
      <c r="J129" s="8"/>
      <c r="K129" s="8"/>
      <c r="L129" s="8"/>
      <c r="M129" s="8"/>
      <c r="N129" s="8"/>
    </row>
    <row r="130" spans="1:14" x14ac:dyDescent="0.3">
      <c r="A130" s="8"/>
      <c r="B130" s="1" t="s">
        <v>3257</v>
      </c>
      <c r="C130" s="10">
        <v>26785</v>
      </c>
      <c r="D130" s="1">
        <v>2476714</v>
      </c>
      <c r="E130" s="1">
        <f t="shared" ca="1" si="3"/>
        <v>53</v>
      </c>
      <c r="F130" s="8"/>
      <c r="G130" s="8"/>
      <c r="H130" s="8"/>
      <c r="I130" s="8"/>
      <c r="J130" s="8"/>
      <c r="K130" s="8"/>
      <c r="L130" s="8"/>
      <c r="M130" s="8"/>
      <c r="N130" s="8"/>
    </row>
    <row r="131" spans="1:14" x14ac:dyDescent="0.3">
      <c r="A131" s="8"/>
      <c r="B131" s="1" t="s">
        <v>3258</v>
      </c>
      <c r="C131" s="10">
        <v>30500</v>
      </c>
      <c r="D131" s="1">
        <v>1124124</v>
      </c>
      <c r="E131" s="1">
        <f t="shared" ca="1" si="3"/>
        <v>43</v>
      </c>
      <c r="F131" s="8"/>
      <c r="G131" s="8"/>
      <c r="H131" s="8"/>
      <c r="I131" s="8"/>
      <c r="J131" s="8"/>
      <c r="K131" s="8"/>
      <c r="L131" s="8"/>
      <c r="M131" s="8"/>
      <c r="N131" s="8"/>
    </row>
    <row r="132" spans="1:14" x14ac:dyDescent="0.3">
      <c r="A132" s="8"/>
      <c r="B132" s="1" t="s">
        <v>3259</v>
      </c>
      <c r="C132" s="10">
        <v>19472</v>
      </c>
      <c r="D132" s="1">
        <v>2822513</v>
      </c>
      <c r="E132" s="1">
        <f t="shared" ca="1" si="3"/>
        <v>73</v>
      </c>
      <c r="F132" s="8"/>
      <c r="G132" s="8"/>
      <c r="H132" s="8"/>
      <c r="I132" s="8"/>
      <c r="J132" s="8"/>
      <c r="K132" s="8"/>
      <c r="L132" s="8"/>
      <c r="M132" s="8"/>
      <c r="N132" s="8"/>
    </row>
    <row r="133" spans="1:14" x14ac:dyDescent="0.3">
      <c r="A133" s="8"/>
      <c r="B133" s="1" t="s">
        <v>3253</v>
      </c>
      <c r="C133" s="10">
        <v>24473</v>
      </c>
      <c r="D133" s="1">
        <v>2475721</v>
      </c>
      <c r="E133" s="1">
        <f t="shared" ca="1" si="3"/>
        <v>59</v>
      </c>
      <c r="F133" s="8"/>
      <c r="G133" s="8"/>
      <c r="H133" s="8"/>
      <c r="I133" s="8"/>
      <c r="J133" s="8"/>
      <c r="K133" s="8"/>
      <c r="L133" s="8"/>
      <c r="M133" s="8"/>
      <c r="N133" s="8"/>
    </row>
    <row r="134" spans="1:14" x14ac:dyDescent="0.3">
      <c r="A134" s="8"/>
      <c r="B134" s="1" t="s">
        <v>3260</v>
      </c>
      <c r="C134" s="10">
        <v>24774</v>
      </c>
      <c r="D134" s="1">
        <v>2018219</v>
      </c>
      <c r="E134" s="1">
        <f t="shared" ca="1" si="3"/>
        <v>59</v>
      </c>
      <c r="F134" s="8"/>
      <c r="G134" s="8"/>
      <c r="H134" s="8"/>
      <c r="I134" s="8"/>
      <c r="J134" s="8"/>
      <c r="K134" s="8"/>
      <c r="L134" s="8"/>
      <c r="M134" s="8"/>
      <c r="N134" s="8"/>
    </row>
    <row r="135" spans="1:14" x14ac:dyDescent="0.3">
      <c r="A135" s="8"/>
      <c r="B135" s="1" t="s">
        <v>3261</v>
      </c>
      <c r="C135" s="10">
        <v>24191</v>
      </c>
      <c r="D135" s="1">
        <v>1411616</v>
      </c>
      <c r="E135" s="1">
        <f t="shared" ca="1" si="3"/>
        <v>60</v>
      </c>
      <c r="F135" s="8"/>
      <c r="G135" s="8"/>
      <c r="H135" s="8"/>
      <c r="I135" s="8"/>
      <c r="J135" s="8"/>
      <c r="K135" s="8"/>
      <c r="L135" s="8"/>
      <c r="M135" s="8"/>
      <c r="N135" s="8"/>
    </row>
    <row r="136" spans="1:14" x14ac:dyDescent="0.3">
      <c r="A136" s="8"/>
      <c r="B136" s="1" t="s">
        <v>3262</v>
      </c>
      <c r="C136" s="10">
        <v>34345</v>
      </c>
      <c r="D136" s="1">
        <v>2031319</v>
      </c>
      <c r="E136" s="1">
        <f t="shared" ca="1" si="3"/>
        <v>32</v>
      </c>
      <c r="F136" s="8"/>
      <c r="G136" s="8"/>
      <c r="H136" s="8"/>
      <c r="I136" s="8"/>
      <c r="J136" s="8"/>
      <c r="K136" s="8"/>
      <c r="L136" s="8"/>
      <c r="M136" s="8"/>
      <c r="N136" s="8"/>
    </row>
    <row r="137" spans="1:14" x14ac:dyDescent="0.3">
      <c r="A137" s="8"/>
      <c r="B137" s="1" t="s">
        <v>3255</v>
      </c>
      <c r="C137" s="10">
        <v>20891</v>
      </c>
      <c r="D137" s="1">
        <v>1273625</v>
      </c>
      <c r="E137" s="1">
        <f t="shared" ca="1" si="3"/>
        <v>69</v>
      </c>
      <c r="F137" s="8"/>
      <c r="G137" s="8"/>
      <c r="H137" s="8"/>
      <c r="I137" s="8"/>
      <c r="J137" s="8"/>
      <c r="K137" s="8"/>
      <c r="L137" s="8"/>
      <c r="M137" s="8"/>
      <c r="N137" s="8"/>
    </row>
    <row r="138" spans="1:14" x14ac:dyDescent="0.3">
      <c r="A138" s="8"/>
      <c r="B138" s="1" t="s">
        <v>3256</v>
      </c>
      <c r="C138" s="10">
        <v>22898</v>
      </c>
      <c r="D138" s="1">
        <v>2818712</v>
      </c>
      <c r="E138" s="1">
        <f t="shared" ca="1" si="3"/>
        <v>64</v>
      </c>
      <c r="F138" s="8"/>
      <c r="G138" s="8"/>
      <c r="H138" s="8"/>
      <c r="I138" s="8"/>
      <c r="J138" s="8"/>
      <c r="K138" s="8"/>
      <c r="L138" s="8"/>
      <c r="M138" s="8"/>
      <c r="N138" s="8"/>
    </row>
    <row r="139" spans="1:14" x14ac:dyDescent="0.3">
      <c r="A139" s="8"/>
      <c r="B139" s="1" t="s">
        <v>3254</v>
      </c>
      <c r="C139" s="10">
        <v>34770</v>
      </c>
      <c r="D139" s="1">
        <v>1065611</v>
      </c>
      <c r="E139" s="1">
        <f t="shared" ca="1" si="3"/>
        <v>31</v>
      </c>
      <c r="F139" s="8"/>
      <c r="G139" s="8"/>
      <c r="H139" s="8"/>
      <c r="I139" s="8"/>
      <c r="J139" s="8"/>
      <c r="K139" s="8"/>
      <c r="L139" s="8"/>
      <c r="M139" s="8"/>
      <c r="N139" s="8"/>
    </row>
    <row r="140" spans="1:14" x14ac:dyDescent="0.3">
      <c r="A140" s="8"/>
      <c r="B140" s="1" t="s">
        <v>3257</v>
      </c>
      <c r="C140" s="10">
        <v>26785</v>
      </c>
      <c r="D140" s="1">
        <v>2476714</v>
      </c>
      <c r="E140" s="1">
        <f t="shared" ca="1" si="3"/>
        <v>53</v>
      </c>
      <c r="F140" s="8"/>
      <c r="G140" s="8"/>
      <c r="H140" s="8"/>
      <c r="I140" s="8"/>
      <c r="J140" s="8"/>
      <c r="K140" s="8"/>
      <c r="L140" s="8"/>
      <c r="M140" s="8"/>
      <c r="N140" s="8"/>
    </row>
    <row r="141" spans="1:14" x14ac:dyDescent="0.3">
      <c r="A141" s="8" t="s">
        <v>3263</v>
      </c>
      <c r="B141" s="1" t="s">
        <v>3259</v>
      </c>
      <c r="C141" s="10">
        <v>19472</v>
      </c>
      <c r="D141" s="1">
        <v>2822513</v>
      </c>
      <c r="E141" s="1">
        <f t="shared" ca="1" si="3"/>
        <v>73</v>
      </c>
      <c r="F141" s="8"/>
      <c r="G141" s="8"/>
      <c r="H141" s="8"/>
      <c r="I141" s="8"/>
      <c r="J141" s="8"/>
      <c r="K141" s="8"/>
      <c r="L141" s="8"/>
      <c r="M141" s="8"/>
      <c r="N141" s="8"/>
    </row>
    <row r="142" spans="1:14" x14ac:dyDescent="0.3">
      <c r="A142" s="8"/>
      <c r="B142" s="1" t="s">
        <v>3258</v>
      </c>
      <c r="C142" s="10">
        <v>30500</v>
      </c>
      <c r="D142" s="1">
        <v>1124124</v>
      </c>
      <c r="E142" s="1">
        <f t="shared" ca="1" si="3"/>
        <v>43</v>
      </c>
      <c r="F142" s="8"/>
      <c r="G142" s="8"/>
      <c r="H142" s="8"/>
      <c r="I142" s="8"/>
      <c r="J142" s="8"/>
      <c r="K142" s="8"/>
      <c r="L142" s="8"/>
      <c r="M142" s="8"/>
      <c r="N142" s="8"/>
    </row>
    <row r="143" spans="1:14" x14ac:dyDescent="0.3">
      <c r="B143" s="15" t="s">
        <v>3264</v>
      </c>
      <c r="C143" s="16">
        <v>18112</v>
      </c>
      <c r="D143" s="15">
        <v>2074210</v>
      </c>
      <c r="E143" s="15">
        <f t="shared" ca="1" si="3"/>
        <v>77</v>
      </c>
    </row>
    <row r="144" spans="1:14" x14ac:dyDescent="0.3">
      <c r="B144" s="15" t="s">
        <v>3265</v>
      </c>
      <c r="C144" s="16">
        <v>16297</v>
      </c>
      <c r="D144" s="15">
        <v>1476819</v>
      </c>
      <c r="E144" s="15">
        <f t="shared" ca="1" si="3"/>
        <v>82</v>
      </c>
    </row>
    <row r="145" spans="2:5" x14ac:dyDescent="0.3">
      <c r="B145" s="15" t="s">
        <v>3266</v>
      </c>
      <c r="C145" s="16">
        <v>17516</v>
      </c>
      <c r="D145" s="15">
        <v>2476814</v>
      </c>
      <c r="E145" s="15">
        <f t="shared" ca="1" si="3"/>
        <v>79</v>
      </c>
    </row>
    <row r="146" spans="2:5" x14ac:dyDescent="0.3">
      <c r="B146" s="15" t="s">
        <v>2082</v>
      </c>
      <c r="C146" s="16">
        <v>25525</v>
      </c>
      <c r="D146" s="15">
        <v>1067323</v>
      </c>
      <c r="E146" s="15">
        <f t="shared" ca="1" si="3"/>
        <v>57</v>
      </c>
    </row>
    <row r="147" spans="2:5" x14ac:dyDescent="0.3">
      <c r="B147" s="15" t="s">
        <v>1248</v>
      </c>
      <c r="C147" s="16">
        <v>27226</v>
      </c>
      <c r="D147" s="15">
        <v>2520510</v>
      </c>
      <c r="E147" s="15">
        <f t="shared" ca="1" si="3"/>
        <v>52</v>
      </c>
    </row>
    <row r="148" spans="2:5" x14ac:dyDescent="0.3">
      <c r="B148" s="15" t="s">
        <v>3267</v>
      </c>
      <c r="C148" s="16">
        <v>35624</v>
      </c>
      <c r="D148" s="15">
        <v>1064015</v>
      </c>
      <c r="E148" s="15">
        <f t="shared" ca="1" si="3"/>
        <v>29</v>
      </c>
    </row>
    <row r="149" spans="2:5" x14ac:dyDescent="0.3">
      <c r="B149" s="15" t="s">
        <v>1369</v>
      </c>
      <c r="C149" s="16">
        <v>26596</v>
      </c>
      <c r="D149" s="15">
        <v>1642115</v>
      </c>
      <c r="E149" s="15">
        <f t="shared" ca="1" si="3"/>
        <v>54</v>
      </c>
    </row>
    <row r="150" spans="2:5" x14ac:dyDescent="0.3">
      <c r="B150" s="15" t="s">
        <v>1372</v>
      </c>
      <c r="C150" s="16">
        <v>36408</v>
      </c>
      <c r="D150" s="15">
        <v>1419219</v>
      </c>
      <c r="E150" s="15">
        <f t="shared" ca="1" si="3"/>
        <v>27</v>
      </c>
    </row>
    <row r="151" spans="2:5" x14ac:dyDescent="0.3">
      <c r="B151" s="15" t="s">
        <v>1666</v>
      </c>
      <c r="C151" s="16">
        <v>26092</v>
      </c>
      <c r="D151" s="15">
        <v>1951511</v>
      </c>
      <c r="E151" s="15">
        <f t="shared" ca="1" si="3"/>
        <v>55</v>
      </c>
    </row>
    <row r="152" spans="2:5" x14ac:dyDescent="0.3">
      <c r="B152" s="15" t="s">
        <v>1669</v>
      </c>
      <c r="C152" s="16">
        <v>35846</v>
      </c>
      <c r="D152" s="15">
        <v>1951517</v>
      </c>
      <c r="E152" s="15">
        <f t="shared" ca="1" si="3"/>
        <v>28</v>
      </c>
    </row>
    <row r="153" spans="2:5" x14ac:dyDescent="0.3">
      <c r="B153" s="15" t="s">
        <v>1670</v>
      </c>
      <c r="C153" s="16">
        <v>36562</v>
      </c>
      <c r="D153" s="15">
        <v>3951513</v>
      </c>
      <c r="E153" s="15">
        <f t="shared" ca="1" si="3"/>
        <v>26</v>
      </c>
    </row>
    <row r="154" spans="2:5" x14ac:dyDescent="0.3">
      <c r="B154" s="15" t="s">
        <v>2790</v>
      </c>
      <c r="C154" s="16">
        <v>32428</v>
      </c>
      <c r="D154" s="15">
        <v>2081411</v>
      </c>
      <c r="E154" s="15">
        <f t="shared" ca="1" si="3"/>
        <v>38</v>
      </c>
    </row>
    <row r="155" spans="2:5" x14ac:dyDescent="0.3">
      <c r="B155" s="15" t="s">
        <v>2007</v>
      </c>
      <c r="C155" s="16">
        <v>26160</v>
      </c>
      <c r="D155" s="15">
        <v>1469027</v>
      </c>
      <c r="E155" s="15">
        <f t="shared" ca="1" si="3"/>
        <v>55</v>
      </c>
    </row>
    <row r="156" spans="2:5" x14ac:dyDescent="0.3">
      <c r="B156" s="15" t="s">
        <v>2009</v>
      </c>
      <c r="C156" s="16">
        <v>26813</v>
      </c>
      <c r="D156" s="15">
        <v>2031214</v>
      </c>
      <c r="E156" s="15">
        <f t="shared" ca="1" si="3"/>
        <v>53</v>
      </c>
    </row>
    <row r="157" spans="2:5" x14ac:dyDescent="0.3">
      <c r="B157" s="15" t="s">
        <v>2011</v>
      </c>
      <c r="C157" s="16">
        <v>36557</v>
      </c>
      <c r="D157" s="15">
        <v>4449524</v>
      </c>
      <c r="E157" s="15">
        <f t="shared" ca="1" si="3"/>
        <v>26</v>
      </c>
    </row>
    <row r="158" spans="2:5" x14ac:dyDescent="0.3">
      <c r="B158" s="15" t="s">
        <v>2012</v>
      </c>
      <c r="C158" s="16">
        <v>38006</v>
      </c>
      <c r="D158" s="15">
        <v>3407817</v>
      </c>
      <c r="E158" s="15">
        <f t="shared" ca="1" si="3"/>
        <v>22</v>
      </c>
    </row>
    <row r="159" spans="2:5" x14ac:dyDescent="0.3">
      <c r="B159" s="15" t="s">
        <v>1765</v>
      </c>
      <c r="C159" s="16">
        <v>29933</v>
      </c>
      <c r="D159" s="15">
        <v>2648211</v>
      </c>
      <c r="E159" s="15">
        <f t="shared" ca="1" si="3"/>
        <v>45</v>
      </c>
    </row>
    <row r="160" spans="2:5" x14ac:dyDescent="0.3">
      <c r="B160" s="15" t="s">
        <v>1416</v>
      </c>
      <c r="C160" s="16">
        <v>22460</v>
      </c>
      <c r="D160" s="15">
        <v>2953120</v>
      </c>
      <c r="E160" s="15">
        <f t="shared" ca="1" si="3"/>
        <v>65</v>
      </c>
    </row>
    <row r="161" spans="2:5" x14ac:dyDescent="0.3">
      <c r="B161" s="15" t="s">
        <v>1379</v>
      </c>
      <c r="C161" s="16">
        <v>20431</v>
      </c>
      <c r="D161" s="15">
        <v>1009023</v>
      </c>
      <c r="E161" s="15">
        <f t="shared" ca="1" si="3"/>
        <v>71</v>
      </c>
    </row>
    <row r="162" spans="2:5" x14ac:dyDescent="0.3">
      <c r="B162" s="15" t="s">
        <v>1384</v>
      </c>
      <c r="C162" s="16">
        <v>29814</v>
      </c>
      <c r="D162" s="15">
        <v>1009017</v>
      </c>
      <c r="E162" s="15">
        <f t="shared" ref="E162:E225" ca="1" si="4">YEAR(TODAY())-YEAR(C162)</f>
        <v>45</v>
      </c>
    </row>
    <row r="163" spans="2:5" x14ac:dyDescent="0.3">
      <c r="B163" s="15" t="s">
        <v>1386</v>
      </c>
      <c r="C163" s="16">
        <v>32186</v>
      </c>
      <c r="D163" s="15">
        <v>1010615</v>
      </c>
      <c r="E163" s="15">
        <f t="shared" ca="1" si="4"/>
        <v>38</v>
      </c>
    </row>
    <row r="164" spans="2:5" x14ac:dyDescent="0.3">
      <c r="B164" s="15" t="s">
        <v>1436</v>
      </c>
      <c r="C164" s="16">
        <v>22470</v>
      </c>
      <c r="D164" s="15">
        <v>1567513</v>
      </c>
      <c r="E164" s="15">
        <f t="shared" ca="1" si="4"/>
        <v>65</v>
      </c>
    </row>
    <row r="165" spans="2:5" x14ac:dyDescent="0.3">
      <c r="B165" s="15" t="s">
        <v>2551</v>
      </c>
      <c r="C165" s="16">
        <v>23095</v>
      </c>
      <c r="D165" s="15">
        <v>2668633</v>
      </c>
      <c r="E165" s="15">
        <f t="shared" ca="1" si="4"/>
        <v>63</v>
      </c>
    </row>
    <row r="166" spans="2:5" x14ac:dyDescent="0.3">
      <c r="B166" s="7" t="s">
        <v>1681</v>
      </c>
      <c r="C166" s="14">
        <v>22761</v>
      </c>
      <c r="D166" s="7">
        <v>2412014</v>
      </c>
      <c r="E166" s="15">
        <f t="shared" ca="1" si="4"/>
        <v>64</v>
      </c>
    </row>
    <row r="167" spans="2:5" x14ac:dyDescent="0.3">
      <c r="B167" s="7" t="s">
        <v>1684</v>
      </c>
      <c r="C167" s="16">
        <v>21948</v>
      </c>
      <c r="D167" s="7">
        <v>1249712</v>
      </c>
      <c r="E167" s="15">
        <f t="shared" ca="1" si="4"/>
        <v>66</v>
      </c>
    </row>
    <row r="168" spans="2:5" x14ac:dyDescent="0.3">
      <c r="B168" s="7" t="s">
        <v>1105</v>
      </c>
      <c r="C168" s="16">
        <v>32593</v>
      </c>
      <c r="D168" s="7">
        <v>2168713</v>
      </c>
      <c r="E168" s="15">
        <f t="shared" ca="1" si="4"/>
        <v>37</v>
      </c>
    </row>
    <row r="169" spans="2:5" x14ac:dyDescent="0.3">
      <c r="B169" s="7" t="s">
        <v>110</v>
      </c>
      <c r="C169" s="16">
        <v>32781</v>
      </c>
      <c r="D169" s="7">
        <v>1</v>
      </c>
      <c r="E169" s="15">
        <f t="shared" ca="1" si="4"/>
        <v>37</v>
      </c>
    </row>
    <row r="170" spans="2:5" x14ac:dyDescent="0.3">
      <c r="B170" s="7" t="s">
        <v>2765</v>
      </c>
      <c r="C170" s="16">
        <v>33643</v>
      </c>
      <c r="D170" s="7">
        <v>1187511</v>
      </c>
      <c r="E170" s="15">
        <f t="shared" ca="1" si="4"/>
        <v>34</v>
      </c>
    </row>
    <row r="171" spans="2:5" x14ac:dyDescent="0.3">
      <c r="B171" s="7" t="s">
        <v>2767</v>
      </c>
      <c r="C171" s="16">
        <v>32792</v>
      </c>
      <c r="D171" s="7">
        <v>1</v>
      </c>
      <c r="E171" s="15">
        <f t="shared" ca="1" si="4"/>
        <v>37</v>
      </c>
    </row>
    <row r="172" spans="2:5" x14ac:dyDescent="0.3">
      <c r="B172" s="7" t="s">
        <v>2769</v>
      </c>
      <c r="C172" s="16">
        <v>23816</v>
      </c>
      <c r="D172" s="7">
        <v>2</v>
      </c>
      <c r="E172" s="15">
        <f t="shared" ca="1" si="4"/>
        <v>61</v>
      </c>
    </row>
    <row r="173" spans="2:5" x14ac:dyDescent="0.3">
      <c r="B173" s="7" t="s">
        <v>1445</v>
      </c>
      <c r="C173" s="16">
        <v>24828</v>
      </c>
      <c r="D173" s="7">
        <v>1469410</v>
      </c>
      <c r="E173" s="15">
        <f t="shared" ca="1" si="4"/>
        <v>59</v>
      </c>
    </row>
    <row r="174" spans="2:5" x14ac:dyDescent="0.3">
      <c r="B174" s="7" t="s">
        <v>845</v>
      </c>
      <c r="C174" s="16">
        <v>26037</v>
      </c>
      <c r="D174" s="7">
        <v>2470610</v>
      </c>
      <c r="E174" s="15">
        <f t="shared" ca="1" si="4"/>
        <v>55</v>
      </c>
    </row>
    <row r="175" spans="2:5" x14ac:dyDescent="0.3">
      <c r="B175" s="7" t="s">
        <v>2179</v>
      </c>
      <c r="C175" s="16">
        <v>34966</v>
      </c>
      <c r="D175" s="7">
        <v>1412311</v>
      </c>
      <c r="E175" s="15">
        <f t="shared" ca="1" si="4"/>
        <v>31</v>
      </c>
    </row>
    <row r="176" spans="2:5" x14ac:dyDescent="0.3">
      <c r="B176" s="7" t="s">
        <v>842</v>
      </c>
      <c r="C176" s="16">
        <v>32716</v>
      </c>
      <c r="D176" s="7">
        <v>1629725</v>
      </c>
      <c r="E176" s="15">
        <f t="shared" ca="1" si="4"/>
        <v>37</v>
      </c>
    </row>
    <row r="177" spans="2:5" x14ac:dyDescent="0.3">
      <c r="B177" s="7" t="s">
        <v>2775</v>
      </c>
      <c r="C177" s="16">
        <v>25695</v>
      </c>
      <c r="D177" s="7">
        <v>1547529</v>
      </c>
      <c r="E177" s="15">
        <f t="shared" ca="1" si="4"/>
        <v>56</v>
      </c>
    </row>
    <row r="178" spans="2:5" x14ac:dyDescent="0.3">
      <c r="B178" s="7" t="s">
        <v>466</v>
      </c>
      <c r="C178" s="16">
        <v>29262</v>
      </c>
      <c r="D178" s="7">
        <v>2224314</v>
      </c>
      <c r="E178" s="15">
        <f t="shared" ca="1" si="4"/>
        <v>46</v>
      </c>
    </row>
    <row r="179" spans="2:5" x14ac:dyDescent="0.3">
      <c r="B179" s="7" t="s">
        <v>2059</v>
      </c>
      <c r="C179" s="16">
        <v>32442</v>
      </c>
      <c r="D179" s="7">
        <v>1074518</v>
      </c>
      <c r="E179" s="15">
        <f t="shared" ca="1" si="4"/>
        <v>38</v>
      </c>
    </row>
    <row r="180" spans="2:5" x14ac:dyDescent="0.3">
      <c r="B180" s="7" t="s">
        <v>2062</v>
      </c>
      <c r="C180" s="16">
        <v>30900</v>
      </c>
      <c r="D180" s="7">
        <v>2018915</v>
      </c>
      <c r="E180" s="15">
        <f t="shared" ca="1" si="4"/>
        <v>42</v>
      </c>
    </row>
    <row r="181" spans="2:5" x14ac:dyDescent="0.3">
      <c r="B181" s="7" t="s">
        <v>1535</v>
      </c>
      <c r="C181" s="16">
        <v>26683</v>
      </c>
      <c r="D181" s="7">
        <v>1249215</v>
      </c>
      <c r="E181" s="15">
        <f t="shared" ca="1" si="4"/>
        <v>53</v>
      </c>
    </row>
    <row r="182" spans="2:5" x14ac:dyDescent="0.3">
      <c r="B182" s="7" t="s">
        <v>3268</v>
      </c>
      <c r="C182" s="16">
        <v>28182</v>
      </c>
      <c r="D182" s="7">
        <v>2017416</v>
      </c>
      <c r="E182" s="15">
        <f t="shared" ca="1" si="4"/>
        <v>49</v>
      </c>
    </row>
    <row r="183" spans="2:5" x14ac:dyDescent="0.3">
      <c r="B183" s="7" t="s">
        <v>1536</v>
      </c>
      <c r="C183" s="16">
        <v>38824</v>
      </c>
      <c r="D183" s="7">
        <v>3321019</v>
      </c>
      <c r="E183" s="15">
        <f t="shared" ca="1" si="4"/>
        <v>20</v>
      </c>
    </row>
    <row r="184" spans="2:5" x14ac:dyDescent="0.3">
      <c r="B184" s="7" t="s">
        <v>1537</v>
      </c>
      <c r="C184" s="16">
        <v>39482</v>
      </c>
      <c r="D184" s="7">
        <v>3024718</v>
      </c>
      <c r="E184" s="15">
        <f t="shared" ca="1" si="4"/>
        <v>18</v>
      </c>
    </row>
    <row r="185" spans="2:5" x14ac:dyDescent="0.3">
      <c r="B185" s="7" t="s">
        <v>1538</v>
      </c>
      <c r="C185" s="16">
        <v>41529</v>
      </c>
      <c r="D185" s="7">
        <v>4412616</v>
      </c>
      <c r="E185" s="15">
        <f t="shared" ca="1" si="4"/>
        <v>13</v>
      </c>
    </row>
    <row r="186" spans="2:5" x14ac:dyDescent="0.3">
      <c r="B186" s="7" t="s">
        <v>3269</v>
      </c>
      <c r="C186" s="16">
        <v>29535</v>
      </c>
      <c r="D186" s="7">
        <v>2382921</v>
      </c>
      <c r="E186" s="15">
        <f t="shared" ca="1" si="4"/>
        <v>46</v>
      </c>
    </row>
    <row r="187" spans="2:5" x14ac:dyDescent="0.3">
      <c r="B187" s="7" t="s">
        <v>1754</v>
      </c>
      <c r="C187" s="16">
        <v>32345</v>
      </c>
      <c r="D187" s="7">
        <v>1109117</v>
      </c>
      <c r="E187" s="15">
        <f t="shared" ca="1" si="4"/>
        <v>38</v>
      </c>
    </row>
    <row r="188" spans="2:5" x14ac:dyDescent="0.3">
      <c r="B188" s="7" t="s">
        <v>796</v>
      </c>
      <c r="C188" s="16">
        <v>30690</v>
      </c>
      <c r="D188" s="7">
        <v>2222622</v>
      </c>
      <c r="E188" s="15">
        <f t="shared" ca="1" si="4"/>
        <v>42</v>
      </c>
    </row>
    <row r="189" spans="2:5" x14ac:dyDescent="0.3">
      <c r="B189" s="7" t="s">
        <v>793</v>
      </c>
      <c r="C189" s="16">
        <v>30602</v>
      </c>
      <c r="D189" s="7">
        <v>1468439</v>
      </c>
      <c r="E189" s="15">
        <f t="shared" ca="1" si="4"/>
        <v>43</v>
      </c>
    </row>
    <row r="190" spans="2:5" x14ac:dyDescent="0.3">
      <c r="B190" s="7" t="s">
        <v>1190</v>
      </c>
      <c r="C190" s="16">
        <v>28629</v>
      </c>
      <c r="D190" s="7">
        <v>1468611</v>
      </c>
      <c r="E190" s="15">
        <f t="shared" ca="1" si="4"/>
        <v>48</v>
      </c>
    </row>
    <row r="191" spans="2:5" x14ac:dyDescent="0.3">
      <c r="B191" s="7" t="s">
        <v>1598</v>
      </c>
      <c r="C191" s="16">
        <v>29014</v>
      </c>
      <c r="D191" s="7">
        <v>2227519</v>
      </c>
      <c r="E191" s="15">
        <f t="shared" ca="1" si="4"/>
        <v>47</v>
      </c>
    </row>
    <row r="192" spans="2:5" x14ac:dyDescent="0.3">
      <c r="B192" s="7" t="s">
        <v>2802</v>
      </c>
      <c r="C192" s="16">
        <v>26860</v>
      </c>
      <c r="D192" s="7">
        <v>2472416</v>
      </c>
      <c r="E192" s="15">
        <f t="shared" ca="1" si="4"/>
        <v>53</v>
      </c>
    </row>
    <row r="193" spans="2:5" x14ac:dyDescent="0.3">
      <c r="B193" s="7" t="s">
        <v>969</v>
      </c>
      <c r="C193" s="16">
        <v>21616</v>
      </c>
      <c r="D193" s="7">
        <v>1140610</v>
      </c>
      <c r="E193" s="15">
        <f t="shared" ca="1" si="4"/>
        <v>67</v>
      </c>
    </row>
    <row r="194" spans="2:5" x14ac:dyDescent="0.3">
      <c r="B194" s="7" t="s">
        <v>2807</v>
      </c>
      <c r="C194" s="16">
        <v>28834</v>
      </c>
      <c r="D194" s="7">
        <v>2817514</v>
      </c>
      <c r="E194" s="15">
        <f t="shared" ca="1" si="4"/>
        <v>48</v>
      </c>
    </row>
    <row r="195" spans="2:5" x14ac:dyDescent="0.3">
      <c r="B195" s="7" t="s">
        <v>2808</v>
      </c>
      <c r="C195" s="16">
        <v>38835</v>
      </c>
      <c r="D195" s="7">
        <v>3469212</v>
      </c>
      <c r="E195" s="15">
        <f t="shared" ca="1" si="4"/>
        <v>20</v>
      </c>
    </row>
    <row r="196" spans="2:5" x14ac:dyDescent="0.3">
      <c r="B196" s="7" t="s">
        <v>2809</v>
      </c>
      <c r="C196" s="16">
        <v>39416</v>
      </c>
      <c r="D196" s="7">
        <v>3469215</v>
      </c>
      <c r="E196" s="15">
        <f t="shared" ca="1" si="4"/>
        <v>19</v>
      </c>
    </row>
    <row r="197" spans="2:5" x14ac:dyDescent="0.3">
      <c r="B197" s="7" t="s">
        <v>2000</v>
      </c>
      <c r="C197" s="16">
        <v>31921</v>
      </c>
      <c r="D197" s="7">
        <v>2411513</v>
      </c>
      <c r="E197" s="15">
        <f t="shared" ca="1" si="4"/>
        <v>39</v>
      </c>
    </row>
    <row r="198" spans="2:5" x14ac:dyDescent="0.3">
      <c r="B198" s="7" t="s">
        <v>2001</v>
      </c>
      <c r="C198" s="16">
        <v>32722</v>
      </c>
      <c r="D198" s="7">
        <v>2411711</v>
      </c>
      <c r="E198" s="15">
        <f t="shared" ca="1" si="4"/>
        <v>37</v>
      </c>
    </row>
    <row r="199" spans="2:5" x14ac:dyDescent="0.3">
      <c r="B199" s="7" t="s">
        <v>1998</v>
      </c>
      <c r="C199" s="16">
        <v>32577</v>
      </c>
      <c r="D199" s="7">
        <v>1178712</v>
      </c>
      <c r="E199" s="15">
        <f t="shared" ca="1" si="4"/>
        <v>37</v>
      </c>
    </row>
    <row r="200" spans="2:5" x14ac:dyDescent="0.3">
      <c r="B200" s="7" t="s">
        <v>1023</v>
      </c>
      <c r="C200" s="16">
        <v>32072</v>
      </c>
      <c r="D200" s="7">
        <v>2450713</v>
      </c>
      <c r="E200" s="15">
        <f t="shared" ca="1" si="4"/>
        <v>39</v>
      </c>
    </row>
    <row r="201" spans="2:5" x14ac:dyDescent="0.3">
      <c r="B201" s="7" t="s">
        <v>1026</v>
      </c>
      <c r="C201" s="16">
        <v>32201</v>
      </c>
      <c r="D201" s="7">
        <v>1</v>
      </c>
      <c r="E201" s="15">
        <f t="shared" ca="1" si="4"/>
        <v>38</v>
      </c>
    </row>
    <row r="202" spans="2:5" x14ac:dyDescent="0.3">
      <c r="B202" s="7" t="s">
        <v>2427</v>
      </c>
      <c r="C202" s="16">
        <v>24785</v>
      </c>
      <c r="D202" s="7">
        <v>2465211</v>
      </c>
      <c r="E202" s="15">
        <f t="shared" ca="1" si="4"/>
        <v>59</v>
      </c>
    </row>
    <row r="203" spans="2:5" x14ac:dyDescent="0.3">
      <c r="B203" s="7" t="s">
        <v>2432</v>
      </c>
      <c r="C203" s="16">
        <v>38861</v>
      </c>
      <c r="D203" s="7">
        <v>4227829</v>
      </c>
      <c r="E203" s="15">
        <f t="shared" ca="1" si="4"/>
        <v>20</v>
      </c>
    </row>
    <row r="204" spans="2:5" x14ac:dyDescent="0.3">
      <c r="B204" s="7" t="s">
        <v>2433</v>
      </c>
      <c r="C204" s="16">
        <v>36790</v>
      </c>
      <c r="D204" s="7">
        <v>3419316</v>
      </c>
      <c r="E204" s="15">
        <f t="shared" ca="1" si="4"/>
        <v>26</v>
      </c>
    </row>
    <row r="205" spans="2:5" x14ac:dyDescent="0.3">
      <c r="B205" s="7" t="s">
        <v>914</v>
      </c>
      <c r="C205" s="16">
        <v>31472</v>
      </c>
      <c r="D205" s="7">
        <v>1464611</v>
      </c>
      <c r="E205" s="15">
        <f t="shared" ca="1" si="4"/>
        <v>40</v>
      </c>
    </row>
    <row r="206" spans="2:5" x14ac:dyDescent="0.3">
      <c r="B206" s="7" t="s">
        <v>917</v>
      </c>
      <c r="C206" s="16">
        <v>32891</v>
      </c>
      <c r="D206" s="7">
        <v>2328111</v>
      </c>
      <c r="E206" s="15">
        <f t="shared" ca="1" si="4"/>
        <v>36</v>
      </c>
    </row>
    <row r="207" spans="2:5" x14ac:dyDescent="0.3">
      <c r="B207" s="7" t="s">
        <v>896</v>
      </c>
      <c r="C207" s="16">
        <v>32496</v>
      </c>
      <c r="D207" s="7">
        <v>1458515</v>
      </c>
      <c r="E207" s="15">
        <f t="shared" ca="1" si="4"/>
        <v>38</v>
      </c>
    </row>
    <row r="208" spans="2:5" x14ac:dyDescent="0.3">
      <c r="B208" s="7" t="s">
        <v>1732</v>
      </c>
      <c r="C208" s="16">
        <v>32331</v>
      </c>
      <c r="D208" s="7">
        <v>2458517</v>
      </c>
      <c r="E208" s="15">
        <f t="shared" ca="1" si="4"/>
        <v>38</v>
      </c>
    </row>
    <row r="209" spans="5:5" x14ac:dyDescent="0.3">
      <c r="E209" s="15">
        <f t="shared" ca="1" si="4"/>
        <v>126</v>
      </c>
    </row>
    <row r="210" spans="5:5" x14ac:dyDescent="0.3">
      <c r="E210" s="15">
        <f t="shared" ca="1" si="4"/>
        <v>126</v>
      </c>
    </row>
    <row r="211" spans="5:5" x14ac:dyDescent="0.3">
      <c r="E211" s="15">
        <f t="shared" ca="1" si="4"/>
        <v>126</v>
      </c>
    </row>
    <row r="212" spans="5:5" x14ac:dyDescent="0.3">
      <c r="E212" s="15">
        <f t="shared" ca="1" si="4"/>
        <v>126</v>
      </c>
    </row>
    <row r="213" spans="5:5" x14ac:dyDescent="0.3">
      <c r="E213" s="15">
        <f t="shared" ca="1" si="4"/>
        <v>126</v>
      </c>
    </row>
    <row r="214" spans="5:5" x14ac:dyDescent="0.3">
      <c r="E214" s="15">
        <f t="shared" ca="1" si="4"/>
        <v>126</v>
      </c>
    </row>
    <row r="215" spans="5:5" x14ac:dyDescent="0.3">
      <c r="E215" s="15">
        <f t="shared" ca="1" si="4"/>
        <v>126</v>
      </c>
    </row>
    <row r="216" spans="5:5" x14ac:dyDescent="0.3">
      <c r="E216" s="15">
        <f t="shared" ca="1" si="4"/>
        <v>126</v>
      </c>
    </row>
    <row r="217" spans="5:5" x14ac:dyDescent="0.3">
      <c r="E217" s="15">
        <f t="shared" ca="1" si="4"/>
        <v>126</v>
      </c>
    </row>
    <row r="218" spans="5:5" x14ac:dyDescent="0.3">
      <c r="E218" s="15">
        <f t="shared" ca="1" si="4"/>
        <v>126</v>
      </c>
    </row>
    <row r="219" spans="5:5" x14ac:dyDescent="0.3">
      <c r="E219" s="15">
        <f t="shared" ca="1" si="4"/>
        <v>126</v>
      </c>
    </row>
    <row r="220" spans="5:5" x14ac:dyDescent="0.3">
      <c r="E220" s="15">
        <f t="shared" ca="1" si="4"/>
        <v>126</v>
      </c>
    </row>
    <row r="221" spans="5:5" x14ac:dyDescent="0.3">
      <c r="E221" s="15">
        <f t="shared" ca="1" si="4"/>
        <v>126</v>
      </c>
    </row>
    <row r="222" spans="5:5" x14ac:dyDescent="0.3">
      <c r="E222" s="15">
        <f t="shared" ca="1" si="4"/>
        <v>126</v>
      </c>
    </row>
    <row r="223" spans="5:5" x14ac:dyDescent="0.3">
      <c r="E223" s="15">
        <f t="shared" ca="1" si="4"/>
        <v>126</v>
      </c>
    </row>
    <row r="224" spans="5:5" x14ac:dyDescent="0.3">
      <c r="E224" s="15">
        <f t="shared" ca="1" si="4"/>
        <v>126</v>
      </c>
    </row>
    <row r="225" spans="5:5" x14ac:dyDescent="0.3">
      <c r="E225" s="15">
        <f t="shared" ca="1" si="4"/>
        <v>126</v>
      </c>
    </row>
    <row r="226" spans="5:5" x14ac:dyDescent="0.3">
      <c r="E226" s="15">
        <f t="shared" ref="E226:E289" ca="1" si="5">YEAR(TODAY())-YEAR(C226)</f>
        <v>126</v>
      </c>
    </row>
    <row r="227" spans="5:5" x14ac:dyDescent="0.3">
      <c r="E227" s="15">
        <f t="shared" ca="1" si="5"/>
        <v>126</v>
      </c>
    </row>
    <row r="228" spans="5:5" x14ac:dyDescent="0.3">
      <c r="E228" s="15">
        <f t="shared" ca="1" si="5"/>
        <v>126</v>
      </c>
    </row>
    <row r="229" spans="5:5" x14ac:dyDescent="0.3">
      <c r="E229" s="15">
        <f t="shared" ca="1" si="5"/>
        <v>126</v>
      </c>
    </row>
    <row r="230" spans="5:5" x14ac:dyDescent="0.3">
      <c r="E230" s="15">
        <f t="shared" ca="1" si="5"/>
        <v>126</v>
      </c>
    </row>
    <row r="231" spans="5:5" x14ac:dyDescent="0.3">
      <c r="E231" s="15">
        <f t="shared" ca="1" si="5"/>
        <v>126</v>
      </c>
    </row>
    <row r="232" spans="5:5" x14ac:dyDescent="0.3">
      <c r="E232" s="15">
        <f t="shared" ca="1" si="5"/>
        <v>126</v>
      </c>
    </row>
    <row r="233" spans="5:5" x14ac:dyDescent="0.3">
      <c r="E233" s="15">
        <f t="shared" ca="1" si="5"/>
        <v>126</v>
      </c>
    </row>
    <row r="234" spans="5:5" x14ac:dyDescent="0.3">
      <c r="E234" s="15">
        <f t="shared" ca="1" si="5"/>
        <v>126</v>
      </c>
    </row>
    <row r="235" spans="5:5" x14ac:dyDescent="0.3">
      <c r="E235" s="15">
        <f t="shared" ca="1" si="5"/>
        <v>126</v>
      </c>
    </row>
    <row r="236" spans="5:5" x14ac:dyDescent="0.3">
      <c r="E236" s="15">
        <f t="shared" ca="1" si="5"/>
        <v>126</v>
      </c>
    </row>
    <row r="237" spans="5:5" x14ac:dyDescent="0.3">
      <c r="E237" s="15">
        <f t="shared" ca="1" si="5"/>
        <v>126</v>
      </c>
    </row>
    <row r="238" spans="5:5" x14ac:dyDescent="0.3">
      <c r="E238" s="15">
        <f t="shared" ca="1" si="5"/>
        <v>126</v>
      </c>
    </row>
    <row r="239" spans="5:5" x14ac:dyDescent="0.3">
      <c r="E239" s="15">
        <f t="shared" ca="1" si="5"/>
        <v>126</v>
      </c>
    </row>
    <row r="240" spans="5:5" x14ac:dyDescent="0.3">
      <c r="E240" s="15">
        <f t="shared" ca="1" si="5"/>
        <v>126</v>
      </c>
    </row>
    <row r="241" spans="5:5" x14ac:dyDescent="0.3">
      <c r="E241" s="15">
        <f t="shared" ca="1" si="5"/>
        <v>126</v>
      </c>
    </row>
    <row r="242" spans="5:5" x14ac:dyDescent="0.3">
      <c r="E242" s="15">
        <f t="shared" ca="1" si="5"/>
        <v>126</v>
      </c>
    </row>
    <row r="243" spans="5:5" x14ac:dyDescent="0.3">
      <c r="E243" s="15">
        <f t="shared" ca="1" si="5"/>
        <v>126</v>
      </c>
    </row>
    <row r="244" spans="5:5" x14ac:dyDescent="0.3">
      <c r="E244" s="15">
        <f t="shared" ca="1" si="5"/>
        <v>126</v>
      </c>
    </row>
    <row r="245" spans="5:5" x14ac:dyDescent="0.3">
      <c r="E245" s="15">
        <f t="shared" ca="1" si="5"/>
        <v>126</v>
      </c>
    </row>
    <row r="246" spans="5:5" x14ac:dyDescent="0.3">
      <c r="E246" s="15">
        <f t="shared" ca="1" si="5"/>
        <v>126</v>
      </c>
    </row>
    <row r="247" spans="5:5" x14ac:dyDescent="0.3">
      <c r="E247" s="15">
        <f t="shared" ca="1" si="5"/>
        <v>126</v>
      </c>
    </row>
    <row r="248" spans="5:5" x14ac:dyDescent="0.3">
      <c r="E248" s="15">
        <f t="shared" ca="1" si="5"/>
        <v>126</v>
      </c>
    </row>
    <row r="249" spans="5:5" x14ac:dyDescent="0.3">
      <c r="E249" s="15">
        <f t="shared" ca="1" si="5"/>
        <v>126</v>
      </c>
    </row>
    <row r="250" spans="5:5" x14ac:dyDescent="0.3">
      <c r="E250" s="15">
        <f t="shared" ca="1" si="5"/>
        <v>126</v>
      </c>
    </row>
    <row r="251" spans="5:5" x14ac:dyDescent="0.3">
      <c r="E251" s="15">
        <f t="shared" ca="1" si="5"/>
        <v>126</v>
      </c>
    </row>
    <row r="252" spans="5:5" x14ac:dyDescent="0.3">
      <c r="E252" s="15">
        <f t="shared" ca="1" si="5"/>
        <v>126</v>
      </c>
    </row>
    <row r="253" spans="5:5" x14ac:dyDescent="0.3">
      <c r="E253" s="15">
        <f t="shared" ca="1" si="5"/>
        <v>126</v>
      </c>
    </row>
    <row r="254" spans="5:5" x14ac:dyDescent="0.3">
      <c r="E254" s="15">
        <f t="shared" ca="1" si="5"/>
        <v>126</v>
      </c>
    </row>
    <row r="255" spans="5:5" x14ac:dyDescent="0.3">
      <c r="E255" s="15">
        <f t="shared" ca="1" si="5"/>
        <v>126</v>
      </c>
    </row>
    <row r="256" spans="5:5" x14ac:dyDescent="0.3">
      <c r="E256" s="15">
        <f t="shared" ca="1" si="5"/>
        <v>126</v>
      </c>
    </row>
    <row r="257" spans="5:5" x14ac:dyDescent="0.3">
      <c r="E257" s="15">
        <f t="shared" ca="1" si="5"/>
        <v>126</v>
      </c>
    </row>
    <row r="258" spans="5:5" x14ac:dyDescent="0.3">
      <c r="E258" s="15">
        <f t="shared" ca="1" si="5"/>
        <v>126</v>
      </c>
    </row>
    <row r="259" spans="5:5" x14ac:dyDescent="0.3">
      <c r="E259" s="15">
        <f t="shared" ca="1" si="5"/>
        <v>126</v>
      </c>
    </row>
    <row r="260" spans="5:5" x14ac:dyDescent="0.3">
      <c r="E260" s="15">
        <f t="shared" ca="1" si="5"/>
        <v>126</v>
      </c>
    </row>
    <row r="261" spans="5:5" x14ac:dyDescent="0.3">
      <c r="E261" s="15">
        <f t="shared" ca="1" si="5"/>
        <v>126</v>
      </c>
    </row>
    <row r="262" spans="5:5" x14ac:dyDescent="0.3">
      <c r="E262" s="15">
        <f t="shared" ca="1" si="5"/>
        <v>126</v>
      </c>
    </row>
    <row r="263" spans="5:5" x14ac:dyDescent="0.3">
      <c r="E263" s="15">
        <f t="shared" ca="1" si="5"/>
        <v>126</v>
      </c>
    </row>
    <row r="264" spans="5:5" x14ac:dyDescent="0.3">
      <c r="E264" s="15">
        <f t="shared" ca="1" si="5"/>
        <v>126</v>
      </c>
    </row>
    <row r="265" spans="5:5" x14ac:dyDescent="0.3">
      <c r="E265" s="15">
        <f t="shared" ca="1" si="5"/>
        <v>126</v>
      </c>
    </row>
    <row r="266" spans="5:5" x14ac:dyDescent="0.3">
      <c r="E266" s="15">
        <f t="shared" ca="1" si="5"/>
        <v>126</v>
      </c>
    </row>
    <row r="267" spans="5:5" x14ac:dyDescent="0.3">
      <c r="E267" s="15">
        <f t="shared" ca="1" si="5"/>
        <v>126</v>
      </c>
    </row>
    <row r="268" spans="5:5" x14ac:dyDescent="0.3">
      <c r="E268" s="15">
        <f t="shared" ca="1" si="5"/>
        <v>126</v>
      </c>
    </row>
    <row r="269" spans="5:5" x14ac:dyDescent="0.3">
      <c r="E269" s="15">
        <f t="shared" ca="1" si="5"/>
        <v>126</v>
      </c>
    </row>
    <row r="270" spans="5:5" x14ac:dyDescent="0.3">
      <c r="E270" s="15">
        <f t="shared" ca="1" si="5"/>
        <v>126</v>
      </c>
    </row>
    <row r="271" spans="5:5" x14ac:dyDescent="0.3">
      <c r="E271" s="15">
        <f t="shared" ca="1" si="5"/>
        <v>126</v>
      </c>
    </row>
    <row r="272" spans="5:5" x14ac:dyDescent="0.3">
      <c r="E272" s="15">
        <f t="shared" ca="1" si="5"/>
        <v>126</v>
      </c>
    </row>
    <row r="273" spans="5:5" x14ac:dyDescent="0.3">
      <c r="E273" s="15">
        <f t="shared" ca="1" si="5"/>
        <v>126</v>
      </c>
    </row>
    <row r="274" spans="5:5" x14ac:dyDescent="0.3">
      <c r="E274" s="15">
        <f t="shared" ca="1" si="5"/>
        <v>126</v>
      </c>
    </row>
    <row r="275" spans="5:5" x14ac:dyDescent="0.3">
      <c r="E275" s="15">
        <f t="shared" ca="1" si="5"/>
        <v>126</v>
      </c>
    </row>
    <row r="276" spans="5:5" x14ac:dyDescent="0.3">
      <c r="E276" s="15">
        <f t="shared" ca="1" si="5"/>
        <v>126</v>
      </c>
    </row>
    <row r="277" spans="5:5" x14ac:dyDescent="0.3">
      <c r="E277" s="15">
        <f t="shared" ca="1" si="5"/>
        <v>126</v>
      </c>
    </row>
    <row r="278" spans="5:5" x14ac:dyDescent="0.3">
      <c r="E278" s="15">
        <f t="shared" ca="1" si="5"/>
        <v>126</v>
      </c>
    </row>
    <row r="279" spans="5:5" x14ac:dyDescent="0.3">
      <c r="E279" s="15">
        <f t="shared" ca="1" si="5"/>
        <v>126</v>
      </c>
    </row>
    <row r="280" spans="5:5" x14ac:dyDescent="0.3">
      <c r="E280" s="15">
        <f t="shared" ca="1" si="5"/>
        <v>126</v>
      </c>
    </row>
    <row r="281" spans="5:5" x14ac:dyDescent="0.3">
      <c r="E281" s="15">
        <f t="shared" ca="1" si="5"/>
        <v>126</v>
      </c>
    </row>
    <row r="282" spans="5:5" x14ac:dyDescent="0.3">
      <c r="E282" s="15">
        <f t="shared" ca="1" si="5"/>
        <v>126</v>
      </c>
    </row>
    <row r="283" spans="5:5" x14ac:dyDescent="0.3">
      <c r="E283" s="15">
        <f t="shared" ca="1" si="5"/>
        <v>126</v>
      </c>
    </row>
    <row r="284" spans="5:5" x14ac:dyDescent="0.3">
      <c r="E284" s="15">
        <f t="shared" ca="1" si="5"/>
        <v>126</v>
      </c>
    </row>
    <row r="285" spans="5:5" x14ac:dyDescent="0.3">
      <c r="E285" s="15">
        <f t="shared" ca="1" si="5"/>
        <v>126</v>
      </c>
    </row>
    <row r="286" spans="5:5" x14ac:dyDescent="0.3">
      <c r="E286" s="15">
        <f t="shared" ca="1" si="5"/>
        <v>126</v>
      </c>
    </row>
    <row r="287" spans="5:5" x14ac:dyDescent="0.3">
      <c r="E287" s="15">
        <f t="shared" ca="1" si="5"/>
        <v>126</v>
      </c>
    </row>
    <row r="288" spans="5:5" x14ac:dyDescent="0.3">
      <c r="E288" s="15">
        <f t="shared" ca="1" si="5"/>
        <v>126</v>
      </c>
    </row>
    <row r="289" spans="5:5" x14ac:dyDescent="0.3">
      <c r="E289" s="15">
        <f t="shared" ca="1" si="5"/>
        <v>126</v>
      </c>
    </row>
    <row r="290" spans="5:5" x14ac:dyDescent="0.3">
      <c r="E290" s="15">
        <f t="shared" ref="E290:E353" ca="1" si="6">YEAR(TODAY())-YEAR(C290)</f>
        <v>126</v>
      </c>
    </row>
    <row r="291" spans="5:5" x14ac:dyDescent="0.3">
      <c r="E291" s="15">
        <f t="shared" ca="1" si="6"/>
        <v>126</v>
      </c>
    </row>
    <row r="292" spans="5:5" x14ac:dyDescent="0.3">
      <c r="E292" s="15">
        <f t="shared" ca="1" si="6"/>
        <v>126</v>
      </c>
    </row>
    <row r="293" spans="5:5" x14ac:dyDescent="0.3">
      <c r="E293" s="15">
        <f t="shared" ca="1" si="6"/>
        <v>126</v>
      </c>
    </row>
    <row r="294" spans="5:5" x14ac:dyDescent="0.3">
      <c r="E294" s="15">
        <f t="shared" ca="1" si="6"/>
        <v>126</v>
      </c>
    </row>
    <row r="295" spans="5:5" x14ac:dyDescent="0.3">
      <c r="E295" s="15">
        <f t="shared" ca="1" si="6"/>
        <v>126</v>
      </c>
    </row>
    <row r="296" spans="5:5" x14ac:dyDescent="0.3">
      <c r="E296" s="15">
        <f t="shared" ca="1" si="6"/>
        <v>126</v>
      </c>
    </row>
    <row r="297" spans="5:5" x14ac:dyDescent="0.3">
      <c r="E297" s="15">
        <f t="shared" ca="1" si="6"/>
        <v>126</v>
      </c>
    </row>
    <row r="298" spans="5:5" x14ac:dyDescent="0.3">
      <c r="E298" s="15">
        <f t="shared" ca="1" si="6"/>
        <v>126</v>
      </c>
    </row>
    <row r="299" spans="5:5" x14ac:dyDescent="0.3">
      <c r="E299" s="15">
        <f t="shared" ca="1" si="6"/>
        <v>126</v>
      </c>
    </row>
    <row r="300" spans="5:5" x14ac:dyDescent="0.3">
      <c r="E300" s="15">
        <f t="shared" ca="1" si="6"/>
        <v>126</v>
      </c>
    </row>
    <row r="301" spans="5:5" x14ac:dyDescent="0.3">
      <c r="E301" s="15">
        <f t="shared" ca="1" si="6"/>
        <v>126</v>
      </c>
    </row>
    <row r="302" spans="5:5" x14ac:dyDescent="0.3">
      <c r="E302" s="15">
        <f t="shared" ca="1" si="6"/>
        <v>126</v>
      </c>
    </row>
    <row r="303" spans="5:5" x14ac:dyDescent="0.3">
      <c r="E303" s="15">
        <f t="shared" ca="1" si="6"/>
        <v>126</v>
      </c>
    </row>
    <row r="304" spans="5:5" x14ac:dyDescent="0.3">
      <c r="E304" s="15">
        <f t="shared" ca="1" si="6"/>
        <v>126</v>
      </c>
    </row>
    <row r="305" spans="5:5" x14ac:dyDescent="0.3">
      <c r="E305" s="15">
        <f t="shared" ca="1" si="6"/>
        <v>126</v>
      </c>
    </row>
    <row r="306" spans="5:5" x14ac:dyDescent="0.3">
      <c r="E306" s="15">
        <f t="shared" ca="1" si="6"/>
        <v>126</v>
      </c>
    </row>
    <row r="307" spans="5:5" x14ac:dyDescent="0.3">
      <c r="E307" s="15">
        <f t="shared" ca="1" si="6"/>
        <v>126</v>
      </c>
    </row>
    <row r="308" spans="5:5" x14ac:dyDescent="0.3">
      <c r="E308" s="15">
        <f t="shared" ca="1" si="6"/>
        <v>126</v>
      </c>
    </row>
    <row r="309" spans="5:5" x14ac:dyDescent="0.3">
      <c r="E309" s="15">
        <f t="shared" ca="1" si="6"/>
        <v>126</v>
      </c>
    </row>
    <row r="310" spans="5:5" x14ac:dyDescent="0.3">
      <c r="E310" s="15">
        <f t="shared" ca="1" si="6"/>
        <v>126</v>
      </c>
    </row>
    <row r="311" spans="5:5" x14ac:dyDescent="0.3">
      <c r="E311" s="15">
        <f t="shared" ca="1" si="6"/>
        <v>126</v>
      </c>
    </row>
    <row r="312" spans="5:5" x14ac:dyDescent="0.3">
      <c r="E312" s="15">
        <f t="shared" ca="1" si="6"/>
        <v>126</v>
      </c>
    </row>
    <row r="313" spans="5:5" x14ac:dyDescent="0.3">
      <c r="E313" s="15">
        <f t="shared" ca="1" si="6"/>
        <v>126</v>
      </c>
    </row>
    <row r="314" spans="5:5" x14ac:dyDescent="0.3">
      <c r="E314" s="15">
        <f t="shared" ca="1" si="6"/>
        <v>126</v>
      </c>
    </row>
    <row r="315" spans="5:5" x14ac:dyDescent="0.3">
      <c r="E315" s="15">
        <f t="shared" ca="1" si="6"/>
        <v>126</v>
      </c>
    </row>
    <row r="316" spans="5:5" x14ac:dyDescent="0.3">
      <c r="E316" s="15">
        <f t="shared" ca="1" si="6"/>
        <v>126</v>
      </c>
    </row>
    <row r="317" spans="5:5" x14ac:dyDescent="0.3">
      <c r="E317" s="15">
        <f t="shared" ca="1" si="6"/>
        <v>126</v>
      </c>
    </row>
    <row r="318" spans="5:5" x14ac:dyDescent="0.3">
      <c r="E318" s="15">
        <f t="shared" ca="1" si="6"/>
        <v>126</v>
      </c>
    </row>
    <row r="319" spans="5:5" x14ac:dyDescent="0.3">
      <c r="E319" s="15">
        <f t="shared" ca="1" si="6"/>
        <v>126</v>
      </c>
    </row>
    <row r="320" spans="5:5" x14ac:dyDescent="0.3">
      <c r="E320" s="15">
        <f t="shared" ca="1" si="6"/>
        <v>126</v>
      </c>
    </row>
    <row r="321" spans="5:5" x14ac:dyDescent="0.3">
      <c r="E321" s="15">
        <f t="shared" ca="1" si="6"/>
        <v>126</v>
      </c>
    </row>
    <row r="322" spans="5:5" x14ac:dyDescent="0.3">
      <c r="E322" s="15">
        <f t="shared" ca="1" si="6"/>
        <v>126</v>
      </c>
    </row>
    <row r="323" spans="5:5" x14ac:dyDescent="0.3">
      <c r="E323" s="15">
        <f t="shared" ca="1" si="6"/>
        <v>126</v>
      </c>
    </row>
    <row r="324" spans="5:5" x14ac:dyDescent="0.3">
      <c r="E324" s="15">
        <f t="shared" ca="1" si="6"/>
        <v>126</v>
      </c>
    </row>
    <row r="325" spans="5:5" x14ac:dyDescent="0.3">
      <c r="E325" s="15">
        <f t="shared" ca="1" si="6"/>
        <v>126</v>
      </c>
    </row>
    <row r="326" spans="5:5" x14ac:dyDescent="0.3">
      <c r="E326" s="15">
        <f t="shared" ca="1" si="6"/>
        <v>126</v>
      </c>
    </row>
    <row r="327" spans="5:5" x14ac:dyDescent="0.3">
      <c r="E327" s="15">
        <f t="shared" ca="1" si="6"/>
        <v>126</v>
      </c>
    </row>
    <row r="328" spans="5:5" x14ac:dyDescent="0.3">
      <c r="E328" s="15">
        <f t="shared" ca="1" si="6"/>
        <v>126</v>
      </c>
    </row>
    <row r="329" spans="5:5" x14ac:dyDescent="0.3">
      <c r="E329" s="15">
        <f t="shared" ca="1" si="6"/>
        <v>126</v>
      </c>
    </row>
    <row r="330" spans="5:5" x14ac:dyDescent="0.3">
      <c r="E330" s="15">
        <f t="shared" ca="1" si="6"/>
        <v>126</v>
      </c>
    </row>
    <row r="331" spans="5:5" x14ac:dyDescent="0.3">
      <c r="E331" s="15">
        <f t="shared" ca="1" si="6"/>
        <v>126</v>
      </c>
    </row>
    <row r="332" spans="5:5" x14ac:dyDescent="0.3">
      <c r="E332" s="15">
        <f t="shared" ca="1" si="6"/>
        <v>126</v>
      </c>
    </row>
    <row r="333" spans="5:5" x14ac:dyDescent="0.3">
      <c r="E333" s="15">
        <f t="shared" ca="1" si="6"/>
        <v>126</v>
      </c>
    </row>
    <row r="334" spans="5:5" x14ac:dyDescent="0.3">
      <c r="E334" s="15">
        <f t="shared" ca="1" si="6"/>
        <v>126</v>
      </c>
    </row>
    <row r="335" spans="5:5" x14ac:dyDescent="0.3">
      <c r="E335" s="15">
        <f t="shared" ca="1" si="6"/>
        <v>126</v>
      </c>
    </row>
    <row r="336" spans="5:5" x14ac:dyDescent="0.3">
      <c r="E336" s="15">
        <f t="shared" ca="1" si="6"/>
        <v>126</v>
      </c>
    </row>
    <row r="337" spans="5:5" x14ac:dyDescent="0.3">
      <c r="E337" s="15">
        <f t="shared" ca="1" si="6"/>
        <v>126</v>
      </c>
    </row>
    <row r="338" spans="5:5" x14ac:dyDescent="0.3">
      <c r="E338" s="15">
        <f t="shared" ca="1" si="6"/>
        <v>126</v>
      </c>
    </row>
    <row r="339" spans="5:5" x14ac:dyDescent="0.3">
      <c r="E339" s="15">
        <f t="shared" ca="1" si="6"/>
        <v>126</v>
      </c>
    </row>
    <row r="340" spans="5:5" x14ac:dyDescent="0.3">
      <c r="E340" s="15">
        <f t="shared" ca="1" si="6"/>
        <v>126</v>
      </c>
    </row>
    <row r="341" spans="5:5" x14ac:dyDescent="0.3">
      <c r="E341" s="15">
        <f t="shared" ca="1" si="6"/>
        <v>126</v>
      </c>
    </row>
    <row r="342" spans="5:5" x14ac:dyDescent="0.3">
      <c r="E342" s="15">
        <f t="shared" ca="1" si="6"/>
        <v>126</v>
      </c>
    </row>
    <row r="343" spans="5:5" x14ac:dyDescent="0.3">
      <c r="E343" s="15">
        <f t="shared" ca="1" si="6"/>
        <v>126</v>
      </c>
    </row>
    <row r="344" spans="5:5" x14ac:dyDescent="0.3">
      <c r="E344" s="15">
        <f t="shared" ca="1" si="6"/>
        <v>126</v>
      </c>
    </row>
    <row r="345" spans="5:5" x14ac:dyDescent="0.3">
      <c r="E345" s="15">
        <f t="shared" ca="1" si="6"/>
        <v>126</v>
      </c>
    </row>
    <row r="346" spans="5:5" x14ac:dyDescent="0.3">
      <c r="E346" s="15">
        <f t="shared" ca="1" si="6"/>
        <v>126</v>
      </c>
    </row>
    <row r="347" spans="5:5" x14ac:dyDescent="0.3">
      <c r="E347" s="15">
        <f t="shared" ca="1" si="6"/>
        <v>126</v>
      </c>
    </row>
    <row r="348" spans="5:5" x14ac:dyDescent="0.3">
      <c r="E348" s="15">
        <f t="shared" ca="1" si="6"/>
        <v>126</v>
      </c>
    </row>
    <row r="349" spans="5:5" x14ac:dyDescent="0.3">
      <c r="E349" s="15">
        <f t="shared" ca="1" si="6"/>
        <v>126</v>
      </c>
    </row>
    <row r="350" spans="5:5" x14ac:dyDescent="0.3">
      <c r="E350" s="15">
        <f t="shared" ca="1" si="6"/>
        <v>126</v>
      </c>
    </row>
    <row r="351" spans="5:5" x14ac:dyDescent="0.3">
      <c r="E351" s="15">
        <f t="shared" ca="1" si="6"/>
        <v>126</v>
      </c>
    </row>
    <row r="352" spans="5:5" x14ac:dyDescent="0.3">
      <c r="E352" s="15">
        <f t="shared" ca="1" si="6"/>
        <v>126</v>
      </c>
    </row>
    <row r="353" spans="5:5" x14ac:dyDescent="0.3">
      <c r="E353" s="15">
        <f t="shared" ca="1" si="6"/>
        <v>126</v>
      </c>
    </row>
    <row r="354" spans="5:5" x14ac:dyDescent="0.3">
      <c r="E354" s="15">
        <f t="shared" ref="E354:E417" ca="1" si="7">YEAR(TODAY())-YEAR(C354)</f>
        <v>126</v>
      </c>
    </row>
    <row r="355" spans="5:5" x14ac:dyDescent="0.3">
      <c r="E355" s="15">
        <f t="shared" ca="1" si="7"/>
        <v>126</v>
      </c>
    </row>
    <row r="356" spans="5:5" x14ac:dyDescent="0.3">
      <c r="E356" s="15">
        <f t="shared" ca="1" si="7"/>
        <v>126</v>
      </c>
    </row>
    <row r="357" spans="5:5" x14ac:dyDescent="0.3">
      <c r="E357" s="15">
        <f t="shared" ca="1" si="7"/>
        <v>126</v>
      </c>
    </row>
    <row r="358" spans="5:5" x14ac:dyDescent="0.3">
      <c r="E358" s="15">
        <f t="shared" ca="1" si="7"/>
        <v>126</v>
      </c>
    </row>
    <row r="359" spans="5:5" x14ac:dyDescent="0.3">
      <c r="E359" s="15">
        <f t="shared" ca="1" si="7"/>
        <v>126</v>
      </c>
    </row>
    <row r="360" spans="5:5" x14ac:dyDescent="0.3">
      <c r="E360" s="15">
        <f t="shared" ca="1" si="7"/>
        <v>126</v>
      </c>
    </row>
    <row r="361" spans="5:5" x14ac:dyDescent="0.3">
      <c r="E361" s="15">
        <f t="shared" ca="1" si="7"/>
        <v>126</v>
      </c>
    </row>
    <row r="362" spans="5:5" x14ac:dyDescent="0.3">
      <c r="E362" s="15">
        <f t="shared" ca="1" si="7"/>
        <v>126</v>
      </c>
    </row>
    <row r="363" spans="5:5" x14ac:dyDescent="0.3">
      <c r="E363" s="15">
        <f t="shared" ca="1" si="7"/>
        <v>126</v>
      </c>
    </row>
    <row r="364" spans="5:5" x14ac:dyDescent="0.3">
      <c r="E364" s="15">
        <f t="shared" ca="1" si="7"/>
        <v>126</v>
      </c>
    </row>
    <row r="365" spans="5:5" x14ac:dyDescent="0.3">
      <c r="E365" s="15">
        <f t="shared" ca="1" si="7"/>
        <v>126</v>
      </c>
    </row>
    <row r="366" spans="5:5" x14ac:dyDescent="0.3">
      <c r="E366" s="15">
        <f t="shared" ca="1" si="7"/>
        <v>126</v>
      </c>
    </row>
    <row r="367" spans="5:5" x14ac:dyDescent="0.3">
      <c r="E367" s="15">
        <f t="shared" ca="1" si="7"/>
        <v>126</v>
      </c>
    </row>
    <row r="368" spans="5:5" x14ac:dyDescent="0.3">
      <c r="E368" s="15">
        <f t="shared" ca="1" si="7"/>
        <v>126</v>
      </c>
    </row>
    <row r="369" spans="5:5" x14ac:dyDescent="0.3">
      <c r="E369" s="15">
        <f t="shared" ca="1" si="7"/>
        <v>126</v>
      </c>
    </row>
    <row r="370" spans="5:5" x14ac:dyDescent="0.3">
      <c r="E370" s="15">
        <f t="shared" ca="1" si="7"/>
        <v>126</v>
      </c>
    </row>
    <row r="371" spans="5:5" x14ac:dyDescent="0.3">
      <c r="E371" s="15">
        <f t="shared" ca="1" si="7"/>
        <v>126</v>
      </c>
    </row>
    <row r="372" spans="5:5" x14ac:dyDescent="0.3">
      <c r="E372" s="15">
        <f t="shared" ca="1" si="7"/>
        <v>126</v>
      </c>
    </row>
    <row r="373" spans="5:5" x14ac:dyDescent="0.3">
      <c r="E373" s="15">
        <f t="shared" ca="1" si="7"/>
        <v>126</v>
      </c>
    </row>
    <row r="374" spans="5:5" x14ac:dyDescent="0.3">
      <c r="E374" s="15">
        <f t="shared" ca="1" si="7"/>
        <v>126</v>
      </c>
    </row>
    <row r="375" spans="5:5" x14ac:dyDescent="0.3">
      <c r="E375" s="15">
        <f t="shared" ca="1" si="7"/>
        <v>126</v>
      </c>
    </row>
    <row r="376" spans="5:5" x14ac:dyDescent="0.3">
      <c r="E376" s="15">
        <f t="shared" ca="1" si="7"/>
        <v>126</v>
      </c>
    </row>
    <row r="377" spans="5:5" x14ac:dyDescent="0.3">
      <c r="E377" s="15">
        <f t="shared" ca="1" si="7"/>
        <v>126</v>
      </c>
    </row>
    <row r="378" spans="5:5" x14ac:dyDescent="0.3">
      <c r="E378" s="15">
        <f t="shared" ca="1" si="7"/>
        <v>126</v>
      </c>
    </row>
    <row r="379" spans="5:5" x14ac:dyDescent="0.3">
      <c r="E379" s="15">
        <f t="shared" ca="1" si="7"/>
        <v>126</v>
      </c>
    </row>
    <row r="380" spans="5:5" x14ac:dyDescent="0.3">
      <c r="E380" s="15">
        <f t="shared" ca="1" si="7"/>
        <v>126</v>
      </c>
    </row>
    <row r="381" spans="5:5" x14ac:dyDescent="0.3">
      <c r="E381" s="15">
        <f t="shared" ca="1" si="7"/>
        <v>126</v>
      </c>
    </row>
    <row r="382" spans="5:5" x14ac:dyDescent="0.3">
      <c r="E382" s="15">
        <f t="shared" ca="1" si="7"/>
        <v>126</v>
      </c>
    </row>
    <row r="383" spans="5:5" x14ac:dyDescent="0.3">
      <c r="E383" s="15">
        <f t="shared" ca="1" si="7"/>
        <v>126</v>
      </c>
    </row>
    <row r="384" spans="5:5" x14ac:dyDescent="0.3">
      <c r="E384" s="15">
        <f t="shared" ca="1" si="7"/>
        <v>126</v>
      </c>
    </row>
    <row r="385" spans="5:5" x14ac:dyDescent="0.3">
      <c r="E385" s="15">
        <f t="shared" ca="1" si="7"/>
        <v>126</v>
      </c>
    </row>
    <row r="386" spans="5:5" x14ac:dyDescent="0.3">
      <c r="E386" s="15">
        <f t="shared" ca="1" si="7"/>
        <v>126</v>
      </c>
    </row>
    <row r="387" spans="5:5" x14ac:dyDescent="0.3">
      <c r="E387" s="15">
        <f t="shared" ca="1" si="7"/>
        <v>126</v>
      </c>
    </row>
    <row r="388" spans="5:5" x14ac:dyDescent="0.3">
      <c r="E388" s="15">
        <f t="shared" ca="1" si="7"/>
        <v>126</v>
      </c>
    </row>
    <row r="389" spans="5:5" x14ac:dyDescent="0.3">
      <c r="E389" s="15">
        <f t="shared" ca="1" si="7"/>
        <v>126</v>
      </c>
    </row>
    <row r="390" spans="5:5" x14ac:dyDescent="0.3">
      <c r="E390" s="15">
        <f t="shared" ca="1" si="7"/>
        <v>126</v>
      </c>
    </row>
    <row r="391" spans="5:5" x14ac:dyDescent="0.3">
      <c r="E391" s="15">
        <f t="shared" ca="1" si="7"/>
        <v>126</v>
      </c>
    </row>
    <row r="392" spans="5:5" x14ac:dyDescent="0.3">
      <c r="E392" s="15">
        <f t="shared" ca="1" si="7"/>
        <v>126</v>
      </c>
    </row>
    <row r="393" spans="5:5" x14ac:dyDescent="0.3">
      <c r="E393" s="15">
        <f t="shared" ca="1" si="7"/>
        <v>126</v>
      </c>
    </row>
    <row r="394" spans="5:5" x14ac:dyDescent="0.3">
      <c r="E394" s="15">
        <f t="shared" ca="1" si="7"/>
        <v>126</v>
      </c>
    </row>
    <row r="395" spans="5:5" x14ac:dyDescent="0.3">
      <c r="E395" s="15">
        <f t="shared" ca="1" si="7"/>
        <v>126</v>
      </c>
    </row>
    <row r="396" spans="5:5" x14ac:dyDescent="0.3">
      <c r="E396" s="15">
        <f t="shared" ca="1" si="7"/>
        <v>126</v>
      </c>
    </row>
    <row r="397" spans="5:5" x14ac:dyDescent="0.3">
      <c r="E397" s="15">
        <f t="shared" ca="1" si="7"/>
        <v>126</v>
      </c>
    </row>
    <row r="398" spans="5:5" x14ac:dyDescent="0.3">
      <c r="E398" s="15">
        <f t="shared" ca="1" si="7"/>
        <v>126</v>
      </c>
    </row>
    <row r="399" spans="5:5" x14ac:dyDescent="0.3">
      <c r="E399" s="15">
        <f t="shared" ca="1" si="7"/>
        <v>126</v>
      </c>
    </row>
    <row r="400" spans="5:5" x14ac:dyDescent="0.3">
      <c r="E400" s="15">
        <f t="shared" ca="1" si="7"/>
        <v>126</v>
      </c>
    </row>
    <row r="401" spans="5:5" x14ac:dyDescent="0.3">
      <c r="E401" s="15">
        <f t="shared" ca="1" si="7"/>
        <v>126</v>
      </c>
    </row>
    <row r="402" spans="5:5" x14ac:dyDescent="0.3">
      <c r="E402" s="15">
        <f t="shared" ca="1" si="7"/>
        <v>126</v>
      </c>
    </row>
    <row r="403" spans="5:5" x14ac:dyDescent="0.3">
      <c r="E403" s="15">
        <f t="shared" ca="1" si="7"/>
        <v>126</v>
      </c>
    </row>
    <row r="404" spans="5:5" x14ac:dyDescent="0.3">
      <c r="E404" s="15">
        <f t="shared" ca="1" si="7"/>
        <v>126</v>
      </c>
    </row>
    <row r="405" spans="5:5" x14ac:dyDescent="0.3">
      <c r="E405" s="15">
        <f t="shared" ca="1" si="7"/>
        <v>126</v>
      </c>
    </row>
    <row r="406" spans="5:5" x14ac:dyDescent="0.3">
      <c r="E406" s="15">
        <f t="shared" ca="1" si="7"/>
        <v>126</v>
      </c>
    </row>
    <row r="407" spans="5:5" x14ac:dyDescent="0.3">
      <c r="E407" s="15">
        <f t="shared" ca="1" si="7"/>
        <v>126</v>
      </c>
    </row>
    <row r="408" spans="5:5" x14ac:dyDescent="0.3">
      <c r="E408" s="15">
        <f t="shared" ca="1" si="7"/>
        <v>126</v>
      </c>
    </row>
    <row r="409" spans="5:5" x14ac:dyDescent="0.3">
      <c r="E409" s="15">
        <f t="shared" ca="1" si="7"/>
        <v>126</v>
      </c>
    </row>
    <row r="410" spans="5:5" x14ac:dyDescent="0.3">
      <c r="E410" s="15">
        <f t="shared" ca="1" si="7"/>
        <v>126</v>
      </c>
    </row>
    <row r="411" spans="5:5" x14ac:dyDescent="0.3">
      <c r="E411" s="15">
        <f t="shared" ca="1" si="7"/>
        <v>126</v>
      </c>
    </row>
    <row r="412" spans="5:5" x14ac:dyDescent="0.3">
      <c r="E412" s="15">
        <f t="shared" ca="1" si="7"/>
        <v>126</v>
      </c>
    </row>
    <row r="413" spans="5:5" x14ac:dyDescent="0.3">
      <c r="E413" s="15">
        <f t="shared" ca="1" si="7"/>
        <v>126</v>
      </c>
    </row>
    <row r="414" spans="5:5" x14ac:dyDescent="0.3">
      <c r="E414" s="15">
        <f t="shared" ca="1" si="7"/>
        <v>126</v>
      </c>
    </row>
    <row r="415" spans="5:5" x14ac:dyDescent="0.3">
      <c r="E415" s="15">
        <f t="shared" ca="1" si="7"/>
        <v>126</v>
      </c>
    </row>
    <row r="416" spans="5:5" x14ac:dyDescent="0.3">
      <c r="E416" s="15">
        <f t="shared" ca="1" si="7"/>
        <v>126</v>
      </c>
    </row>
    <row r="417" spans="5:5" x14ac:dyDescent="0.3">
      <c r="E417" s="15">
        <f t="shared" ca="1" si="7"/>
        <v>126</v>
      </c>
    </row>
    <row r="418" spans="5:5" x14ac:dyDescent="0.3">
      <c r="E418" s="15">
        <f t="shared" ref="E418:E481" ca="1" si="8">YEAR(TODAY())-YEAR(C418)</f>
        <v>126</v>
      </c>
    </row>
    <row r="419" spans="5:5" x14ac:dyDescent="0.3">
      <c r="E419" s="15">
        <f t="shared" ca="1" si="8"/>
        <v>126</v>
      </c>
    </row>
    <row r="420" spans="5:5" x14ac:dyDescent="0.3">
      <c r="E420" s="15">
        <f t="shared" ca="1" si="8"/>
        <v>126</v>
      </c>
    </row>
    <row r="421" spans="5:5" x14ac:dyDescent="0.3">
      <c r="E421" s="15">
        <f t="shared" ca="1" si="8"/>
        <v>126</v>
      </c>
    </row>
    <row r="422" spans="5:5" x14ac:dyDescent="0.3">
      <c r="E422" s="15">
        <f t="shared" ca="1" si="8"/>
        <v>126</v>
      </c>
    </row>
    <row r="423" spans="5:5" x14ac:dyDescent="0.3">
      <c r="E423" s="15">
        <f t="shared" ca="1" si="8"/>
        <v>126</v>
      </c>
    </row>
    <row r="424" spans="5:5" x14ac:dyDescent="0.3">
      <c r="E424" s="15">
        <f t="shared" ca="1" si="8"/>
        <v>126</v>
      </c>
    </row>
    <row r="425" spans="5:5" x14ac:dyDescent="0.3">
      <c r="E425" s="15">
        <f t="shared" ca="1" si="8"/>
        <v>126</v>
      </c>
    </row>
    <row r="426" spans="5:5" x14ac:dyDescent="0.3">
      <c r="E426" s="15">
        <f t="shared" ca="1" si="8"/>
        <v>126</v>
      </c>
    </row>
    <row r="427" spans="5:5" x14ac:dyDescent="0.3">
      <c r="E427" s="15">
        <f t="shared" ca="1" si="8"/>
        <v>126</v>
      </c>
    </row>
    <row r="428" spans="5:5" x14ac:dyDescent="0.3">
      <c r="E428" s="15">
        <f t="shared" ca="1" si="8"/>
        <v>126</v>
      </c>
    </row>
    <row r="429" spans="5:5" x14ac:dyDescent="0.3">
      <c r="E429" s="15">
        <f t="shared" ca="1" si="8"/>
        <v>126</v>
      </c>
    </row>
    <row r="430" spans="5:5" x14ac:dyDescent="0.3">
      <c r="E430" s="15">
        <f t="shared" ca="1" si="8"/>
        <v>126</v>
      </c>
    </row>
    <row r="431" spans="5:5" x14ac:dyDescent="0.3">
      <c r="E431" s="15">
        <f t="shared" ca="1" si="8"/>
        <v>126</v>
      </c>
    </row>
    <row r="432" spans="5:5" x14ac:dyDescent="0.3">
      <c r="E432" s="15">
        <f t="shared" ca="1" si="8"/>
        <v>126</v>
      </c>
    </row>
    <row r="433" spans="5:5" x14ac:dyDescent="0.3">
      <c r="E433" s="15">
        <f t="shared" ca="1" si="8"/>
        <v>126</v>
      </c>
    </row>
    <row r="434" spans="5:5" x14ac:dyDescent="0.3">
      <c r="E434" s="15">
        <f t="shared" ca="1" si="8"/>
        <v>126</v>
      </c>
    </row>
    <row r="435" spans="5:5" x14ac:dyDescent="0.3">
      <c r="E435" s="15">
        <f t="shared" ca="1" si="8"/>
        <v>126</v>
      </c>
    </row>
    <row r="436" spans="5:5" x14ac:dyDescent="0.3">
      <c r="E436" s="15">
        <f t="shared" ca="1" si="8"/>
        <v>126</v>
      </c>
    </row>
    <row r="437" spans="5:5" x14ac:dyDescent="0.3">
      <c r="E437" s="15">
        <f t="shared" ca="1" si="8"/>
        <v>126</v>
      </c>
    </row>
    <row r="438" spans="5:5" x14ac:dyDescent="0.3">
      <c r="E438" s="15">
        <f t="shared" ca="1" si="8"/>
        <v>126</v>
      </c>
    </row>
    <row r="439" spans="5:5" x14ac:dyDescent="0.3">
      <c r="E439" s="15">
        <f t="shared" ca="1" si="8"/>
        <v>126</v>
      </c>
    </row>
    <row r="440" spans="5:5" x14ac:dyDescent="0.3">
      <c r="E440" s="15">
        <f t="shared" ca="1" si="8"/>
        <v>126</v>
      </c>
    </row>
    <row r="441" spans="5:5" x14ac:dyDescent="0.3">
      <c r="E441" s="15">
        <f t="shared" ca="1" si="8"/>
        <v>126</v>
      </c>
    </row>
    <row r="442" spans="5:5" x14ac:dyDescent="0.3">
      <c r="E442" s="15">
        <f t="shared" ca="1" si="8"/>
        <v>126</v>
      </c>
    </row>
    <row r="443" spans="5:5" x14ac:dyDescent="0.3">
      <c r="E443" s="15">
        <f t="shared" ca="1" si="8"/>
        <v>126</v>
      </c>
    </row>
    <row r="444" spans="5:5" x14ac:dyDescent="0.3">
      <c r="E444" s="15">
        <f t="shared" ca="1" si="8"/>
        <v>126</v>
      </c>
    </row>
    <row r="445" spans="5:5" x14ac:dyDescent="0.3">
      <c r="E445" s="15">
        <f t="shared" ca="1" si="8"/>
        <v>126</v>
      </c>
    </row>
    <row r="446" spans="5:5" x14ac:dyDescent="0.3">
      <c r="E446" s="15">
        <f t="shared" ca="1" si="8"/>
        <v>126</v>
      </c>
    </row>
    <row r="447" spans="5:5" x14ac:dyDescent="0.3">
      <c r="E447" s="15">
        <f t="shared" ca="1" si="8"/>
        <v>126</v>
      </c>
    </row>
    <row r="448" spans="5:5" x14ac:dyDescent="0.3">
      <c r="E448" s="15">
        <f t="shared" ca="1" si="8"/>
        <v>126</v>
      </c>
    </row>
    <row r="449" spans="5:5" x14ac:dyDescent="0.3">
      <c r="E449" s="15">
        <f t="shared" ca="1" si="8"/>
        <v>126</v>
      </c>
    </row>
    <row r="450" spans="5:5" x14ac:dyDescent="0.3">
      <c r="E450" s="15">
        <f t="shared" ca="1" si="8"/>
        <v>126</v>
      </c>
    </row>
    <row r="451" spans="5:5" x14ac:dyDescent="0.3">
      <c r="E451" s="15">
        <f t="shared" ca="1" si="8"/>
        <v>126</v>
      </c>
    </row>
    <row r="452" spans="5:5" x14ac:dyDescent="0.3">
      <c r="E452" s="15">
        <f t="shared" ca="1" si="8"/>
        <v>126</v>
      </c>
    </row>
    <row r="453" spans="5:5" x14ac:dyDescent="0.3">
      <c r="E453" s="15">
        <f t="shared" ca="1" si="8"/>
        <v>126</v>
      </c>
    </row>
    <row r="454" spans="5:5" x14ac:dyDescent="0.3">
      <c r="E454" s="15">
        <f t="shared" ca="1" si="8"/>
        <v>126</v>
      </c>
    </row>
    <row r="455" spans="5:5" x14ac:dyDescent="0.3">
      <c r="E455" s="15">
        <f t="shared" ca="1" si="8"/>
        <v>126</v>
      </c>
    </row>
    <row r="456" spans="5:5" x14ac:dyDescent="0.3">
      <c r="E456" s="15">
        <f t="shared" ca="1" si="8"/>
        <v>126</v>
      </c>
    </row>
    <row r="457" spans="5:5" x14ac:dyDescent="0.3">
      <c r="E457" s="15">
        <f t="shared" ca="1" si="8"/>
        <v>126</v>
      </c>
    </row>
    <row r="458" spans="5:5" x14ac:dyDescent="0.3">
      <c r="E458" s="15">
        <f t="shared" ca="1" si="8"/>
        <v>126</v>
      </c>
    </row>
    <row r="459" spans="5:5" x14ac:dyDescent="0.3">
      <c r="E459" s="15">
        <f t="shared" ca="1" si="8"/>
        <v>126</v>
      </c>
    </row>
    <row r="460" spans="5:5" x14ac:dyDescent="0.3">
      <c r="E460" s="15">
        <f t="shared" ca="1" si="8"/>
        <v>126</v>
      </c>
    </row>
    <row r="461" spans="5:5" x14ac:dyDescent="0.3">
      <c r="E461" s="15">
        <f t="shared" ca="1" si="8"/>
        <v>126</v>
      </c>
    </row>
    <row r="462" spans="5:5" x14ac:dyDescent="0.3">
      <c r="E462" s="15">
        <f t="shared" ca="1" si="8"/>
        <v>126</v>
      </c>
    </row>
    <row r="463" spans="5:5" x14ac:dyDescent="0.3">
      <c r="E463" s="15">
        <f t="shared" ca="1" si="8"/>
        <v>126</v>
      </c>
    </row>
    <row r="464" spans="5:5" x14ac:dyDescent="0.3">
      <c r="E464" s="15">
        <f t="shared" ca="1" si="8"/>
        <v>126</v>
      </c>
    </row>
    <row r="465" spans="5:5" x14ac:dyDescent="0.3">
      <c r="E465" s="15">
        <f t="shared" ca="1" si="8"/>
        <v>126</v>
      </c>
    </row>
    <row r="466" spans="5:5" x14ac:dyDescent="0.3">
      <c r="E466" s="15">
        <f t="shared" ca="1" si="8"/>
        <v>126</v>
      </c>
    </row>
    <row r="467" spans="5:5" x14ac:dyDescent="0.3">
      <c r="E467" s="15">
        <f t="shared" ca="1" si="8"/>
        <v>126</v>
      </c>
    </row>
    <row r="468" spans="5:5" x14ac:dyDescent="0.3">
      <c r="E468" s="15">
        <f t="shared" ca="1" si="8"/>
        <v>126</v>
      </c>
    </row>
    <row r="469" spans="5:5" x14ac:dyDescent="0.3">
      <c r="E469" s="15">
        <f t="shared" ca="1" si="8"/>
        <v>126</v>
      </c>
    </row>
    <row r="470" spans="5:5" x14ac:dyDescent="0.3">
      <c r="E470" s="15">
        <f t="shared" ca="1" si="8"/>
        <v>126</v>
      </c>
    </row>
    <row r="471" spans="5:5" x14ac:dyDescent="0.3">
      <c r="E471" s="15">
        <f t="shared" ca="1" si="8"/>
        <v>126</v>
      </c>
    </row>
    <row r="472" spans="5:5" x14ac:dyDescent="0.3">
      <c r="E472" s="15">
        <f t="shared" ca="1" si="8"/>
        <v>126</v>
      </c>
    </row>
    <row r="473" spans="5:5" x14ac:dyDescent="0.3">
      <c r="E473" s="15">
        <f t="shared" ca="1" si="8"/>
        <v>126</v>
      </c>
    </row>
    <row r="474" spans="5:5" x14ac:dyDescent="0.3">
      <c r="E474" s="15">
        <f t="shared" ca="1" si="8"/>
        <v>126</v>
      </c>
    </row>
    <row r="475" spans="5:5" x14ac:dyDescent="0.3">
      <c r="E475" s="15">
        <f t="shared" ca="1" si="8"/>
        <v>126</v>
      </c>
    </row>
    <row r="476" spans="5:5" x14ac:dyDescent="0.3">
      <c r="E476" s="15">
        <f t="shared" ca="1" si="8"/>
        <v>126</v>
      </c>
    </row>
    <row r="477" spans="5:5" x14ac:dyDescent="0.3">
      <c r="E477" s="15">
        <f t="shared" ca="1" si="8"/>
        <v>126</v>
      </c>
    </row>
    <row r="478" spans="5:5" x14ac:dyDescent="0.3">
      <c r="E478" s="15">
        <f t="shared" ca="1" si="8"/>
        <v>126</v>
      </c>
    </row>
    <row r="479" spans="5:5" x14ac:dyDescent="0.3">
      <c r="E479" s="15">
        <f t="shared" ca="1" si="8"/>
        <v>126</v>
      </c>
    </row>
    <row r="480" spans="5:5" x14ac:dyDescent="0.3">
      <c r="E480" s="15">
        <f t="shared" ca="1" si="8"/>
        <v>126</v>
      </c>
    </row>
    <row r="481" spans="5:5" x14ac:dyDescent="0.3">
      <c r="E481" s="15">
        <f t="shared" ca="1" si="8"/>
        <v>126</v>
      </c>
    </row>
    <row r="482" spans="5:5" x14ac:dyDescent="0.3">
      <c r="E482" s="15">
        <f t="shared" ref="E482:E526" ca="1" si="9">YEAR(TODAY())-YEAR(C482)</f>
        <v>126</v>
      </c>
    </row>
    <row r="483" spans="5:5" x14ac:dyDescent="0.3">
      <c r="E483" s="15">
        <f t="shared" ca="1" si="9"/>
        <v>126</v>
      </c>
    </row>
    <row r="484" spans="5:5" x14ac:dyDescent="0.3">
      <c r="E484" s="15">
        <f t="shared" ca="1" si="9"/>
        <v>126</v>
      </c>
    </row>
    <row r="485" spans="5:5" x14ac:dyDescent="0.3">
      <c r="E485" s="15">
        <f t="shared" ca="1" si="9"/>
        <v>126</v>
      </c>
    </row>
    <row r="486" spans="5:5" x14ac:dyDescent="0.3">
      <c r="E486" s="15">
        <f t="shared" ca="1" si="9"/>
        <v>126</v>
      </c>
    </row>
    <row r="487" spans="5:5" x14ac:dyDescent="0.3">
      <c r="E487" s="15">
        <f t="shared" ca="1" si="9"/>
        <v>126</v>
      </c>
    </row>
    <row r="488" spans="5:5" x14ac:dyDescent="0.3">
      <c r="E488" s="15">
        <f t="shared" ca="1" si="9"/>
        <v>126</v>
      </c>
    </row>
    <row r="489" spans="5:5" x14ac:dyDescent="0.3">
      <c r="E489" s="15">
        <f t="shared" ca="1" si="9"/>
        <v>126</v>
      </c>
    </row>
    <row r="490" spans="5:5" x14ac:dyDescent="0.3">
      <c r="E490" s="15">
        <f t="shared" ca="1" si="9"/>
        <v>126</v>
      </c>
    </row>
    <row r="491" spans="5:5" x14ac:dyDescent="0.3">
      <c r="E491" s="15">
        <f t="shared" ca="1" si="9"/>
        <v>126</v>
      </c>
    </row>
    <row r="492" spans="5:5" x14ac:dyDescent="0.3">
      <c r="E492" s="15">
        <f t="shared" ca="1" si="9"/>
        <v>126</v>
      </c>
    </row>
    <row r="493" spans="5:5" x14ac:dyDescent="0.3">
      <c r="E493" s="15">
        <f t="shared" ca="1" si="9"/>
        <v>126</v>
      </c>
    </row>
    <row r="494" spans="5:5" x14ac:dyDescent="0.3">
      <c r="E494" s="15">
        <f t="shared" ca="1" si="9"/>
        <v>126</v>
      </c>
    </row>
    <row r="495" spans="5:5" x14ac:dyDescent="0.3">
      <c r="E495" s="15">
        <f t="shared" ca="1" si="9"/>
        <v>126</v>
      </c>
    </row>
    <row r="496" spans="5:5" x14ac:dyDescent="0.3">
      <c r="E496" s="15">
        <f t="shared" ca="1" si="9"/>
        <v>126</v>
      </c>
    </row>
    <row r="497" spans="5:5" x14ac:dyDescent="0.3">
      <c r="E497" s="15">
        <f t="shared" ca="1" si="9"/>
        <v>126</v>
      </c>
    </row>
    <row r="498" spans="5:5" x14ac:dyDescent="0.3">
      <c r="E498" s="15">
        <f t="shared" ca="1" si="9"/>
        <v>126</v>
      </c>
    </row>
    <row r="499" spans="5:5" x14ac:dyDescent="0.3">
      <c r="E499" s="15">
        <f t="shared" ca="1" si="9"/>
        <v>126</v>
      </c>
    </row>
    <row r="500" spans="5:5" x14ac:dyDescent="0.3">
      <c r="E500" s="15">
        <f t="shared" ca="1" si="9"/>
        <v>126</v>
      </c>
    </row>
    <row r="501" spans="5:5" x14ac:dyDescent="0.3">
      <c r="E501" s="15">
        <f t="shared" ca="1" si="9"/>
        <v>126</v>
      </c>
    </row>
    <row r="502" spans="5:5" x14ac:dyDescent="0.3">
      <c r="E502" s="15">
        <f t="shared" ca="1" si="9"/>
        <v>126</v>
      </c>
    </row>
    <row r="503" spans="5:5" x14ac:dyDescent="0.3">
      <c r="E503" s="15">
        <f t="shared" ca="1" si="9"/>
        <v>126</v>
      </c>
    </row>
    <row r="504" spans="5:5" x14ac:dyDescent="0.3">
      <c r="E504" s="15">
        <f t="shared" ca="1" si="9"/>
        <v>126</v>
      </c>
    </row>
    <row r="505" spans="5:5" x14ac:dyDescent="0.3">
      <c r="E505" s="15">
        <f t="shared" ca="1" si="9"/>
        <v>126</v>
      </c>
    </row>
    <row r="506" spans="5:5" x14ac:dyDescent="0.3">
      <c r="E506" s="15">
        <f t="shared" ca="1" si="9"/>
        <v>126</v>
      </c>
    </row>
    <row r="507" spans="5:5" x14ac:dyDescent="0.3">
      <c r="E507" s="15">
        <f t="shared" ca="1" si="9"/>
        <v>126</v>
      </c>
    </row>
    <row r="508" spans="5:5" x14ac:dyDescent="0.3">
      <c r="E508" s="15">
        <f t="shared" ca="1" si="9"/>
        <v>126</v>
      </c>
    </row>
    <row r="509" spans="5:5" x14ac:dyDescent="0.3">
      <c r="E509" s="15">
        <f t="shared" ca="1" si="9"/>
        <v>126</v>
      </c>
    </row>
    <row r="510" spans="5:5" x14ac:dyDescent="0.3">
      <c r="E510" s="15">
        <f t="shared" ca="1" si="9"/>
        <v>126</v>
      </c>
    </row>
    <row r="511" spans="5:5" x14ac:dyDescent="0.3">
      <c r="E511" s="15">
        <f t="shared" ca="1" si="9"/>
        <v>126</v>
      </c>
    </row>
    <row r="512" spans="5:5" x14ac:dyDescent="0.3">
      <c r="E512" s="15">
        <f t="shared" ca="1" si="9"/>
        <v>126</v>
      </c>
    </row>
    <row r="513" spans="5:5" x14ac:dyDescent="0.3">
      <c r="E513" s="15">
        <f t="shared" ca="1" si="9"/>
        <v>126</v>
      </c>
    </row>
    <row r="514" spans="5:5" x14ac:dyDescent="0.3">
      <c r="E514" s="15">
        <f t="shared" ca="1" si="9"/>
        <v>126</v>
      </c>
    </row>
    <row r="515" spans="5:5" x14ac:dyDescent="0.3">
      <c r="E515" s="15">
        <f t="shared" ca="1" si="9"/>
        <v>126</v>
      </c>
    </row>
    <row r="516" spans="5:5" x14ac:dyDescent="0.3">
      <c r="E516" s="15">
        <f t="shared" ca="1" si="9"/>
        <v>126</v>
      </c>
    </row>
    <row r="517" spans="5:5" x14ac:dyDescent="0.3">
      <c r="E517" s="15">
        <f t="shared" ca="1" si="9"/>
        <v>126</v>
      </c>
    </row>
    <row r="518" spans="5:5" x14ac:dyDescent="0.3">
      <c r="E518" s="15">
        <f t="shared" ca="1" si="9"/>
        <v>126</v>
      </c>
    </row>
    <row r="519" spans="5:5" x14ac:dyDescent="0.3">
      <c r="E519" s="15">
        <f t="shared" ca="1" si="9"/>
        <v>126</v>
      </c>
    </row>
    <row r="520" spans="5:5" x14ac:dyDescent="0.3">
      <c r="E520" s="15">
        <f t="shared" ca="1" si="9"/>
        <v>126</v>
      </c>
    </row>
    <row r="521" spans="5:5" x14ac:dyDescent="0.3">
      <c r="E521" s="15">
        <f t="shared" ca="1" si="9"/>
        <v>126</v>
      </c>
    </row>
    <row r="522" spans="5:5" x14ac:dyDescent="0.3">
      <c r="E522" s="15">
        <f t="shared" ca="1" si="9"/>
        <v>126</v>
      </c>
    </row>
    <row r="523" spans="5:5" x14ac:dyDescent="0.3">
      <c r="E523" s="15">
        <f t="shared" ca="1" si="9"/>
        <v>126</v>
      </c>
    </row>
    <row r="524" spans="5:5" x14ac:dyDescent="0.3">
      <c r="E524" s="15">
        <f t="shared" ca="1" si="9"/>
        <v>126</v>
      </c>
    </row>
    <row r="525" spans="5:5" x14ac:dyDescent="0.3">
      <c r="E525" s="15">
        <f t="shared" ca="1" si="9"/>
        <v>126</v>
      </c>
    </row>
    <row r="526" spans="5:5" x14ac:dyDescent="0.3">
      <c r="E526" s="15">
        <f t="shared" ca="1" si="9"/>
        <v>126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F756BE5C94FC45B93DB30689EC36A6" ma:contentTypeVersion="13" ma:contentTypeDescription="Create a new document." ma:contentTypeScope="" ma:versionID="b92df574a6549330ad68c47b4e56b434">
  <xsd:schema xmlns:xsd="http://www.w3.org/2001/XMLSchema" xmlns:xs="http://www.w3.org/2001/XMLSchema" xmlns:p="http://schemas.microsoft.com/office/2006/metadata/properties" xmlns:ns2="f5b7fc56-91c8-4032-b7bb-9ede2bdf6696" xmlns:ns3="8669f1c8-c645-4922-9bba-ee214a42b3c0" targetNamespace="http://schemas.microsoft.com/office/2006/metadata/properties" ma:root="true" ma:fieldsID="7657286c86c1e033fb1e3f07947d1b5a" ns2:_="" ns3:_="">
    <xsd:import namespace="f5b7fc56-91c8-4032-b7bb-9ede2bdf6696"/>
    <xsd:import namespace="8669f1c8-c645-4922-9bba-ee214a42b3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b7fc56-91c8-4032-b7bb-9ede2bdf66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4ea2b4-30a6-4feb-9f0d-8e93e5fb1d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69f1c8-c645-4922-9bba-ee214a42b3c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225ca96-2ba2-4fdc-af0b-6ae4f0db1a14}" ma:internalName="TaxCatchAll" ma:showField="CatchAllData" ma:web="8669f1c8-c645-4922-9bba-ee214a42b3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b7fc56-91c8-4032-b7bb-9ede2bdf6696">
      <Terms xmlns="http://schemas.microsoft.com/office/infopath/2007/PartnerControls"/>
    </lcf76f155ced4ddcb4097134ff3c332f>
    <TaxCatchAll xmlns="8669f1c8-c645-4922-9bba-ee214a42b3c0" xsi:nil="true"/>
  </documentManagement>
</p:properties>
</file>

<file path=customXml/itemProps1.xml><?xml version="1.0" encoding="utf-8"?>
<ds:datastoreItem xmlns:ds="http://schemas.openxmlformats.org/officeDocument/2006/customXml" ds:itemID="{6AB2CB1C-4446-4B56-90BC-B4922EC7C6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C1F7D6-6D75-493F-A5E2-6D5322D70F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b7fc56-91c8-4032-b7bb-9ede2bdf6696"/>
    <ds:schemaRef ds:uri="8669f1c8-c645-4922-9bba-ee214a42b3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0539823-0B8F-4F17-A4F3-5ACB930CDAB5}">
  <ds:schemaRefs>
    <ds:schemaRef ds:uri="http://www.w3.org/XML/1998/namespace"/>
    <ds:schemaRef ds:uri="f5b7fc56-91c8-4032-b7bb-9ede2bdf6696"/>
    <ds:schemaRef ds:uri="8669f1c8-c645-4922-9bba-ee214a42b3c0"/>
    <ds:schemaRef ds:uri="http://schemas.microsoft.com/office/2006/metadata/properties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고객관리 (2)</vt:lpstr>
      <vt:lpstr>고객관리</vt:lpstr>
      <vt:lpstr>미관리고객</vt:lpstr>
    </vt:vector>
  </TitlesOfParts>
  <Manager/>
  <Company>LG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이 정화</cp:lastModifiedBy>
  <cp:revision/>
  <dcterms:created xsi:type="dcterms:W3CDTF">2019-06-12T08:41:22Z</dcterms:created>
  <dcterms:modified xsi:type="dcterms:W3CDTF">2026-04-08T12:58:00Z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C:\Users\User\AppData\Roaming\Microsoft\Excel\통합 문서2 (version 1).xlsb</vt:lpwstr>
  </property>
  <property fmtid="{D5CDD505-2E9C-101B-9397-08002B2CF9AE}" pid="3" name="MediaServiceImageTags">
    <vt:lpwstr/>
  </property>
  <property fmtid="{D5CDD505-2E9C-101B-9397-08002B2CF9AE}" pid="4" name="ContentTypeId">
    <vt:lpwstr>0x0101009DF756BE5C94FC45B93DB30689EC36A6</vt:lpwstr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